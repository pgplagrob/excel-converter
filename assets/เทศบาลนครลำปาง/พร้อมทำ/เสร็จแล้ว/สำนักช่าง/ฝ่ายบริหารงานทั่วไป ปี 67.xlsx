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ครุภัณฑ์ ฝ่ายบริหารทั่วไป\2567 ครุภัณฑ์ฝ่ายบริหาร\"/>
    </mc:Choice>
  </mc:AlternateContent>
  <xr:revisionPtr revIDLastSave="0" documentId="13_ncr:1_{579A6DB5-AF1E-4AF5-83C2-CFA01CAE29EC}" xr6:coauthVersionLast="47" xr6:coauthVersionMax="47" xr10:uidLastSave="{00000000-0000-0000-0000-000000000000}"/>
  <bookViews>
    <workbookView xWindow="-120" yWindow="-120" windowWidth="24240" windowHeight="13140" tabRatio="782" activeTab="2" xr2:uid="{00000000-000D-0000-FFFF-FFFF00000000}"/>
  </bookViews>
  <sheets>
    <sheet name="ครุภัณฑ์ 67 ตามรหัส" sheetId="11" r:id="rId1"/>
    <sheet name="ครุภัณฑ์ต่ำกว่าเกณฑ์ ตามรหัส" sheetId="2" r:id="rId2"/>
    <sheet name="จำหน่าย" sheetId="3" r:id="rId3"/>
    <sheet name="งบทรัพย์สิน" sheetId="15" r:id="rId4"/>
  </sheets>
  <definedNames>
    <definedName name="_xlnm.Print_Titles" localSheetId="0">'ครุภัณฑ์ 67 ตามรหัส'!$3:$4</definedName>
    <definedName name="_xlnm.Print_Titles" localSheetId="1">'ครุภัณฑ์ต่ำกว่าเกณฑ์ ตามรหัส'!$3:$4</definedName>
    <definedName name="_xlnm.Print_Titles" localSheetId="2">จำหน่าย!$1:$4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5" i="15" l="1"/>
  <c r="G29" i="11"/>
  <c r="G18" i="11"/>
  <c r="G86" i="11"/>
  <c r="G46" i="11" l="1"/>
  <c r="G43" i="11"/>
  <c r="G33" i="11" l="1"/>
  <c r="G7" i="3"/>
  <c r="G50" i="2"/>
  <c r="G20" i="15" l="1"/>
  <c r="F20" i="15"/>
  <c r="E20" i="15"/>
  <c r="D20" i="15"/>
  <c r="G29" i="2"/>
  <c r="G55" i="11"/>
  <c r="G38" i="2" l="1"/>
  <c r="G17" i="2"/>
  <c r="G51" i="2" s="1"/>
  <c r="G60" i="11"/>
  <c r="G87" i="11" s="1"/>
</calcChain>
</file>

<file path=xl/sharedStrings.xml><?xml version="1.0" encoding="utf-8"?>
<sst xmlns="http://schemas.openxmlformats.org/spreadsheetml/2006/main" count="758" uniqueCount="314">
  <si>
    <t>รายการ</t>
  </si>
  <si>
    <t>ใช้ได้</t>
  </si>
  <si>
    <t>ชำรุด</t>
  </si>
  <si>
    <t>สูญหาย</t>
  </si>
  <si>
    <t>หมายเหตุ</t>
  </si>
  <si>
    <t>งานธุรการ</t>
  </si>
  <si>
    <t>โต๊ะ</t>
  </si>
  <si>
    <t>สิริกร</t>
  </si>
  <si>
    <t xml:space="preserve"> 26 มี.ค.44</t>
  </si>
  <si>
    <t xml:space="preserve">งานธุรการ </t>
  </si>
  <si>
    <t>งานการเงินฯ</t>
  </si>
  <si>
    <t>สรัญญา</t>
  </si>
  <si>
    <t>ฝ่ายบริหารฯ</t>
  </si>
  <si>
    <t>พัลลภา</t>
  </si>
  <si>
    <t>เก้าอี้</t>
  </si>
  <si>
    <t>ชั้นวางของ</t>
  </si>
  <si>
    <t>ชั้นวางของ 2 ชั้น ชนิดไม้</t>
  </si>
  <si>
    <t xml:space="preserve"> 11 ก.ย.55</t>
  </si>
  <si>
    <t>ตู้เก็บเอกสาร</t>
  </si>
  <si>
    <t>ตู้เหล็กเก็บเอกสารสูง ชนิด 2 บาน  จำนวน 1  ตู้</t>
  </si>
  <si>
    <t xml:space="preserve"> 1 ต.ค.12</t>
  </si>
  <si>
    <t xml:space="preserve">ตู้เหล็กเก็บเอกสาร  ชนิด 4 ลิ้นชัก  จำนวน 1  ตู้ </t>
  </si>
  <si>
    <t xml:space="preserve"> 11เม.ย.46</t>
  </si>
  <si>
    <t xml:space="preserve">ตู้เหล็กเก็บเอกสาร ชนิดบานเลื่อนกระจก </t>
  </si>
  <si>
    <t>ตู้เหล็กเก็บเอกสาร ชนิดบานเลื่อนกระจก ยี่ห้อ Star</t>
  </si>
  <si>
    <t>ตู้เหล็กเก็บเอกสาร ขนาด 2 บาน จำนวน 1 ตู้</t>
  </si>
  <si>
    <t xml:space="preserve"> 1 เม.ย.47</t>
  </si>
  <si>
    <t>กระดาน</t>
  </si>
  <si>
    <t xml:space="preserve"> 5 ต.ค.38</t>
  </si>
  <si>
    <t xml:space="preserve">กระดานแผ่นไม้อัดติดผนัง โครงสร้างไม้ผิวกรุแผ่นโฟเมก้า </t>
  </si>
  <si>
    <t>คอมพิวเตอร์</t>
  </si>
  <si>
    <t xml:space="preserve"> 25 ก.ย.40</t>
  </si>
  <si>
    <t xml:space="preserve"> 22 ส.ค.44</t>
  </si>
  <si>
    <t>-</t>
  </si>
  <si>
    <t xml:space="preserve"> สิริกร </t>
  </si>
  <si>
    <t xml:space="preserve"> สิริกร</t>
  </si>
  <si>
    <t>เครื่องปริ้นเตอร์ แคนนอน รุ่น Mp 287 พร้อมติดแท้งค์หมึก</t>
  </si>
  <si>
    <t xml:space="preserve"> 25 ก.ค.55</t>
  </si>
  <si>
    <t>เครื่องปริ้นเตอร์ Laser  Jet  Pro HP 1102</t>
  </si>
  <si>
    <t>เครื่องปรับอากาศ</t>
  </si>
  <si>
    <t xml:space="preserve"> 9 มิ.ย.40</t>
  </si>
  <si>
    <t>เครื่องโทรสาร</t>
  </si>
  <si>
    <t>พัดลม</t>
  </si>
  <si>
    <t xml:space="preserve"> 17 ส.ค.55</t>
  </si>
  <si>
    <t>เก้าอี้สำนักงานพนักพิงกลาง ยี่ห้อ ENROPLAN</t>
  </si>
  <si>
    <t xml:space="preserve">เก้าอี้สำนักงาน มีโช๊ค ปรับระดับได้   </t>
  </si>
  <si>
    <t xml:space="preserve"> 25 ส.ค.57</t>
  </si>
  <si>
    <t>เก้าอี้มีท้าวแขนพนักพิงสูง BB2 โมเทค</t>
  </si>
  <si>
    <t xml:space="preserve"> 30 มิ.ย.58</t>
  </si>
  <si>
    <t>เก้าอี้สำนักงานกลาง</t>
  </si>
  <si>
    <t>31 สค.58</t>
  </si>
  <si>
    <t>ตู้บานเลื่อนกระจก 5 ฟุต (ไทโย) 1 ตู้</t>
  </si>
  <si>
    <t>ตู้บานเลื่อนกระจก 4 ฟุต  Smart   Form</t>
  </si>
  <si>
    <t>ตู้บานเลื่อนทึบ 4 ฟุต  Smart   Form</t>
  </si>
  <si>
    <t>ตู้บานเลื่อนทึบ 3 ฟุต  Smart   Form</t>
  </si>
  <si>
    <t>ตู้เอกสาร 3 ลิ้นชัก  Smart   Form</t>
  </si>
  <si>
    <t>ตู้ใส่แฟ้มเอกสารแบบตั้งได้ 2 ชั้น</t>
  </si>
  <si>
    <t>ปริ้นเตอร์ Brother  DCP - j 140 w</t>
  </si>
  <si>
    <t xml:space="preserve"> 8 ก.ค.56</t>
  </si>
  <si>
    <t>เครื่องโทรศัพท์</t>
  </si>
  <si>
    <t>โทรศัพท์ ยี่ห้อ Panasonic รุ่น  KXTS 500</t>
  </si>
  <si>
    <t>21 สค.58</t>
  </si>
  <si>
    <t>โทรศัพท์ไร้สาย ยี่ห้อ Panasonic รุ่น  KXTS 3611Bx</t>
  </si>
  <si>
    <t>พัดลมตั้งพื้น 16 " ยี่ห้อมิตซูบิชิ รุ่น LV 16-GQ</t>
  </si>
  <si>
    <t>หมายเลข
ครุภัณฑ์</t>
  </si>
  <si>
    <t>วัน เดือน ปี
ที่ได้มา</t>
  </si>
  <si>
    <t>ราคาที่
ได้มา</t>
  </si>
  <si>
    <t>สถานที่ใช้งาน</t>
  </si>
  <si>
    <t>สภาพครุภัณฑ์</t>
  </si>
  <si>
    <t>ลำดับ
ที่</t>
  </si>
  <si>
    <t xml:space="preserve"> 1 ก.ค. 59</t>
  </si>
  <si>
    <t xml:space="preserve"> 21 ก.ค. 59</t>
  </si>
  <si>
    <t>ห้อง ผอ. สำนัก</t>
  </si>
  <si>
    <t>เสื่อม 
สภาพ</t>
  </si>
  <si>
    <t>หมดความ
จำเป็น</t>
  </si>
  <si>
    <t>เก็บไว้
นาน</t>
  </si>
  <si>
    <t xml:space="preserve">เครื่อมสแกนเนอร์สำหรับงานเก็บเอกสาร ยี่ห้อ HP 3000 S2 </t>
  </si>
  <si>
    <t xml:space="preserve"> 30 ส.ค.55</t>
  </si>
  <si>
    <t>400</t>
  </si>
  <si>
    <t>40</t>
  </si>
  <si>
    <t>44</t>
  </si>
  <si>
    <t>52</t>
  </si>
  <si>
    <t>401</t>
  </si>
  <si>
    <t>406</t>
  </si>
  <si>
    <t>12</t>
  </si>
  <si>
    <t>0050</t>
  </si>
  <si>
    <t>0998</t>
  </si>
  <si>
    <t>0999</t>
  </si>
  <si>
    <t>1109</t>
  </si>
  <si>
    <t>1144</t>
  </si>
  <si>
    <t>46</t>
  </si>
  <si>
    <t>47</t>
  </si>
  <si>
    <t>407</t>
  </si>
  <si>
    <t>38</t>
  </si>
  <si>
    <t>0024</t>
  </si>
  <si>
    <t>416</t>
  </si>
  <si>
    <t>0029</t>
  </si>
  <si>
    <t>50</t>
  </si>
  <si>
    <t>51</t>
  </si>
  <si>
    <t>59</t>
  </si>
  <si>
    <t>0075</t>
  </si>
  <si>
    <t>0338</t>
  </si>
  <si>
    <t>0350</t>
  </si>
  <si>
    <t>0388</t>
  </si>
  <si>
    <t>0425</t>
  </si>
  <si>
    <t>0491</t>
  </si>
  <si>
    <t>0532</t>
  </si>
  <si>
    <t>0544</t>
  </si>
  <si>
    <t>0578</t>
  </si>
  <si>
    <t>420</t>
  </si>
  <si>
    <t>0060</t>
  </si>
  <si>
    <t>56</t>
  </si>
  <si>
    <t>0240</t>
  </si>
  <si>
    <t>55</t>
  </si>
  <si>
    <t>57</t>
  </si>
  <si>
    <t>58</t>
  </si>
  <si>
    <t>404</t>
  </si>
  <si>
    <t>0923</t>
  </si>
  <si>
    <t>423</t>
  </si>
  <si>
    <t>424</t>
  </si>
  <si>
    <t>432</t>
  </si>
  <si>
    <t>ลำดับที่</t>
  </si>
  <si>
    <t>1108</t>
  </si>
  <si>
    <t>เครื่องคอมพิวเตอร์ (CPU) ยี่ห้อไมโครชิฟ</t>
  </si>
  <si>
    <t>60</t>
  </si>
  <si>
    <t>0932</t>
  </si>
  <si>
    <t>0933</t>
  </si>
  <si>
    <t>0934</t>
  </si>
  <si>
    <t xml:space="preserve"> 18 ต.ค.50</t>
  </si>
  <si>
    <t>เครื่องปรับอากาศแบบแยกส่วน ยี่ห้อ Cool Square 
ขนาด 18,000 BTU</t>
  </si>
  <si>
    <t xml:space="preserve"> 1 ก.ค. 52</t>
  </si>
  <si>
    <t>6122</t>
  </si>
  <si>
    <t>6130</t>
  </si>
  <si>
    <t>0471</t>
  </si>
  <si>
    <t>6132</t>
  </si>
  <si>
    <t>6134</t>
  </si>
  <si>
    <t>6135</t>
  </si>
  <si>
    <t>6142</t>
  </si>
  <si>
    <t xml:space="preserve"> 25 เม.ย.46</t>
  </si>
  <si>
    <t>พัดลมระบายอากาศ  โตชิบ้า 10 "</t>
  </si>
  <si>
    <t>0473</t>
  </si>
  <si>
    <t>0493(ต)</t>
  </si>
  <si>
    <t>0494(ต)</t>
  </si>
  <si>
    <t>0814(ต)</t>
  </si>
  <si>
    <t>0815(ต)</t>
  </si>
  <si>
    <t>0816(ต)</t>
  </si>
  <si>
    <t>0817(ต)</t>
  </si>
  <si>
    <t>0818(ต)</t>
  </si>
  <si>
    <t>0819(ต)</t>
  </si>
  <si>
    <t>0905(ต)</t>
  </si>
  <si>
    <t>0924(ต)</t>
  </si>
  <si>
    <t>0001(ต)</t>
  </si>
  <si>
    <t>0068(ต)</t>
  </si>
  <si>
    <t>0096(ต)</t>
  </si>
  <si>
    <t>0098(ต)</t>
  </si>
  <si>
    <t>0099(ต)</t>
  </si>
  <si>
    <t>0058(ต)</t>
  </si>
  <si>
    <t>0132(ต)</t>
  </si>
  <si>
    <t>0025(ต)</t>
  </si>
  <si>
    <t>0026(ต)</t>
  </si>
  <si>
    <t>0027(ต)</t>
  </si>
  <si>
    <t>0028(ต)</t>
  </si>
  <si>
    <t>0029(ต)</t>
  </si>
  <si>
    <t>0030(ต)</t>
  </si>
  <si>
    <t>0031(ต)</t>
  </si>
  <si>
    <t>0006(ต)</t>
  </si>
  <si>
    <t>0044(ต)</t>
  </si>
  <si>
    <t>23 สค.56</t>
  </si>
  <si>
    <t>โต๊ะประชุม แผ่นไม้อัดสัก ขนาด6.20x2.4x0.75 ม.</t>
  </si>
  <si>
    <t>2841</t>
  </si>
  <si>
    <t xml:space="preserve"> 8 ส.ค.39</t>
  </si>
  <si>
    <t>39</t>
  </si>
  <si>
    <t>เก้าอี้สำนักงานพนักพิงกลาง ชนิดหนัง รุ่น Euro ยี่ห้อ ENROPLAN</t>
  </si>
  <si>
    <t xml:space="preserve"> </t>
  </si>
  <si>
    <t xml:space="preserve">เครื่องคอมพิวเตอร์    </t>
  </si>
  <si>
    <t xml:space="preserve">จอภาพ LCD HP </t>
  </si>
  <si>
    <t xml:space="preserve">เครื่องคอมพิวเตอร์ CPU HP </t>
  </si>
  <si>
    <t xml:space="preserve">เครื่องสำรองไฟฟ้า ยี่ห้อง SYNDOME </t>
  </si>
  <si>
    <t>เครื่องสำรองไฟ</t>
  </si>
  <si>
    <t xml:space="preserve">เครื่องพิมพ์ (Printer) ยี่ห้อ Canon รุ่น MP287 </t>
  </si>
  <si>
    <t xml:space="preserve">เครื่องพิมพ์ (Printer) ยี่ห้อ Hp Laser Jet Pro รุ่น P1102 </t>
  </si>
  <si>
    <t xml:space="preserve">จอภาพ LCD 21.5 นิ้ว ยี่ห้อ Ben Q Senseye </t>
  </si>
  <si>
    <t xml:space="preserve">เครื่องพิวเตอร์ CPU ชุดประกอบ </t>
  </si>
  <si>
    <t>ครุภัณฑ์สำนักงาน</t>
  </si>
  <si>
    <t>ครุภัณฑ์คอมพิวเตอร์</t>
  </si>
  <si>
    <t>งบทรัพย์สินเทศบาลนครลำปาง</t>
  </si>
  <si>
    <t>ข</t>
  </si>
  <si>
    <t>สังหาริมทรัพย์</t>
  </si>
  <si>
    <t>ประเภททรัพย์สิน</t>
  </si>
  <si>
    <t>รหัส</t>
  </si>
  <si>
    <t>ครุภัณฑ์</t>
  </si>
  <si>
    <t>ครุภัณฑ์ต่ำกว่าเกณฑ์</t>
  </si>
  <si>
    <t>จำนวนรายการ</t>
  </si>
  <si>
    <t>จำนวนเงินที่ได้มา</t>
  </si>
  <si>
    <t>ตู้</t>
  </si>
  <si>
    <t>กระดาน, ไวท์บอร์ด, บอร์ดนิทรรศการ</t>
  </si>
  <si>
    <t>รวมสังหาริมทรัพย์</t>
  </si>
  <si>
    <t>0922</t>
  </si>
  <si>
    <t>0844</t>
  </si>
  <si>
    <t>ห้อง ผอ.สำนัก</t>
  </si>
  <si>
    <t>ตู้เตี้ยเก็บเอกสาร แบบบานเลื่อน (ตู้ไม้ทึบ)</t>
  </si>
  <si>
    <t>0114(ต)</t>
  </si>
  <si>
    <t>0115(ต)</t>
  </si>
  <si>
    <t>0116(ต)</t>
  </si>
  <si>
    <t>403</t>
  </si>
  <si>
    <t>0187</t>
  </si>
  <si>
    <t xml:space="preserve"> 2 ม.ค. 51</t>
  </si>
  <si>
    <t>ชุดรับแขก</t>
  </si>
  <si>
    <t>เครื่องโทรสาร ยี่ห้อ Panasonic รุ่น  KX-FP 701</t>
  </si>
  <si>
    <t>รวมครุภัณฑ์โต๊ะ</t>
  </si>
  <si>
    <t>รวมครุภัณฑ์เก้าอี้</t>
  </si>
  <si>
    <t>รวมครุภัณฑ์ชุดรับแขก</t>
  </si>
  <si>
    <t>รวมครุภัณฑ์ตู้เก็บเอกสาร</t>
  </si>
  <si>
    <t>รวมครุภัณฑ์กระดาน</t>
  </si>
  <si>
    <t>รวมครุภัณฑ์คอมพิวเตอร์</t>
  </si>
  <si>
    <t>รวมครุภัณฑ์เครื่องปรับอากาศ</t>
  </si>
  <si>
    <t>รวมทั้งสิ้น</t>
  </si>
  <si>
    <t>รวมครุภัณฑ์เครื่องเก้าอี้</t>
  </si>
  <si>
    <t>รวมครุภัณฑ์ชั้นวางของ</t>
  </si>
  <si>
    <t>รวมครุภัณฑ์เครื่องโทรสาร</t>
  </si>
  <si>
    <t>รวมครุภัณฑ์พัดลม</t>
  </si>
  <si>
    <t>62</t>
  </si>
  <si>
    <t>0307</t>
  </si>
  <si>
    <t xml:space="preserve">เครื่องปรับอากาศแบบแยกส่วน ชนิดแขวน ขนาด 13,000 BTU.ยี่ห้อ </t>
  </si>
  <si>
    <t>อามีน่า  รุ่น WY  MNVGE</t>
  </si>
  <si>
    <t xml:space="preserve"> เครื่องปรับอากาศ ยี่ห้อ UNIMASTER ชนิดแบบแขวน รุ่น </t>
  </si>
  <si>
    <t xml:space="preserve">UNFX-36-R410A/UNCX-36T-R410A  ขนาด 36,400 BTU </t>
  </si>
  <si>
    <t>เก้าอี้โครงเหล็กเบาะนวม</t>
  </si>
  <si>
    <t>เครื่องโทรศัพท์, โทรศัพท์มือถือ</t>
  </si>
  <si>
    <t>ชุดรับแขก ชนิดไม่มีพนักพิงพร้อมโต๊ะกลาง</t>
  </si>
  <si>
    <t xml:space="preserve"> 3 พ.ย. 59</t>
  </si>
  <si>
    <t xml:space="preserve"> 19 เม.ย.56</t>
  </si>
  <si>
    <t xml:space="preserve"> 29 พ.ค.51</t>
  </si>
  <si>
    <t>(E-Laas)</t>
  </si>
  <si>
    <t>1. ครุภัณฑ์สำนักงาน</t>
  </si>
  <si>
    <t>2. ครุภัณฑ์คอมพิวเตอร์</t>
  </si>
  <si>
    <t>CPU ชุดประกอบ ยี่ห้อ NEOLUTION จำนวน 1 เครื่อง</t>
  </si>
  <si>
    <t>63</t>
  </si>
  <si>
    <t>1627</t>
  </si>
  <si>
    <t>1628</t>
  </si>
  <si>
    <t xml:space="preserve"> 22 ต.ค. 62</t>
  </si>
  <si>
    <t>รวมครุภัณฑ์เครื่องโทรศัพท์</t>
  </si>
  <si>
    <t>เครื่องพิมพ์(Printer) ยี่ห้อ HP Laserjet รุ่น P1005 จำนวน 1เครื่อง</t>
  </si>
  <si>
    <t>กาญจนา</t>
  </si>
  <si>
    <t>ประหยัดไฟเบอร์ 5 มีฟอกอากาศ มีสวิง รีโมทแบบไร้สาย พร้อมติดตั้ง</t>
  </si>
  <si>
    <t>(ลงชื่อ)...................................................กรรมการ</t>
  </si>
  <si>
    <t xml:space="preserve">           (ลงชื่อ).......................................................ประธานกรรมการ</t>
  </si>
  <si>
    <t>(นางสาวสิริกร สุวรรณศรี)</t>
  </si>
  <si>
    <t xml:space="preserve"> (ลงชื่อ).................................................กรรมการและเลขาฯ</t>
  </si>
  <si>
    <t>ณีรนุช</t>
  </si>
  <si>
    <t>ฝ่ายบริหารงานทั่วไป   สำนักช่าง  เทศบาลนครลำปาง</t>
  </si>
  <si>
    <t>เจ้าพนักงานธุรการชำนาญงาน</t>
  </si>
  <si>
    <t xml:space="preserve">                        (ลงชื่อ).........................................................ประธานกรรมการ</t>
  </si>
  <si>
    <t>ฝ่ายบริหารงานทั่วไป  สำนักช่าง  เทศบาลนครลำปาง</t>
  </si>
  <si>
    <t>เครื่องคอมพิวเตอร์ สำหรับงาน ยี่ห้อ Acer รุ่น ES2740g Core I3-10105</t>
  </si>
  <si>
    <t>65</t>
  </si>
  <si>
    <t>2001</t>
  </si>
  <si>
    <t xml:space="preserve"> 6 มิ.ย. 65</t>
  </si>
  <si>
    <t>2002</t>
  </si>
  <si>
    <t>2003</t>
  </si>
  <si>
    <t>2004</t>
  </si>
  <si>
    <t>2015</t>
  </si>
  <si>
    <t>2016</t>
  </si>
  <si>
    <t>จอคอมพิวเตอร์(จอแสดงภาพไม่น้อยกว่า 19 นิ้ว) ขนาด 19.5 นิ้ว
V206HQL</t>
  </si>
  <si>
    <t>เครื่องสำรองไฟฟ้า ขนาด 800VA ยี่ห้อ ZIRCON รุ่น  ICT-1</t>
  </si>
  <si>
    <t>งานสารบรรณ</t>
  </si>
  <si>
    <t>นุชศรา</t>
  </si>
  <si>
    <t>ผอ.สำนัก</t>
  </si>
  <si>
    <t>ประภาภรณ์</t>
  </si>
  <si>
    <t>กรรณิการ์</t>
  </si>
  <si>
    <t>โต๊ะทำงานเจ้าหน้าที่แบบมีตู้ข้าง ขนาด 1.40 x 1.20 ม.</t>
  </si>
  <si>
    <t>66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</si>
  <si>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</si>
  <si>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</si>
  <si>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</si>
  <si>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</si>
  <si>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</si>
  <si>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</si>
  <si>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</si>
  <si>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</si>
  <si>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</si>
  <si>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ประภากรณ์</t>
  </si>
  <si>
    <t>กมลรัตน์</t>
  </si>
  <si>
    <t>ห้อง หน.ฝ่ายบริหารฯ</t>
  </si>
  <si>
    <t>(นายอำนาจ  เครื่องไชย)</t>
  </si>
  <si>
    <t>หัวหน้าฝ่ายผังเมือง</t>
  </si>
  <si>
    <t xml:space="preserve">(นายวัฒนา  วรรณโวหาร) </t>
  </si>
  <si>
    <t>นายช่างเขียนแบบปฏิบัติงาน</t>
  </si>
  <si>
    <r>
      <t>ทะเบียนรายงานผลการตรวจนับ</t>
    </r>
    <r>
      <rPr>
        <b/>
        <u/>
        <sz val="16"/>
        <rFont val="TH SarabunPSK"/>
        <family val="2"/>
      </rPr>
      <t>ครุภัณฑ์ต่ำกว่าเกณฑ์</t>
    </r>
    <r>
      <rPr>
        <b/>
        <sz val="16"/>
        <rFont val="TH SarabunPSK"/>
        <family val="2"/>
      </rPr>
      <t xml:space="preserve"> ประจำปีงบประมาณ 2566</t>
    </r>
  </si>
  <si>
    <t xml:space="preserve">       (นายอำนาจ  เครื่องไชย)</t>
  </si>
  <si>
    <t xml:space="preserve">       หัวหน้าฝ่ายผังเมือง</t>
  </si>
  <si>
    <t xml:space="preserve">   (นางสาวสิริกร สุวรรณศรี)</t>
  </si>
  <si>
    <t xml:space="preserve">   เจ้าพนักงานธุรการชำนาญงาน</t>
  </si>
  <si>
    <t xml:space="preserve">        (ลงชื่อ).............................................กรรมการและเลขาฯ</t>
  </si>
  <si>
    <t xml:space="preserve"> 7 มี.ค. 66</t>
  </si>
  <si>
    <t xml:space="preserve"> 26 ธ.ค. 61</t>
  </si>
  <si>
    <t>ทะเบียนรายงานผลการตรวจนับครุภัณฑ์ ประจำปีงบประมาณ 2567</t>
  </si>
  <si>
    <t>ทะเบียนรายงานผลการตรวจนับครุภัณฑ์ชำรุด ประจำปี 2567</t>
  </si>
  <si>
    <t xml:space="preserve">เครื่องคอมพิวเตอร์ (CPU)  </t>
  </si>
  <si>
    <t>10132</t>
  </si>
  <si>
    <t>67</t>
  </si>
  <si>
    <t xml:space="preserve"> 8 ก.ค. 67</t>
  </si>
  <si>
    <t>เก้าอี้ทำงาน ชนิดหุ้มหนัง</t>
  </si>
  <si>
    <t>10133</t>
  </si>
  <si>
    <t>เก้าอี้ทำงานผู้บริหาร</t>
  </si>
  <si>
    <t>10134</t>
  </si>
  <si>
    <t>โต๊ะทำงานผู้บริหาร ขนาด 180x160x75 ม.</t>
  </si>
  <si>
    <t>7518</t>
  </si>
  <si>
    <t>อนุสรา</t>
  </si>
  <si>
    <t>ตู้ 4</t>
  </si>
  <si>
    <t xml:space="preserve"> 21 ส.ค. 58</t>
  </si>
  <si>
    <t xml:space="preserve"> 25 ก.ค. 55</t>
  </si>
  <si>
    <t>ขอจำหน่าย</t>
  </si>
  <si>
    <t>ณ  วันที่  30 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</si>
</sst>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ว\ ดดด\ ปป"/>
    <numFmt numFmtId="188" formatCode="_-* #,##0_-;\-* #,##0_-;_-* &quot;-&quot;??_-;_-@_-"/>
    <numFmt numFmtId="189" formatCode="d\ ดดด\ bb"/>
  </numFmts>
  <fonts count="3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5"/>
      <name val="TH SarabunPSK"/>
      <family val="2"/>
    </font>
    <font>
      <sz val="14"/>
      <name val="Cordia New"/>
      <family val="2"/>
    </font>
    <font>
      <b/>
      <sz val="15"/>
      <name val="TH SarabunPSK"/>
      <family val="2"/>
    </font>
    <font>
      <sz val="15"/>
      <name val="Arial"/>
      <family val="2"/>
    </font>
    <font>
      <b/>
      <sz val="13"/>
      <name val="TH SarabunPSK"/>
      <family val="2"/>
    </font>
    <font>
      <sz val="13"/>
      <name val="TH SarabunPSK"/>
      <family val="2"/>
    </font>
    <font>
      <b/>
      <u/>
      <sz val="13"/>
      <name val="TH SarabunPSK"/>
      <family val="2"/>
    </font>
    <font>
      <sz val="13"/>
      <name val="Arial"/>
      <family val="2"/>
    </font>
    <font>
      <sz val="13"/>
      <color theme="1"/>
      <name val="TH SarabunPSK"/>
      <family val="2"/>
    </font>
    <font>
      <sz val="13"/>
      <name val="Wingdings"/>
      <charset val="2"/>
    </font>
    <font>
      <sz val="13"/>
      <color rgb="FFFF0000"/>
      <name val="TH SarabunPSK"/>
      <family val="2"/>
    </font>
    <font>
      <sz val="13"/>
      <color indexed="10"/>
      <name val="TH SarabunPSK"/>
      <family val="2"/>
    </font>
    <font>
      <sz val="9"/>
      <name val="TH SarabunPSK"/>
      <family val="2"/>
    </font>
    <font>
      <b/>
      <sz val="13"/>
      <name val="Wingdings"/>
      <charset val="2"/>
    </font>
    <font>
      <sz val="15"/>
      <color theme="1"/>
      <name val="TH SarabunPSK"/>
      <family val="2"/>
    </font>
    <font>
      <b/>
      <sz val="16"/>
      <color theme="1"/>
      <name val="TH SarabunPSK"/>
      <family val="2"/>
    </font>
    <font>
      <u/>
      <sz val="13"/>
      <name val="TH SarabunPSK"/>
      <family val="2"/>
    </font>
    <font>
      <b/>
      <sz val="13"/>
      <color theme="1"/>
      <name val="TH SarabunPSK"/>
      <family val="2"/>
    </font>
    <font>
      <sz val="16"/>
      <color theme="1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b/>
      <sz val="18"/>
      <color theme="1"/>
      <name val="TH SarabunPSK"/>
      <family val="2"/>
    </font>
    <font>
      <sz val="13"/>
      <name val="Gill Sans Ultra Bold Condensed"/>
      <family val="2"/>
    </font>
    <font>
      <sz val="13"/>
      <name val="Arial Black"/>
      <family val="2"/>
    </font>
    <font>
      <i/>
      <sz val="11"/>
      <name val="Bauhaus 93"/>
      <family val="5"/>
    </font>
    <font>
      <sz val="11"/>
      <name val="Wingdings"/>
      <charset val="2"/>
    </font>
    <font>
      <b/>
      <sz val="11"/>
      <name val="TH SarabunPSK"/>
      <family val="2"/>
    </font>
    <font>
      <sz val="11"/>
      <name val="TH SarabunPSK"/>
      <family val="2"/>
    </font>
    <font>
      <sz val="18"/>
      <color theme="1"/>
      <name val="TH SarabunPSK"/>
      <family val="2"/>
    </font>
    <font>
      <sz val="16"/>
      <color theme="1"/>
      <name val="TH SarabunIT๙"/>
      <family val="2"/>
    </font>
    <font>
      <sz val="8"/>
      <color theme="1"/>
      <name val="TH SarabunIT๙"/>
      <family val="2"/>
    </font>
    <font>
      <sz val="13"/>
      <color rgb="FF0000FF"/>
      <name val="TH SarabunPSK"/>
      <family val="2"/>
    </font>
    <font>
      <sz val="8"/>
      <name val="Tahoma"/>
      <family val="2"/>
      <charset val="222"/>
      <scheme val="minor"/>
    </font>
    <font>
      <b/>
      <u/>
      <sz val="16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double">
        <color indexed="64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34998626667073579"/>
      </bottom>
      <diagonal/>
    </border>
    <border>
      <left/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06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14" xfId="0" applyFont="1" applyBorder="1" applyAlignment="1">
      <alignment horizontal="center"/>
    </xf>
    <xf numFmtId="0" fontId="7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7" fillId="0" borderId="13" xfId="0" applyFont="1" applyBorder="1"/>
    <xf numFmtId="188" fontId="7" fillId="0" borderId="13" xfId="1" applyNumberFormat="1" applyFont="1" applyBorder="1"/>
    <xf numFmtId="0" fontId="10" fillId="4" borderId="13" xfId="0" applyFont="1" applyFill="1" applyBorder="1"/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4" fillId="0" borderId="6" xfId="2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7" fillId="4" borderId="15" xfId="2" applyFont="1" applyFill="1" applyBorder="1" applyAlignment="1">
      <alignment horizontal="center" vertical="top" wrapText="1"/>
    </xf>
    <xf numFmtId="0" fontId="6" fillId="3" borderId="12" xfId="2" applyFont="1" applyFill="1" applyBorder="1" applyAlignment="1">
      <alignment horizontal="center" vertical="top" wrapText="1"/>
    </xf>
    <xf numFmtId="0" fontId="6" fillId="0" borderId="12" xfId="2" applyFont="1" applyBorder="1" applyAlignment="1">
      <alignment horizontal="center" vertical="top" wrapText="1"/>
    </xf>
    <xf numFmtId="49" fontId="6" fillId="0" borderId="3" xfId="2" applyNumberFormat="1" applyFont="1" applyBorder="1" applyAlignment="1">
      <alignment horizontal="center" vertical="top" wrapText="1"/>
    </xf>
    <xf numFmtId="49" fontId="6" fillId="0" borderId="4" xfId="2" applyNumberFormat="1" applyFont="1" applyBorder="1" applyAlignment="1">
      <alignment horizontal="center" vertical="top" wrapText="1"/>
    </xf>
    <xf numFmtId="49" fontId="6" fillId="0" borderId="5" xfId="2" applyNumberFormat="1" applyFont="1" applyBorder="1" applyAlignment="1">
      <alignment horizontal="center" vertical="top" wrapText="1"/>
    </xf>
    <xf numFmtId="187" fontId="6" fillId="3" borderId="12" xfId="2" applyNumberFormat="1" applyFont="1" applyFill="1" applyBorder="1" applyAlignment="1">
      <alignment horizontal="center" vertical="top" wrapText="1"/>
    </xf>
    <xf numFmtId="0" fontId="15" fillId="3" borderId="12" xfId="2" applyFont="1" applyFill="1" applyBorder="1" applyAlignment="1">
      <alignment horizontal="left" vertical="top" wrapText="1"/>
    </xf>
    <xf numFmtId="0" fontId="7" fillId="4" borderId="13" xfId="2" applyFont="1" applyFill="1" applyBorder="1" applyAlignment="1">
      <alignment horizontal="center" vertical="center" wrapText="1"/>
    </xf>
    <xf numFmtId="0" fontId="7" fillId="3" borderId="13" xfId="2" applyFont="1" applyFill="1" applyBorder="1" applyAlignment="1">
      <alignment horizontal="center" vertical="top" wrapText="1"/>
    </xf>
    <xf numFmtId="0" fontId="6" fillId="3" borderId="13" xfId="2" applyFont="1" applyFill="1" applyBorder="1" applyAlignment="1">
      <alignment horizontal="center" vertical="center" wrapText="1"/>
    </xf>
    <xf numFmtId="0" fontId="11" fillId="3" borderId="13" xfId="2" applyFont="1" applyFill="1" applyBorder="1" applyAlignment="1">
      <alignment horizontal="left" vertical="top" wrapText="1"/>
    </xf>
    <xf numFmtId="0" fontId="7" fillId="3" borderId="13" xfId="2" applyFont="1" applyFill="1" applyBorder="1" applyAlignment="1">
      <alignment vertical="top" wrapText="1"/>
    </xf>
    <xf numFmtId="187" fontId="7" fillId="3" borderId="13" xfId="2" applyNumberFormat="1" applyFont="1" applyFill="1" applyBorder="1" applyAlignment="1">
      <alignment horizontal="center" vertical="top" wrapText="1"/>
    </xf>
    <xf numFmtId="3" fontId="7" fillId="3" borderId="13" xfId="2" applyNumberFormat="1" applyFont="1" applyFill="1" applyBorder="1" applyAlignment="1">
      <alignment horizontal="right" vertical="top" wrapText="1"/>
    </xf>
    <xf numFmtId="0" fontId="7" fillId="3" borderId="13" xfId="2" applyFont="1" applyFill="1" applyBorder="1" applyAlignment="1">
      <alignment horizontal="left" vertical="top" wrapText="1"/>
    </xf>
    <xf numFmtId="0" fontId="12" fillId="3" borderId="13" xfId="2" applyFont="1" applyFill="1" applyBorder="1" applyAlignment="1">
      <alignment vertical="top" wrapText="1"/>
    </xf>
    <xf numFmtId="189" fontId="7" fillId="3" borderId="13" xfId="2" applyNumberFormat="1" applyFont="1" applyFill="1" applyBorder="1" applyAlignment="1">
      <alignment horizontal="center" vertical="top" wrapText="1"/>
    </xf>
    <xf numFmtId="188" fontId="7" fillId="3" borderId="13" xfId="1" applyNumberFormat="1" applyFont="1" applyFill="1" applyBorder="1" applyAlignment="1">
      <alignment horizontal="center" vertical="top" wrapText="1"/>
    </xf>
    <xf numFmtId="49" fontId="8" fillId="0" borderId="14" xfId="2" applyNumberFormat="1" applyFont="1" applyBorder="1" applyAlignment="1">
      <alignment horizontal="center" vertical="center" wrapText="1"/>
    </xf>
    <xf numFmtId="49" fontId="8" fillId="0" borderId="16" xfId="2" applyNumberFormat="1" applyFont="1" applyBorder="1" applyAlignment="1">
      <alignment horizontal="center" vertical="center" wrapText="1"/>
    </xf>
    <xf numFmtId="49" fontId="8" fillId="0" borderId="15" xfId="2" applyNumberFormat="1" applyFont="1" applyBorder="1" applyAlignment="1">
      <alignment horizontal="center" vertical="center" wrapText="1"/>
    </xf>
    <xf numFmtId="43" fontId="7" fillId="3" borderId="13" xfId="1" applyFont="1" applyFill="1" applyBorder="1" applyAlignment="1">
      <alignment horizontal="right" vertical="top" wrapText="1"/>
    </xf>
    <xf numFmtId="0" fontId="7" fillId="3" borderId="13" xfId="2" applyFont="1" applyFill="1" applyBorder="1" applyAlignment="1">
      <alignment horizontal="left" vertical="center" wrapText="1"/>
    </xf>
    <xf numFmtId="49" fontId="7" fillId="3" borderId="14" xfId="2" applyNumberFormat="1" applyFont="1" applyFill="1" applyBorder="1" applyAlignment="1">
      <alignment horizontal="center" vertical="center" wrapText="1"/>
    </xf>
    <xf numFmtId="49" fontId="7" fillId="3" borderId="16" xfId="2" applyNumberFormat="1" applyFont="1" applyFill="1" applyBorder="1" applyAlignment="1">
      <alignment horizontal="center" vertical="center" wrapText="1"/>
    </xf>
    <xf numFmtId="49" fontId="7" fillId="3" borderId="15" xfId="2" applyNumberFormat="1" applyFont="1" applyFill="1" applyBorder="1" applyAlignment="1">
      <alignment horizontal="center" vertical="center" wrapText="1"/>
    </xf>
    <xf numFmtId="0" fontId="7" fillId="3" borderId="13" xfId="2" applyFont="1" applyFill="1" applyBorder="1" applyAlignment="1">
      <alignment horizontal="center" vertical="center" wrapText="1"/>
    </xf>
    <xf numFmtId="3" fontId="7" fillId="3" borderId="13" xfId="2" applyNumberFormat="1" applyFont="1" applyFill="1" applyBorder="1" applyAlignment="1">
      <alignment horizontal="right" vertical="center" wrapText="1"/>
    </xf>
    <xf numFmtId="188" fontId="7" fillId="3" borderId="13" xfId="1" applyNumberFormat="1" applyFont="1" applyFill="1" applyBorder="1" applyAlignment="1">
      <alignment horizontal="right" vertical="top" wrapText="1"/>
    </xf>
    <xf numFmtId="187" fontId="7" fillId="0" borderId="13" xfId="2" applyNumberFormat="1" applyFont="1" applyBorder="1" applyAlignment="1">
      <alignment horizontal="center" vertical="top" wrapText="1"/>
    </xf>
    <xf numFmtId="0" fontId="7" fillId="0" borderId="13" xfId="2" applyFont="1" applyBorder="1" applyAlignment="1">
      <alignment vertical="top" wrapText="1"/>
    </xf>
    <xf numFmtId="49" fontId="7" fillId="0" borderId="16" xfId="2" applyNumberFormat="1" applyFont="1" applyBorder="1" applyAlignment="1">
      <alignment horizontal="center" vertical="top" wrapText="1"/>
    </xf>
    <xf numFmtId="49" fontId="7" fillId="0" borderId="15" xfId="2" applyNumberFormat="1" applyFont="1" applyBorder="1" applyAlignment="1">
      <alignment horizontal="center" vertical="top" wrapText="1"/>
    </xf>
    <xf numFmtId="0" fontId="7" fillId="0" borderId="13" xfId="2" applyFont="1" applyBorder="1" applyAlignment="1">
      <alignment horizontal="center" vertical="top" wrapText="1"/>
    </xf>
    <xf numFmtId="0" fontId="13" fillId="3" borderId="13" xfId="2" applyFont="1" applyFill="1" applyBorder="1" applyAlignment="1">
      <alignment horizontal="center" vertical="top" wrapText="1"/>
    </xf>
    <xf numFmtId="43" fontId="6" fillId="3" borderId="20" xfId="1" applyFont="1" applyFill="1" applyBorder="1" applyAlignment="1">
      <alignment horizontal="center" vertical="top" wrapText="1"/>
    </xf>
    <xf numFmtId="0" fontId="10" fillId="0" borderId="13" xfId="0" applyFont="1" applyBorder="1" applyAlignment="1">
      <alignment horizontal="center"/>
    </xf>
    <xf numFmtId="49" fontId="7" fillId="3" borderId="22" xfId="2" applyNumberFormat="1" applyFont="1" applyFill="1" applyBorder="1" applyAlignment="1">
      <alignment horizontal="center" vertical="top" wrapText="1"/>
    </xf>
    <xf numFmtId="49" fontId="7" fillId="3" borderId="23" xfId="2" applyNumberFormat="1" applyFont="1" applyFill="1" applyBorder="1" applyAlignment="1">
      <alignment horizontal="center" vertical="top" wrapText="1"/>
    </xf>
    <xf numFmtId="0" fontId="7" fillId="3" borderId="18" xfId="2" applyFont="1" applyFill="1" applyBorder="1" applyAlignment="1">
      <alignment horizontal="center" vertical="top" wrapText="1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/>
    </xf>
    <xf numFmtId="43" fontId="16" fillId="0" borderId="0" xfId="1" applyFont="1"/>
    <xf numFmtId="43" fontId="16" fillId="0" borderId="0" xfId="1" applyFont="1" applyAlignment="1">
      <alignment horizontal="center"/>
    </xf>
    <xf numFmtId="0" fontId="7" fillId="0" borderId="13" xfId="0" applyFont="1" applyBorder="1" applyAlignment="1">
      <alignment horizontal="center"/>
    </xf>
    <xf numFmtId="0" fontId="7" fillId="3" borderId="26" xfId="2" applyFont="1" applyFill="1" applyBorder="1" applyAlignment="1">
      <alignment horizontal="center" vertical="top" wrapText="1"/>
    </xf>
    <xf numFmtId="0" fontId="6" fillId="3" borderId="5" xfId="2" applyFont="1" applyFill="1" applyBorder="1" applyAlignment="1">
      <alignment horizontal="center" vertical="top" wrapText="1"/>
    </xf>
    <xf numFmtId="188" fontId="6" fillId="3" borderId="20" xfId="1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horizontal="center"/>
    </xf>
    <xf numFmtId="43" fontId="20" fillId="0" borderId="0" xfId="1" applyFont="1"/>
    <xf numFmtId="0" fontId="17" fillId="0" borderId="0" xfId="0" applyFont="1"/>
    <xf numFmtId="0" fontId="17" fillId="0" borderId="14" xfId="0" applyFont="1" applyBorder="1" applyAlignment="1">
      <alignment horizontal="center"/>
    </xf>
    <xf numFmtId="49" fontId="21" fillId="4" borderId="15" xfId="0" applyNumberFormat="1" applyFont="1" applyFill="1" applyBorder="1" applyAlignment="1">
      <alignment horizontal="left"/>
    </xf>
    <xf numFmtId="0" fontId="20" fillId="0" borderId="13" xfId="0" applyFont="1" applyBorder="1" applyAlignment="1">
      <alignment horizontal="center"/>
    </xf>
    <xf numFmtId="43" fontId="20" fillId="0" borderId="13" xfId="1" applyFont="1" applyBorder="1"/>
    <xf numFmtId="43" fontId="20" fillId="0" borderId="13" xfId="1" applyFont="1" applyBorder="1" applyAlignment="1">
      <alignment horizontal="center"/>
    </xf>
    <xf numFmtId="0" fontId="17" fillId="4" borderId="14" xfId="0" applyFont="1" applyFill="1" applyBorder="1" applyAlignment="1">
      <alignment horizontal="center"/>
    </xf>
    <xf numFmtId="0" fontId="22" fillId="4" borderId="15" xfId="0" applyFont="1" applyFill="1" applyBorder="1"/>
    <xf numFmtId="0" fontId="20" fillId="4" borderId="24" xfId="0" applyFont="1" applyFill="1" applyBorder="1" applyAlignment="1">
      <alignment horizontal="center"/>
    </xf>
    <xf numFmtId="0" fontId="17" fillId="4" borderId="25" xfId="0" applyFont="1" applyFill="1" applyBorder="1" applyAlignment="1">
      <alignment horizontal="right"/>
    </xf>
    <xf numFmtId="0" fontId="20" fillId="4" borderId="20" xfId="0" applyFont="1" applyFill="1" applyBorder="1" applyAlignment="1">
      <alignment horizontal="center"/>
    </xf>
    <xf numFmtId="0" fontId="17" fillId="4" borderId="20" xfId="0" applyFont="1" applyFill="1" applyBorder="1" applyAlignment="1">
      <alignment horizontal="center"/>
    </xf>
    <xf numFmtId="43" fontId="17" fillId="4" borderId="20" xfId="1" applyFont="1" applyFill="1" applyBorder="1"/>
    <xf numFmtId="43" fontId="17" fillId="4" borderId="20" xfId="1" applyFont="1" applyFill="1" applyBorder="1" applyAlignment="1">
      <alignment horizontal="center"/>
    </xf>
    <xf numFmtId="0" fontId="16" fillId="0" borderId="12" xfId="0" applyFont="1" applyBorder="1" applyAlignment="1">
      <alignment horizontal="center"/>
    </xf>
    <xf numFmtId="43" fontId="16" fillId="0" borderId="12" xfId="1" applyFont="1" applyBorder="1" applyAlignment="1"/>
    <xf numFmtId="49" fontId="7" fillId="3" borderId="14" xfId="2" applyNumberFormat="1" applyFont="1" applyFill="1" applyBorder="1" applyAlignment="1">
      <alignment horizontal="center" vertical="top" wrapText="1"/>
    </xf>
    <xf numFmtId="49" fontId="7" fillId="3" borderId="16" xfId="2" applyNumberFormat="1" applyFont="1" applyFill="1" applyBorder="1" applyAlignment="1">
      <alignment horizontal="center" vertical="top" wrapText="1"/>
    </xf>
    <xf numFmtId="49" fontId="7" fillId="3" borderId="15" xfId="2" applyNumberFormat="1" applyFont="1" applyFill="1" applyBorder="1" applyAlignment="1">
      <alignment horizontal="center" vertical="top" wrapText="1"/>
    </xf>
    <xf numFmtId="0" fontId="8" fillId="2" borderId="28" xfId="2" applyFont="1" applyFill="1" applyBorder="1" applyAlignment="1">
      <alignment horizontal="left" vertical="center" wrapText="1"/>
    </xf>
    <xf numFmtId="0" fontId="8" fillId="2" borderId="28" xfId="2" applyFont="1" applyFill="1" applyBorder="1" applyAlignment="1">
      <alignment horizontal="center" vertical="center" wrapText="1"/>
    </xf>
    <xf numFmtId="49" fontId="8" fillId="0" borderId="29" xfId="2" applyNumberFormat="1" applyFont="1" applyBorder="1" applyAlignment="1">
      <alignment horizontal="center" vertical="center" wrapText="1"/>
    </xf>
    <xf numFmtId="49" fontId="8" fillId="0" borderId="30" xfId="2" applyNumberFormat="1" applyFont="1" applyBorder="1" applyAlignment="1">
      <alignment horizontal="center" vertical="center" wrapText="1"/>
    </xf>
    <xf numFmtId="49" fontId="8" fillId="0" borderId="31" xfId="2" applyNumberFormat="1" applyFont="1" applyBorder="1" applyAlignment="1">
      <alignment horizontal="center" vertical="center" wrapText="1"/>
    </xf>
    <xf numFmtId="187" fontId="6" fillId="3" borderId="28" xfId="2" applyNumberFormat="1" applyFont="1" applyFill="1" applyBorder="1" applyAlignment="1">
      <alignment horizontal="center" vertical="center" wrapText="1"/>
    </xf>
    <xf numFmtId="0" fontId="6" fillId="3" borderId="28" xfId="2" applyFont="1" applyFill="1" applyBorder="1" applyAlignment="1">
      <alignment horizontal="center" vertical="center" wrapText="1"/>
    </xf>
    <xf numFmtId="0" fontId="10" fillId="0" borderId="13" xfId="0" applyFont="1" applyBorder="1"/>
    <xf numFmtId="188" fontId="10" fillId="0" borderId="13" xfId="1" applyNumberFormat="1" applyFont="1" applyBorder="1"/>
    <xf numFmtId="0" fontId="6" fillId="3" borderId="13" xfId="2" applyFont="1" applyFill="1" applyBorder="1" applyAlignment="1">
      <alignment horizontal="center" vertical="top" wrapText="1"/>
    </xf>
    <xf numFmtId="49" fontId="6" fillId="3" borderId="14" xfId="2" applyNumberFormat="1" applyFont="1" applyFill="1" applyBorder="1" applyAlignment="1">
      <alignment horizontal="center" vertical="top" wrapText="1"/>
    </xf>
    <xf numFmtId="49" fontId="6" fillId="3" borderId="16" xfId="2" applyNumberFormat="1" applyFont="1" applyFill="1" applyBorder="1" applyAlignment="1">
      <alignment horizontal="center" vertical="top" wrapText="1"/>
    </xf>
    <xf numFmtId="187" fontId="6" fillId="3" borderId="13" xfId="2" applyNumberFormat="1" applyFont="1" applyFill="1" applyBorder="1" applyAlignment="1">
      <alignment horizontal="center" vertical="top" wrapText="1"/>
    </xf>
    <xf numFmtId="0" fontId="8" fillId="2" borderId="13" xfId="2" applyFont="1" applyFill="1" applyBorder="1" applyAlignment="1">
      <alignment horizontal="left" vertical="center" wrapText="1"/>
    </xf>
    <xf numFmtId="0" fontId="8" fillId="2" borderId="13" xfId="2" applyFont="1" applyFill="1" applyBorder="1" applyAlignment="1">
      <alignment horizontal="center" vertical="center" wrapText="1"/>
    </xf>
    <xf numFmtId="187" fontId="6" fillId="3" borderId="13" xfId="2" applyNumberFormat="1" applyFont="1" applyFill="1" applyBorder="1" applyAlignment="1">
      <alignment horizontal="center" vertical="center" wrapText="1"/>
    </xf>
    <xf numFmtId="49" fontId="6" fillId="3" borderId="15" xfId="2" applyNumberFormat="1" applyFont="1" applyFill="1" applyBorder="1" applyAlignment="1">
      <alignment horizontal="center" vertical="top" wrapText="1"/>
    </xf>
    <xf numFmtId="49" fontId="7" fillId="0" borderId="15" xfId="2" applyNumberFormat="1" applyFont="1" applyBorder="1" applyAlignment="1">
      <alignment horizontal="left" vertical="top" wrapText="1"/>
    </xf>
    <xf numFmtId="49" fontId="6" fillId="0" borderId="16" xfId="2" applyNumberFormat="1" applyFont="1" applyBorder="1" applyAlignment="1">
      <alignment horizontal="center" vertical="top" wrapText="1"/>
    </xf>
    <xf numFmtId="49" fontId="6" fillId="0" borderId="15" xfId="2" applyNumberFormat="1" applyFont="1" applyBorder="1" applyAlignment="1">
      <alignment horizontal="left" vertical="top" wrapText="1"/>
    </xf>
    <xf numFmtId="0" fontId="8" fillId="3" borderId="13" xfId="2" applyFont="1" applyFill="1" applyBorder="1" applyAlignment="1">
      <alignment horizontal="center" vertical="top" wrapText="1"/>
    </xf>
    <xf numFmtId="0" fontId="18" fillId="3" borderId="13" xfId="2" applyFont="1" applyFill="1" applyBorder="1" applyAlignment="1">
      <alignment horizontal="center" vertical="top" wrapText="1"/>
    </xf>
    <xf numFmtId="0" fontId="8" fillId="2" borderId="13" xfId="2" applyFont="1" applyFill="1" applyBorder="1" applyAlignment="1">
      <alignment horizontal="left" vertical="top" wrapText="1"/>
    </xf>
    <xf numFmtId="189" fontId="18" fillId="3" borderId="13" xfId="2" applyNumberFormat="1" applyFont="1" applyFill="1" applyBorder="1" applyAlignment="1">
      <alignment horizontal="center" vertical="top" wrapText="1"/>
    </xf>
    <xf numFmtId="0" fontId="8" fillId="2" borderId="14" xfId="2" applyFont="1" applyFill="1" applyBorder="1" applyAlignment="1">
      <alignment horizontal="left" vertical="top" wrapText="1"/>
    </xf>
    <xf numFmtId="187" fontId="7" fillId="3" borderId="15" xfId="2" applyNumberFormat="1" applyFont="1" applyFill="1" applyBorder="1" applyAlignment="1">
      <alignment horizontal="center" vertical="top" wrapText="1"/>
    </xf>
    <xf numFmtId="187" fontId="7" fillId="0" borderId="15" xfId="2" applyNumberFormat="1" applyFont="1" applyBorder="1" applyAlignment="1">
      <alignment vertical="top" wrapText="1"/>
    </xf>
    <xf numFmtId="49" fontId="7" fillId="0" borderId="14" xfId="2" applyNumberFormat="1" applyFont="1" applyBorder="1" applyAlignment="1">
      <alignment horizontal="center" vertical="center" wrapText="1"/>
    </xf>
    <xf numFmtId="49" fontId="7" fillId="0" borderId="16" xfId="2" applyNumberFormat="1" applyFont="1" applyBorder="1" applyAlignment="1">
      <alignment horizontal="center" vertical="center" wrapText="1"/>
    </xf>
    <xf numFmtId="49" fontId="7" fillId="0" borderId="15" xfId="2" applyNumberFormat="1" applyFont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/>
    </xf>
    <xf numFmtId="3" fontId="7" fillId="3" borderId="21" xfId="2" applyNumberFormat="1" applyFont="1" applyFill="1" applyBorder="1" applyAlignment="1">
      <alignment horizontal="right" vertical="top" wrapText="1"/>
    </xf>
    <xf numFmtId="188" fontId="7" fillId="3" borderId="18" xfId="1" applyNumberFormat="1" applyFont="1" applyFill="1" applyBorder="1" applyAlignment="1">
      <alignment horizontal="right" vertical="top" wrapText="1"/>
    </xf>
    <xf numFmtId="0" fontId="6" fillId="3" borderId="21" xfId="2" applyFont="1" applyFill="1" applyBorder="1" applyAlignment="1">
      <alignment horizontal="center" vertical="center" wrapText="1"/>
    </xf>
    <xf numFmtId="3" fontId="7" fillId="0" borderId="18" xfId="2" applyNumberFormat="1" applyFont="1" applyBorder="1" applyAlignment="1">
      <alignment horizontal="right" vertical="top" wrapText="1"/>
    </xf>
    <xf numFmtId="188" fontId="7" fillId="3" borderId="21" xfId="1" applyNumberFormat="1" applyFont="1" applyFill="1" applyBorder="1" applyAlignment="1">
      <alignment horizontal="right" vertical="top" wrapText="1"/>
    </xf>
    <xf numFmtId="3" fontId="7" fillId="3" borderId="18" xfId="2" applyNumberFormat="1" applyFont="1" applyFill="1" applyBorder="1" applyAlignment="1">
      <alignment horizontal="right" vertical="top" wrapText="1"/>
    </xf>
    <xf numFmtId="0" fontId="7" fillId="3" borderId="28" xfId="2" applyFont="1" applyFill="1" applyBorder="1" applyAlignment="1">
      <alignment horizontal="center" vertical="top" wrapText="1"/>
    </xf>
    <xf numFmtId="0" fontId="26" fillId="3" borderId="13" xfId="2" applyFont="1" applyFill="1" applyBorder="1" applyAlignment="1">
      <alignment horizontal="center" vertical="top" wrapText="1"/>
    </xf>
    <xf numFmtId="0" fontId="27" fillId="3" borderId="13" xfId="2" applyFont="1" applyFill="1" applyBorder="1" applyAlignment="1">
      <alignment horizontal="center" vertical="top" wrapText="1"/>
    </xf>
    <xf numFmtId="0" fontId="28" fillId="3" borderId="13" xfId="2" applyFont="1" applyFill="1" applyBorder="1" applyAlignment="1">
      <alignment horizontal="center" vertical="center" wrapText="1"/>
    </xf>
    <xf numFmtId="0" fontId="29" fillId="3" borderId="13" xfId="2" applyFont="1" applyFill="1" applyBorder="1" applyAlignment="1">
      <alignment horizontal="center" vertical="top" wrapText="1"/>
    </xf>
    <xf numFmtId="0" fontId="17" fillId="0" borderId="29" xfId="0" applyFont="1" applyBorder="1" applyAlignment="1">
      <alignment horizontal="center"/>
    </xf>
    <xf numFmtId="0" fontId="17" fillId="0" borderId="31" xfId="0" applyFont="1" applyBorder="1"/>
    <xf numFmtId="0" fontId="20" fillId="0" borderId="28" xfId="0" applyFont="1" applyBorder="1" applyAlignment="1">
      <alignment horizontal="center"/>
    </xf>
    <xf numFmtId="43" fontId="20" fillId="0" borderId="28" xfId="1" applyFont="1" applyBorder="1"/>
    <xf numFmtId="43" fontId="20" fillId="0" borderId="28" xfId="1" applyFont="1" applyBorder="1" applyAlignment="1">
      <alignment horizontal="center"/>
    </xf>
    <xf numFmtId="188" fontId="7" fillId="0" borderId="13" xfId="1" applyNumberFormat="1" applyFont="1" applyBorder="1" applyAlignment="1">
      <alignment horizontal="right" vertical="top" wrapText="1"/>
    </xf>
    <xf numFmtId="0" fontId="7" fillId="0" borderId="13" xfId="2" applyFont="1" applyBorder="1" applyAlignment="1">
      <alignment horizontal="left" vertical="top" wrapText="1"/>
    </xf>
    <xf numFmtId="49" fontId="7" fillId="0" borderId="14" xfId="2" applyNumberFormat="1" applyFont="1" applyBorder="1" applyAlignment="1">
      <alignment horizontal="center" vertical="top" wrapText="1"/>
    </xf>
    <xf numFmtId="0" fontId="6" fillId="0" borderId="13" xfId="2" applyFont="1" applyBorder="1" applyAlignment="1">
      <alignment horizontal="center" vertical="top" wrapText="1"/>
    </xf>
    <xf numFmtId="0" fontId="27" fillId="3" borderId="13" xfId="2" applyFont="1" applyFill="1" applyBorder="1" applyAlignment="1">
      <alignment horizontal="left" vertical="top" wrapText="1"/>
    </xf>
    <xf numFmtId="188" fontId="7" fillId="0" borderId="13" xfId="1" applyNumberFormat="1" applyFont="1" applyBorder="1" applyAlignment="1">
      <alignment vertical="top" wrapText="1"/>
    </xf>
    <xf numFmtId="0" fontId="24" fillId="3" borderId="13" xfId="2" applyFont="1" applyFill="1" applyBorder="1" applyAlignment="1">
      <alignment horizontal="center" vertical="top" wrapText="1"/>
    </xf>
    <xf numFmtId="0" fontId="25" fillId="3" borderId="13" xfId="2" applyFont="1" applyFill="1" applyBorder="1" applyAlignment="1">
      <alignment horizontal="center" vertical="top" wrapText="1"/>
    </xf>
    <xf numFmtId="188" fontId="6" fillId="3" borderId="32" xfId="1" applyNumberFormat="1" applyFont="1" applyFill="1" applyBorder="1" applyAlignment="1">
      <alignment horizontal="right" vertical="top" wrapText="1"/>
    </xf>
    <xf numFmtId="3" fontId="6" fillId="3" borderId="32" xfId="2" applyNumberFormat="1" applyFont="1" applyFill="1" applyBorder="1" applyAlignment="1">
      <alignment horizontal="right" vertical="top" wrapText="1"/>
    </xf>
    <xf numFmtId="188" fontId="6" fillId="0" borderId="32" xfId="1" applyNumberFormat="1" applyFont="1" applyBorder="1" applyAlignment="1">
      <alignment vertical="top" wrapText="1"/>
    </xf>
    <xf numFmtId="188" fontId="6" fillId="0" borderId="32" xfId="1" applyNumberFormat="1" applyFont="1" applyBorder="1" applyAlignment="1">
      <alignment horizontal="right" vertical="top" wrapText="1"/>
    </xf>
    <xf numFmtId="187" fontId="7" fillId="3" borderId="21" xfId="2" applyNumberFormat="1" applyFont="1" applyFill="1" applyBorder="1" applyAlignment="1">
      <alignment horizontal="center" vertical="top" wrapText="1"/>
    </xf>
    <xf numFmtId="0" fontId="7" fillId="3" borderId="18" xfId="2" applyFont="1" applyFill="1" applyBorder="1" applyAlignment="1">
      <alignment vertical="top" wrapText="1"/>
    </xf>
    <xf numFmtId="0" fontId="7" fillId="3" borderId="21" xfId="2" applyFont="1" applyFill="1" applyBorder="1" applyAlignment="1">
      <alignment horizontal="center" vertical="top" wrapText="1"/>
    </xf>
    <xf numFmtId="0" fontId="7" fillId="3" borderId="21" xfId="2" applyFont="1" applyFill="1" applyBorder="1" applyAlignment="1">
      <alignment horizontal="left" vertical="top" wrapText="1"/>
    </xf>
    <xf numFmtId="49" fontId="7" fillId="3" borderId="33" xfId="2" applyNumberFormat="1" applyFont="1" applyFill="1" applyBorder="1" applyAlignment="1">
      <alignment horizontal="center" vertical="top" wrapText="1"/>
    </xf>
    <xf numFmtId="43" fontId="6" fillId="0" borderId="20" xfId="1" applyFont="1" applyBorder="1" applyAlignment="1">
      <alignment horizontal="right" vertical="top" wrapText="1"/>
    </xf>
    <xf numFmtId="0" fontId="6" fillId="0" borderId="5" xfId="2" applyFont="1" applyBorder="1" applyAlignment="1">
      <alignment horizontal="center" vertical="center"/>
    </xf>
    <xf numFmtId="0" fontId="6" fillId="0" borderId="26" xfId="2" applyFont="1" applyBorder="1" applyAlignment="1">
      <alignment horizontal="center" vertical="top" wrapText="1"/>
    </xf>
    <xf numFmtId="49" fontId="6" fillId="0" borderId="4" xfId="2" applyNumberFormat="1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49" fontId="22" fillId="0" borderId="3" xfId="2" applyNumberFormat="1" applyFont="1" applyBorder="1" applyAlignment="1">
      <alignment horizontal="left" vertical="center"/>
    </xf>
    <xf numFmtId="0" fontId="8" fillId="2" borderId="21" xfId="2" applyFont="1" applyFill="1" applyBorder="1" applyAlignment="1">
      <alignment horizontal="left" vertical="top" wrapText="1"/>
    </xf>
    <xf numFmtId="0" fontId="8" fillId="2" borderId="21" xfId="2" applyFont="1" applyFill="1" applyBorder="1" applyAlignment="1">
      <alignment horizontal="center" vertical="center" wrapText="1"/>
    </xf>
    <xf numFmtId="49" fontId="8" fillId="0" borderId="33" xfId="2" applyNumberFormat="1" applyFont="1" applyBorder="1" applyAlignment="1">
      <alignment horizontal="center" vertical="center" wrapText="1"/>
    </xf>
    <xf numFmtId="49" fontId="8" fillId="0" borderId="34" xfId="2" applyNumberFormat="1" applyFont="1" applyBorder="1" applyAlignment="1">
      <alignment horizontal="center" vertical="center" wrapText="1"/>
    </xf>
    <xf numFmtId="49" fontId="8" fillId="0" borderId="35" xfId="2" applyNumberFormat="1" applyFont="1" applyBorder="1" applyAlignment="1">
      <alignment horizontal="center" vertical="center" wrapText="1"/>
    </xf>
    <xf numFmtId="0" fontId="29" fillId="3" borderId="21" xfId="2" applyFont="1" applyFill="1" applyBorder="1" applyAlignment="1">
      <alignment horizontal="center" vertical="top" wrapText="1"/>
    </xf>
    <xf numFmtId="188" fontId="7" fillId="3" borderId="21" xfId="1" applyNumberFormat="1" applyFont="1" applyFill="1" applyBorder="1" applyAlignment="1">
      <alignment horizontal="center" vertical="top" wrapText="1"/>
    </xf>
    <xf numFmtId="0" fontId="7" fillId="0" borderId="4" xfId="0" applyFont="1" applyBorder="1"/>
    <xf numFmtId="0" fontId="6" fillId="0" borderId="4" xfId="2" applyFont="1" applyBorder="1" applyAlignment="1">
      <alignment horizontal="center" vertical="top" wrapText="1"/>
    </xf>
    <xf numFmtId="0" fontId="7" fillId="0" borderId="4" xfId="2" applyFont="1" applyBorder="1" applyAlignment="1">
      <alignment horizontal="center" vertical="top" wrapText="1"/>
    </xf>
    <xf numFmtId="0" fontId="7" fillId="3" borderId="4" xfId="2" applyFont="1" applyFill="1" applyBorder="1" applyAlignment="1">
      <alignment horizontal="center" vertical="top" wrapText="1"/>
    </xf>
    <xf numFmtId="0" fontId="29" fillId="3" borderId="4" xfId="2" applyFont="1" applyFill="1" applyBorder="1" applyAlignment="1">
      <alignment horizontal="center" vertical="top" wrapText="1"/>
    </xf>
    <xf numFmtId="0" fontId="7" fillId="0" borderId="27" xfId="0" applyFont="1" applyBorder="1"/>
    <xf numFmtId="0" fontId="7" fillId="0" borderId="26" xfId="2" applyFont="1" applyBorder="1" applyAlignment="1">
      <alignment horizontal="center" vertical="top" wrapText="1"/>
    </xf>
    <xf numFmtId="0" fontId="29" fillId="3" borderId="26" xfId="2" applyFont="1" applyFill="1" applyBorder="1" applyAlignment="1">
      <alignment horizontal="center" vertical="top" wrapText="1"/>
    </xf>
    <xf numFmtId="188" fontId="7" fillId="3" borderId="26" xfId="1" applyNumberFormat="1" applyFont="1" applyFill="1" applyBorder="1" applyAlignment="1">
      <alignment horizontal="center" vertical="top" wrapText="1"/>
    </xf>
    <xf numFmtId="0" fontId="7" fillId="0" borderId="26" xfId="0" applyFont="1" applyBorder="1"/>
    <xf numFmtId="0" fontId="22" fillId="0" borderId="3" xfId="0" applyFont="1" applyBorder="1"/>
    <xf numFmtId="0" fontId="31" fillId="0" borderId="0" xfId="0" applyFont="1"/>
    <xf numFmtId="0" fontId="31" fillId="0" borderId="0" xfId="0" applyFont="1" applyAlignment="1">
      <alignment horizontal="center"/>
    </xf>
    <xf numFmtId="0" fontId="32" fillId="0" borderId="0" xfId="0" applyFont="1"/>
    <xf numFmtId="188" fontId="7" fillId="3" borderId="5" xfId="1" applyNumberFormat="1" applyFont="1" applyFill="1" applyBorder="1" applyAlignment="1">
      <alignment horizontal="center" vertical="top" wrapText="1"/>
    </xf>
    <xf numFmtId="49" fontId="7" fillId="3" borderId="19" xfId="2" applyNumberFormat="1" applyFont="1" applyFill="1" applyBorder="1" applyAlignment="1">
      <alignment horizontal="center" vertical="top" wrapText="1"/>
    </xf>
    <xf numFmtId="187" fontId="7" fillId="3" borderId="18" xfId="2" applyNumberFormat="1" applyFont="1" applyFill="1" applyBorder="1" applyAlignment="1">
      <alignment horizontal="center" vertical="top" wrapText="1"/>
    </xf>
    <xf numFmtId="0" fontId="26" fillId="3" borderId="18" xfId="2" applyFont="1" applyFill="1" applyBorder="1" applyAlignment="1">
      <alignment horizontal="center" vertical="top" wrapText="1"/>
    </xf>
    <xf numFmtId="49" fontId="7" fillId="3" borderId="34" xfId="2" applyNumberFormat="1" applyFont="1" applyFill="1" applyBorder="1" applyAlignment="1">
      <alignment horizontal="center" vertical="top" wrapText="1"/>
    </xf>
    <xf numFmtId="49" fontId="7" fillId="3" borderId="35" xfId="2" applyNumberFormat="1" applyFont="1" applyFill="1" applyBorder="1" applyAlignment="1">
      <alignment horizontal="center" vertical="top" wrapText="1"/>
    </xf>
    <xf numFmtId="0" fontId="26" fillId="3" borderId="21" xfId="2" applyFont="1" applyFill="1" applyBorder="1" applyAlignment="1">
      <alignment horizontal="center" vertical="top" wrapText="1"/>
    </xf>
    <xf numFmtId="0" fontId="7" fillId="3" borderId="37" xfId="2" applyFont="1" applyFill="1" applyBorder="1" applyAlignment="1">
      <alignment horizontal="center" vertical="top" wrapText="1"/>
    </xf>
    <xf numFmtId="0" fontId="7" fillId="3" borderId="37" xfId="2" applyFont="1" applyFill="1" applyBorder="1" applyAlignment="1">
      <alignment horizontal="left" vertical="top" wrapText="1"/>
    </xf>
    <xf numFmtId="49" fontId="7" fillId="3" borderId="38" xfId="2" applyNumberFormat="1" applyFont="1" applyFill="1" applyBorder="1" applyAlignment="1">
      <alignment horizontal="center" vertical="top" wrapText="1"/>
    </xf>
    <xf numFmtId="49" fontId="7" fillId="3" borderId="39" xfId="2" applyNumberFormat="1" applyFont="1" applyFill="1" applyBorder="1" applyAlignment="1">
      <alignment horizontal="center" vertical="top" wrapText="1"/>
    </xf>
    <xf numFmtId="49" fontId="7" fillId="3" borderId="40" xfId="2" applyNumberFormat="1" applyFont="1" applyFill="1" applyBorder="1" applyAlignment="1">
      <alignment horizontal="center" vertical="top" wrapText="1"/>
    </xf>
    <xf numFmtId="187" fontId="7" fillId="3" borderId="37" xfId="2" applyNumberFormat="1" applyFont="1" applyFill="1" applyBorder="1" applyAlignment="1">
      <alignment horizontal="center" vertical="top" wrapText="1"/>
    </xf>
    <xf numFmtId="3" fontId="7" fillId="3" borderId="37" xfId="2" applyNumberFormat="1" applyFont="1" applyFill="1" applyBorder="1" applyAlignment="1">
      <alignment horizontal="right" vertical="top" wrapText="1"/>
    </xf>
    <xf numFmtId="0" fontId="26" fillId="3" borderId="37" xfId="2" applyFont="1" applyFill="1" applyBorder="1" applyAlignment="1">
      <alignment horizontal="center" vertical="top" wrapText="1"/>
    </xf>
    <xf numFmtId="0" fontId="7" fillId="3" borderId="37" xfId="2" applyFont="1" applyFill="1" applyBorder="1" applyAlignment="1">
      <alignment vertical="top" wrapText="1"/>
    </xf>
    <xf numFmtId="0" fontId="7" fillId="3" borderId="41" xfId="2" applyFont="1" applyFill="1" applyBorder="1" applyAlignment="1">
      <alignment horizontal="center" vertical="top" wrapText="1"/>
    </xf>
    <xf numFmtId="0" fontId="7" fillId="3" borderId="41" xfId="2" applyFont="1" applyFill="1" applyBorder="1" applyAlignment="1">
      <alignment horizontal="left" vertical="top" wrapText="1"/>
    </xf>
    <xf numFmtId="49" fontId="7" fillId="3" borderId="42" xfId="2" applyNumberFormat="1" applyFont="1" applyFill="1" applyBorder="1" applyAlignment="1">
      <alignment horizontal="center" vertical="top" wrapText="1"/>
    </xf>
    <xf numFmtId="49" fontId="7" fillId="3" borderId="43" xfId="2" applyNumberFormat="1" applyFont="1" applyFill="1" applyBorder="1" applyAlignment="1">
      <alignment horizontal="center" vertical="top" wrapText="1"/>
    </xf>
    <xf numFmtId="49" fontId="7" fillId="3" borderId="44" xfId="2" applyNumberFormat="1" applyFont="1" applyFill="1" applyBorder="1" applyAlignment="1">
      <alignment horizontal="center" vertical="top" wrapText="1"/>
    </xf>
    <xf numFmtId="187" fontId="7" fillId="3" borderId="41" xfId="2" applyNumberFormat="1" applyFont="1" applyFill="1" applyBorder="1" applyAlignment="1">
      <alignment horizontal="center" vertical="top" wrapText="1"/>
    </xf>
    <xf numFmtId="3" fontId="7" fillId="3" borderId="41" xfId="2" applyNumberFormat="1" applyFont="1" applyFill="1" applyBorder="1" applyAlignment="1">
      <alignment horizontal="right" vertical="top" wrapText="1"/>
    </xf>
    <xf numFmtId="0" fontId="26" fillId="3" borderId="41" xfId="2" applyFont="1" applyFill="1" applyBorder="1" applyAlignment="1">
      <alignment horizontal="center" vertical="top" wrapText="1"/>
    </xf>
    <xf numFmtId="0" fontId="7" fillId="3" borderId="41" xfId="2" applyFont="1" applyFill="1" applyBorder="1" applyAlignment="1">
      <alignment vertical="top" wrapText="1"/>
    </xf>
    <xf numFmtId="188" fontId="7" fillId="3" borderId="41" xfId="1" applyNumberFormat="1" applyFont="1" applyFill="1" applyBorder="1" applyAlignment="1">
      <alignment horizontal="right" vertical="top" wrapText="1"/>
    </xf>
    <xf numFmtId="0" fontId="7" fillId="3" borderId="41" xfId="0" applyFont="1" applyFill="1" applyBorder="1" applyAlignment="1">
      <alignment vertical="top" wrapText="1"/>
    </xf>
    <xf numFmtId="49" fontId="7" fillId="3" borderId="43" xfId="0" applyNumberFormat="1" applyFont="1" applyFill="1" applyBorder="1" applyAlignment="1">
      <alignment horizontal="center" vertical="top" wrapText="1"/>
    </xf>
    <xf numFmtId="49" fontId="7" fillId="3" borderId="44" xfId="0" applyNumberFormat="1" applyFont="1" applyFill="1" applyBorder="1" applyAlignment="1">
      <alignment horizontal="center" vertical="top" wrapText="1"/>
    </xf>
    <xf numFmtId="187" fontId="7" fillId="0" borderId="41" xfId="2" applyNumberFormat="1" applyFont="1" applyBorder="1" applyAlignment="1">
      <alignment horizontal="center" vertical="top" wrapText="1"/>
    </xf>
    <xf numFmtId="188" fontId="7" fillId="0" borderId="41" xfId="1" applyNumberFormat="1" applyFont="1" applyFill="1" applyBorder="1" applyAlignment="1">
      <alignment horizontal="right" vertical="top" wrapText="1"/>
    </xf>
    <xf numFmtId="0" fontId="7" fillId="3" borderId="41" xfId="2" applyFont="1" applyFill="1" applyBorder="1" applyAlignment="1">
      <alignment horizontal="center" vertical="center" wrapText="1"/>
    </xf>
    <xf numFmtId="0" fontId="7" fillId="0" borderId="41" xfId="2" applyFont="1" applyBorder="1" applyAlignment="1">
      <alignment vertical="top" wrapText="1"/>
    </xf>
    <xf numFmtId="49" fontId="7" fillId="0" borderId="43" xfId="2" applyNumberFormat="1" applyFont="1" applyBorder="1" applyAlignment="1">
      <alignment horizontal="center" vertical="top" wrapText="1"/>
    </xf>
    <xf numFmtId="49" fontId="7" fillId="0" borderId="44" xfId="2" applyNumberFormat="1" applyFont="1" applyBorder="1" applyAlignment="1">
      <alignment horizontal="center" vertical="top" wrapText="1"/>
    </xf>
    <xf numFmtId="3" fontId="7" fillId="0" borderId="41" xfId="2" applyNumberFormat="1" applyFont="1" applyBorder="1" applyAlignment="1">
      <alignment horizontal="right" vertical="top" wrapText="1"/>
    </xf>
    <xf numFmtId="0" fontId="7" fillId="0" borderId="41" xfId="2" applyFont="1" applyBorder="1" applyAlignment="1">
      <alignment horizontal="center" vertical="top" wrapText="1"/>
    </xf>
    <xf numFmtId="188" fontId="7" fillId="0" borderId="41" xfId="1" applyNumberFormat="1" applyFont="1" applyBorder="1" applyAlignment="1">
      <alignment horizontal="center" vertical="top" wrapText="1"/>
    </xf>
    <xf numFmtId="0" fontId="7" fillId="3" borderId="42" xfId="2" applyFont="1" applyFill="1" applyBorder="1" applyAlignment="1">
      <alignment horizontal="center" vertical="top" wrapText="1"/>
    </xf>
    <xf numFmtId="0" fontId="7" fillId="3" borderId="45" xfId="2" applyFont="1" applyFill="1" applyBorder="1" applyAlignment="1">
      <alignment horizontal="center" vertical="top" wrapText="1"/>
    </xf>
    <xf numFmtId="0" fontId="7" fillId="3" borderId="46" xfId="2" applyFont="1" applyFill="1" applyBorder="1" applyAlignment="1">
      <alignment horizontal="left" vertical="top" wrapText="1"/>
    </xf>
    <xf numFmtId="49" fontId="7" fillId="3" borderId="45" xfId="2" applyNumberFormat="1" applyFont="1" applyFill="1" applyBorder="1" applyAlignment="1">
      <alignment horizontal="center" vertical="top" wrapText="1"/>
    </xf>
    <xf numFmtId="49" fontId="7" fillId="0" borderId="47" xfId="2" applyNumberFormat="1" applyFont="1" applyBorder="1" applyAlignment="1">
      <alignment horizontal="center" vertical="top" wrapText="1"/>
    </xf>
    <xf numFmtId="49" fontId="7" fillId="0" borderId="48" xfId="2" applyNumberFormat="1" applyFont="1" applyBorder="1" applyAlignment="1">
      <alignment horizontal="center" vertical="top" wrapText="1"/>
    </xf>
    <xf numFmtId="187" fontId="7" fillId="0" borderId="46" xfId="2" applyNumberFormat="1" applyFont="1" applyBorder="1" applyAlignment="1">
      <alignment horizontal="center" vertical="top" wrapText="1"/>
    </xf>
    <xf numFmtId="3" fontId="7" fillId="0" borderId="36" xfId="2" applyNumberFormat="1" applyFont="1" applyBorder="1" applyAlignment="1">
      <alignment horizontal="right" vertical="top" wrapText="1"/>
    </xf>
    <xf numFmtId="0" fontId="26" fillId="3" borderId="46" xfId="2" applyFont="1" applyFill="1" applyBorder="1" applyAlignment="1">
      <alignment horizontal="center" vertical="top" wrapText="1"/>
    </xf>
    <xf numFmtId="0" fontId="7" fillId="3" borderId="46" xfId="2" applyFont="1" applyFill="1" applyBorder="1" applyAlignment="1">
      <alignment vertical="top" wrapText="1"/>
    </xf>
    <xf numFmtId="0" fontId="7" fillId="3" borderId="46" xfId="2" applyFont="1" applyFill="1" applyBorder="1" applyAlignment="1">
      <alignment horizontal="center" vertical="top" wrapText="1"/>
    </xf>
    <xf numFmtId="0" fontId="20" fillId="0" borderId="0" xfId="0" applyFont="1"/>
    <xf numFmtId="43" fontId="20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188" fontId="6" fillId="0" borderId="0" xfId="0" applyNumberFormat="1" applyFont="1"/>
    <xf numFmtId="0" fontId="7" fillId="0" borderId="0" xfId="0" applyFont="1" applyAlignment="1">
      <alignment horizontal="center"/>
    </xf>
    <xf numFmtId="0" fontId="7" fillId="3" borderId="19" xfId="2" applyFont="1" applyFill="1" applyBorder="1" applyAlignment="1">
      <alignment horizontal="center" vertical="top" wrapText="1"/>
    </xf>
    <xf numFmtId="0" fontId="6" fillId="3" borderId="18" xfId="2" applyFont="1" applyFill="1" applyBorder="1" applyAlignment="1">
      <alignment horizontal="center" vertical="top" wrapText="1"/>
    </xf>
    <xf numFmtId="49" fontId="7" fillId="0" borderId="22" xfId="2" applyNumberFormat="1" applyFont="1" applyBorder="1" applyAlignment="1">
      <alignment horizontal="center" vertical="top" wrapText="1"/>
    </xf>
    <xf numFmtId="49" fontId="7" fillId="0" borderId="23" xfId="2" applyNumberFormat="1" applyFont="1" applyBorder="1" applyAlignment="1">
      <alignment horizontal="center" vertical="top" wrapText="1"/>
    </xf>
    <xf numFmtId="0" fontId="7" fillId="0" borderId="18" xfId="2" applyFont="1" applyBorder="1" applyAlignment="1">
      <alignment horizontal="center" vertical="top" wrapText="1"/>
    </xf>
    <xf numFmtId="3" fontId="6" fillId="0" borderId="2" xfId="2" applyNumberFormat="1" applyFont="1" applyBorder="1" applyAlignment="1">
      <alignment horizontal="right" vertical="top" wrapText="1"/>
    </xf>
    <xf numFmtId="0" fontId="27" fillId="3" borderId="18" xfId="2" applyFont="1" applyFill="1" applyBorder="1" applyAlignment="1">
      <alignment horizontal="center" vertical="top" wrapText="1"/>
    </xf>
    <xf numFmtId="188" fontId="7" fillId="0" borderId="18" xfId="1" applyNumberFormat="1" applyFont="1" applyBorder="1" applyAlignment="1">
      <alignment horizontal="center" vertical="top" wrapText="1"/>
    </xf>
    <xf numFmtId="0" fontId="9" fillId="0" borderId="49" xfId="0" applyFont="1" applyBorder="1"/>
    <xf numFmtId="0" fontId="6" fillId="0" borderId="50" xfId="0" applyFont="1" applyBorder="1" applyAlignment="1">
      <alignment horizontal="center"/>
    </xf>
    <xf numFmtId="49" fontId="9" fillId="0" borderId="51" xfId="0" applyNumberFormat="1" applyFont="1" applyBorder="1" applyAlignment="1">
      <alignment horizontal="center"/>
    </xf>
    <xf numFmtId="49" fontId="9" fillId="0" borderId="52" xfId="0" applyNumberFormat="1" applyFont="1" applyBorder="1" applyAlignment="1">
      <alignment horizontal="center"/>
    </xf>
    <xf numFmtId="49" fontId="9" fillId="0" borderId="53" xfId="0" applyNumberFormat="1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188" fontId="6" fillId="0" borderId="50" xfId="0" applyNumberFormat="1" applyFont="1" applyBorder="1"/>
    <xf numFmtId="0" fontId="9" fillId="0" borderId="50" xfId="0" applyFont="1" applyBorder="1"/>
    <xf numFmtId="0" fontId="7" fillId="0" borderId="50" xfId="0" applyFont="1" applyBorder="1" applyAlignment="1">
      <alignment horizontal="center"/>
    </xf>
    <xf numFmtId="0" fontId="7" fillId="0" borderId="50" xfId="0" applyFont="1" applyBorder="1"/>
    <xf numFmtId="0" fontId="9" fillId="0" borderId="54" xfId="0" applyFont="1" applyBorder="1" applyAlignment="1">
      <alignment horizontal="center"/>
    </xf>
    <xf numFmtId="0" fontId="6" fillId="0" borderId="18" xfId="2" applyFont="1" applyBorder="1" applyAlignment="1">
      <alignment horizontal="center" vertical="top" wrapText="1"/>
    </xf>
    <xf numFmtId="188" fontId="6" fillId="0" borderId="18" xfId="1" applyNumberFormat="1" applyFont="1" applyBorder="1" applyAlignment="1">
      <alignment vertical="top" wrapText="1"/>
    </xf>
    <xf numFmtId="0" fontId="27" fillId="3" borderId="18" xfId="2" applyFont="1" applyFill="1" applyBorder="1" applyAlignment="1">
      <alignment horizontal="left" vertical="top" wrapText="1"/>
    </xf>
    <xf numFmtId="0" fontId="7" fillId="3" borderId="49" xfId="2" applyFont="1" applyFill="1" applyBorder="1" applyAlignment="1">
      <alignment horizontal="center" vertical="top" wrapText="1"/>
    </xf>
    <xf numFmtId="0" fontId="6" fillId="3" borderId="50" xfId="2" applyFont="1" applyFill="1" applyBorder="1" applyAlignment="1">
      <alignment horizontal="center" vertical="top" wrapText="1"/>
    </xf>
    <xf numFmtId="49" fontId="7" fillId="3" borderId="51" xfId="2" applyNumberFormat="1" applyFont="1" applyFill="1" applyBorder="1" applyAlignment="1">
      <alignment horizontal="center" vertical="top" wrapText="1"/>
    </xf>
    <xf numFmtId="49" fontId="7" fillId="3" borderId="52" xfId="2" applyNumberFormat="1" applyFont="1" applyFill="1" applyBorder="1" applyAlignment="1">
      <alignment horizontal="center" vertical="top" wrapText="1"/>
    </xf>
    <xf numFmtId="49" fontId="7" fillId="3" borderId="53" xfId="2" applyNumberFormat="1" applyFont="1" applyFill="1" applyBorder="1" applyAlignment="1">
      <alignment horizontal="center" vertical="top" wrapText="1"/>
    </xf>
    <xf numFmtId="187" fontId="7" fillId="3" borderId="50" xfId="2" applyNumberFormat="1" applyFont="1" applyFill="1" applyBorder="1" applyAlignment="1">
      <alignment horizontal="center" vertical="top" wrapText="1"/>
    </xf>
    <xf numFmtId="3" fontId="6" fillId="3" borderId="50" xfId="2" applyNumberFormat="1" applyFont="1" applyFill="1" applyBorder="1" applyAlignment="1">
      <alignment horizontal="right" vertical="top" wrapText="1"/>
    </xf>
    <xf numFmtId="0" fontId="7" fillId="3" borderId="50" xfId="2" applyFont="1" applyFill="1" applyBorder="1" applyAlignment="1">
      <alignment horizontal="center" vertical="top" wrapText="1"/>
    </xf>
    <xf numFmtId="0" fontId="7" fillId="3" borderId="54" xfId="2" applyFont="1" applyFill="1" applyBorder="1" applyAlignment="1">
      <alignment horizontal="center" vertical="top" wrapText="1"/>
    </xf>
    <xf numFmtId="0" fontId="33" fillId="0" borderId="13" xfId="2" applyFont="1" applyBorder="1" applyAlignment="1">
      <alignment horizontal="center" vertical="top" wrapText="1"/>
    </xf>
    <xf numFmtId="0" fontId="14" fillId="0" borderId="6" xfId="2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7" fillId="3" borderId="17" xfId="2" applyFont="1" applyFill="1" applyBorder="1" applyAlignment="1">
      <alignment horizontal="center" vertical="top" wrapText="1"/>
    </xf>
    <xf numFmtId="0" fontId="12" fillId="3" borderId="23" xfId="2" applyFont="1" applyFill="1" applyBorder="1" applyAlignment="1">
      <alignment vertical="top" wrapText="1"/>
    </xf>
    <xf numFmtId="43" fontId="7" fillId="3" borderId="55" xfId="1" applyFont="1" applyFill="1" applyBorder="1" applyAlignment="1">
      <alignment horizontal="right" vertical="top" wrapText="1"/>
    </xf>
    <xf numFmtId="43" fontId="7" fillId="3" borderId="41" xfId="1" applyFont="1" applyFill="1" applyBorder="1" applyAlignment="1">
      <alignment horizontal="right" vertical="top" wrapText="1"/>
    </xf>
    <xf numFmtId="3" fontId="7" fillId="3" borderId="17" xfId="2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9" fontId="6" fillId="0" borderId="2" xfId="2" applyNumberFormat="1" applyFont="1" applyBorder="1" applyAlignment="1">
      <alignment horizontal="center" vertical="center" wrapText="1"/>
    </xf>
    <xf numFmtId="49" fontId="6" fillId="0" borderId="6" xfId="2" applyNumberFormat="1" applyFont="1" applyBorder="1" applyAlignment="1">
      <alignment horizontal="center" vertical="center"/>
    </xf>
    <xf numFmtId="49" fontId="6" fillId="0" borderId="6" xfId="2" applyNumberFormat="1" applyFont="1" applyBorder="1" applyAlignment="1">
      <alignment horizontal="center" vertical="center" wrapText="1"/>
    </xf>
    <xf numFmtId="49" fontId="6" fillId="0" borderId="7" xfId="2" applyNumberFormat="1" applyFont="1" applyBorder="1" applyAlignment="1">
      <alignment horizontal="center" vertical="center" wrapText="1"/>
    </xf>
    <xf numFmtId="49" fontId="6" fillId="0" borderId="8" xfId="2" applyNumberFormat="1" applyFont="1" applyBorder="1" applyAlignment="1">
      <alignment horizontal="center" vertical="center" wrapText="1"/>
    </xf>
    <xf numFmtId="49" fontId="6" fillId="0" borderId="9" xfId="2" applyNumberFormat="1" applyFont="1" applyBorder="1" applyAlignment="1">
      <alignment horizontal="center" vertical="center" wrapText="1"/>
    </xf>
    <xf numFmtId="49" fontId="6" fillId="0" borderId="10" xfId="2" applyNumberFormat="1" applyFont="1" applyBorder="1" applyAlignment="1">
      <alignment horizontal="center" vertical="center" wrapText="1"/>
    </xf>
    <xf numFmtId="49" fontId="6" fillId="0" borderId="1" xfId="2" applyNumberFormat="1" applyFont="1" applyBorder="1" applyAlignment="1">
      <alignment horizontal="center" vertical="center" wrapText="1"/>
    </xf>
    <xf numFmtId="49" fontId="6" fillId="0" borderId="11" xfId="2" applyNumberFormat="1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12" fillId="3" borderId="12" xfId="2" applyFont="1" applyFill="1" applyBorder="1" applyAlignment="1">
      <alignment horizontal="center" vertical="top" wrapText="1"/>
    </xf>
    <xf numFmtId="49" fontId="22" fillId="0" borderId="3" xfId="2" applyNumberFormat="1" applyFont="1" applyBorder="1" applyAlignment="1">
      <alignment horizontal="left" vertical="center"/>
    </xf>
    <xf numFmtId="49" fontId="22" fillId="0" borderId="4" xfId="2" applyNumberFormat="1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7" fillId="0" borderId="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30" fillId="0" borderId="1" xfId="0" applyFont="1" applyBorder="1" applyAlignment="1">
      <alignment horizontal="right"/>
    </xf>
  </cellXfs>
  <cellStyles count="3">
    <cellStyle name="จุลภาค" xfId="1" builtinId="3"/>
    <cellStyle name="ปกติ" xfId="0" builtinId="0"/>
    <cellStyle name="ปกติ_Sheet1" xfId="2" xr:uid="{00000000-0005-0000-0000-000002000000}"/>
  </cellStyles>
  <dxfs count="0"/>
  <tableStyles count="0" defaultTableStyle="TableStyleMedium9" defaultPivotStyle="PivotStyleLight16"/>
  <colors>
    <mruColors>
      <color rgb="FFFFCCFF"/>
      <color rgb="FF0000FF"/>
      <color rgb="FFFF99FF"/>
      <color rgb="FFCC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O88"/>
  <sheetViews>
    <sheetView view="pageLayout" topLeftCell="A57" zoomScale="120" zoomScaleNormal="130" zoomScaleSheetLayoutView="130" zoomScalePageLayoutView="120" workbookViewId="0">
      <selection activeCell="D90" sqref="D90"/>
    </sheetView>
  </sheetViews>
  <sheetFormatPr defaultRowHeight="19.5" x14ac:dyDescent="0.3"/>
  <cols>
    <col min="1" max="1" width="4.875" style="2" bestFit="1" customWidth="1"/>
    <col min="2" max="2" width="43.75" style="2" bestFit="1" customWidth="1"/>
    <col min="3" max="3" width="4.25" style="4" bestFit="1" customWidth="1"/>
    <col min="4" max="4" width="3.375" style="4" bestFit="1" customWidth="1"/>
    <col min="5" max="5" width="5.125" style="4" bestFit="1" customWidth="1"/>
    <col min="6" max="6" width="8" style="3" bestFit="1" customWidth="1"/>
    <col min="7" max="7" width="9.25" style="2" bestFit="1" customWidth="1"/>
    <col min="8" max="8" width="9.5" style="2" bestFit="1" customWidth="1"/>
    <col min="9" max="9" width="4.375" style="1" customWidth="1"/>
    <col min="10" max="10" width="4.25" style="1" customWidth="1"/>
    <col min="11" max="11" width="3.75" style="1" customWidth="1"/>
    <col min="12" max="12" width="4.5" style="1" customWidth="1"/>
    <col min="13" max="13" width="3.5" style="1" bestFit="1" customWidth="1"/>
    <col min="14" max="14" width="4.625" style="1" customWidth="1"/>
    <col min="15" max="15" width="12.875" style="3" customWidth="1"/>
  </cols>
  <sheetData>
    <row r="1" spans="1:15" ht="21" x14ac:dyDescent="0.35">
      <c r="A1" s="274" t="s">
        <v>296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</row>
    <row r="2" spans="1:15" x14ac:dyDescent="0.3">
      <c r="A2" s="275" t="s">
        <v>250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</row>
    <row r="3" spans="1:15" ht="17.25" x14ac:dyDescent="0.2">
      <c r="A3" s="276" t="s">
        <v>69</v>
      </c>
      <c r="B3" s="276" t="s">
        <v>0</v>
      </c>
      <c r="C3" s="279" t="s">
        <v>64</v>
      </c>
      <c r="D3" s="280"/>
      <c r="E3" s="281"/>
      <c r="F3" s="276" t="s">
        <v>65</v>
      </c>
      <c r="G3" s="276" t="s">
        <v>66</v>
      </c>
      <c r="H3" s="276" t="s">
        <v>67</v>
      </c>
      <c r="I3" s="285" t="s">
        <v>68</v>
      </c>
      <c r="J3" s="286"/>
      <c r="K3" s="286"/>
      <c r="L3" s="286"/>
      <c r="M3" s="286"/>
      <c r="N3" s="287"/>
      <c r="O3" s="288" t="s">
        <v>4</v>
      </c>
    </row>
    <row r="4" spans="1:15" ht="36" x14ac:dyDescent="0.2">
      <c r="A4" s="277"/>
      <c r="B4" s="278"/>
      <c r="C4" s="282"/>
      <c r="D4" s="283"/>
      <c r="E4" s="284"/>
      <c r="F4" s="278"/>
      <c r="G4" s="278"/>
      <c r="H4" s="278"/>
      <c r="I4" s="16" t="s">
        <v>1</v>
      </c>
      <c r="J4" s="16" t="s">
        <v>2</v>
      </c>
      <c r="K4" s="17" t="s">
        <v>73</v>
      </c>
      <c r="L4" s="16" t="s">
        <v>3</v>
      </c>
      <c r="M4" s="16" t="s">
        <v>75</v>
      </c>
      <c r="N4" s="16" t="s">
        <v>74</v>
      </c>
      <c r="O4" s="289"/>
    </row>
    <row r="5" spans="1:15" ht="21" x14ac:dyDescent="0.2">
      <c r="A5" s="159" t="s">
        <v>234</v>
      </c>
      <c r="B5" s="156"/>
      <c r="C5" s="156"/>
      <c r="D5" s="156"/>
      <c r="E5" s="156"/>
      <c r="F5" s="156"/>
      <c r="G5" s="156"/>
      <c r="H5" s="156"/>
      <c r="I5" s="157"/>
      <c r="J5" s="157"/>
      <c r="K5" s="158"/>
      <c r="L5" s="157"/>
      <c r="M5" s="157"/>
      <c r="N5" s="157"/>
      <c r="O5" s="154"/>
    </row>
    <row r="6" spans="1:15" ht="17.25" x14ac:dyDescent="0.2">
      <c r="A6" s="89">
        <v>400</v>
      </c>
      <c r="B6" s="90" t="s">
        <v>6</v>
      </c>
      <c r="C6" s="91"/>
      <c r="D6" s="92"/>
      <c r="E6" s="93"/>
      <c r="F6" s="94"/>
      <c r="G6" s="95"/>
      <c r="H6" s="95"/>
      <c r="I6" s="95"/>
      <c r="J6" s="95"/>
      <c r="K6" s="95"/>
      <c r="L6" s="95"/>
      <c r="M6" s="95"/>
      <c r="N6" s="95"/>
      <c r="O6" s="95"/>
    </row>
    <row r="7" spans="1:15" ht="17.25" x14ac:dyDescent="0.3">
      <c r="A7" s="26">
        <v>1</v>
      </c>
      <c r="B7" s="96" t="s">
        <v>168</v>
      </c>
      <c r="C7" s="8">
        <v>400</v>
      </c>
      <c r="D7" s="87" t="s">
        <v>93</v>
      </c>
      <c r="E7" s="88" t="s">
        <v>169</v>
      </c>
      <c r="F7" s="55" t="s">
        <v>28</v>
      </c>
      <c r="G7" s="97">
        <v>12915</v>
      </c>
      <c r="H7" s="27" t="s">
        <v>72</v>
      </c>
      <c r="I7" s="127">
        <v>1</v>
      </c>
      <c r="J7" s="28"/>
      <c r="K7" s="28"/>
      <c r="L7" s="28"/>
      <c r="M7" s="28"/>
      <c r="N7" s="28"/>
      <c r="O7" s="36" t="s">
        <v>267</v>
      </c>
    </row>
    <row r="8" spans="1:15" ht="19.5" customHeight="1" x14ac:dyDescent="0.2">
      <c r="A8" s="26">
        <v>2</v>
      </c>
      <c r="B8" s="33" t="s">
        <v>270</v>
      </c>
      <c r="C8" s="86" t="s">
        <v>78</v>
      </c>
      <c r="D8" s="87" t="s">
        <v>271</v>
      </c>
      <c r="E8" s="87" t="s">
        <v>272</v>
      </c>
      <c r="F8" s="31" t="s">
        <v>294</v>
      </c>
      <c r="G8" s="203">
        <v>11449</v>
      </c>
      <c r="H8" s="27" t="s">
        <v>5</v>
      </c>
      <c r="I8" s="127">
        <v>1</v>
      </c>
      <c r="J8" s="127"/>
      <c r="K8" s="150"/>
      <c r="L8" s="150"/>
      <c r="M8" s="150"/>
      <c r="N8" s="27"/>
      <c r="O8" s="36" t="s">
        <v>282</v>
      </c>
    </row>
    <row r="9" spans="1:15" ht="19.5" customHeight="1" x14ac:dyDescent="0.2">
      <c r="A9" s="26">
        <v>3</v>
      </c>
      <c r="B9" s="33" t="s">
        <v>270</v>
      </c>
      <c r="C9" s="86" t="s">
        <v>78</v>
      </c>
      <c r="D9" s="87" t="s">
        <v>271</v>
      </c>
      <c r="E9" s="87" t="s">
        <v>273</v>
      </c>
      <c r="F9" s="31" t="s">
        <v>294</v>
      </c>
      <c r="G9" s="203">
        <v>11449</v>
      </c>
      <c r="H9" s="27" t="s">
        <v>265</v>
      </c>
      <c r="I9" s="127">
        <v>1</v>
      </c>
      <c r="J9" s="127"/>
      <c r="K9" s="150"/>
      <c r="L9" s="150"/>
      <c r="M9" s="150"/>
      <c r="N9" s="27"/>
      <c r="O9" s="197" t="s">
        <v>308</v>
      </c>
    </row>
    <row r="10" spans="1:15" ht="19.5" customHeight="1" x14ac:dyDescent="0.2">
      <c r="A10" s="26">
        <v>4</v>
      </c>
      <c r="B10" s="33" t="s">
        <v>270</v>
      </c>
      <c r="C10" s="86" t="s">
        <v>78</v>
      </c>
      <c r="D10" s="87" t="s">
        <v>271</v>
      </c>
      <c r="E10" s="87" t="s">
        <v>274</v>
      </c>
      <c r="F10" s="31" t="s">
        <v>294</v>
      </c>
      <c r="G10" s="203">
        <v>11449</v>
      </c>
      <c r="H10" s="27" t="s">
        <v>265</v>
      </c>
      <c r="I10" s="127">
        <v>1</v>
      </c>
      <c r="J10" s="127"/>
      <c r="K10" s="150"/>
      <c r="L10" s="150"/>
      <c r="M10" s="150"/>
      <c r="N10" s="27"/>
      <c r="O10" s="36" t="s">
        <v>7</v>
      </c>
    </row>
    <row r="11" spans="1:15" ht="19.5" customHeight="1" x14ac:dyDescent="0.2">
      <c r="A11" s="26">
        <v>5</v>
      </c>
      <c r="B11" s="33" t="s">
        <v>270</v>
      </c>
      <c r="C11" s="86" t="s">
        <v>78</v>
      </c>
      <c r="D11" s="87" t="s">
        <v>271</v>
      </c>
      <c r="E11" s="87" t="s">
        <v>275</v>
      </c>
      <c r="F11" s="31" t="s">
        <v>294</v>
      </c>
      <c r="G11" s="203">
        <v>11449</v>
      </c>
      <c r="H11" s="27" t="s">
        <v>5</v>
      </c>
      <c r="I11" s="127">
        <v>1</v>
      </c>
      <c r="J11" s="127"/>
      <c r="K11" s="150"/>
      <c r="L11" s="150"/>
      <c r="M11" s="150"/>
      <c r="N11" s="27"/>
      <c r="O11" s="36" t="s">
        <v>243</v>
      </c>
    </row>
    <row r="12" spans="1:15" ht="19.5" customHeight="1" x14ac:dyDescent="0.2">
      <c r="A12" s="26">
        <v>6</v>
      </c>
      <c r="B12" s="33" t="s">
        <v>270</v>
      </c>
      <c r="C12" s="86" t="s">
        <v>78</v>
      </c>
      <c r="D12" s="87" t="s">
        <v>271</v>
      </c>
      <c r="E12" s="87" t="s">
        <v>276</v>
      </c>
      <c r="F12" s="31" t="s">
        <v>294</v>
      </c>
      <c r="G12" s="203">
        <v>11449</v>
      </c>
      <c r="H12" s="27" t="s">
        <v>10</v>
      </c>
      <c r="I12" s="127">
        <v>1</v>
      </c>
      <c r="J12" s="127"/>
      <c r="K12" s="150"/>
      <c r="L12" s="150"/>
      <c r="M12" s="150"/>
      <c r="N12" s="27"/>
      <c r="O12" s="36" t="s">
        <v>281</v>
      </c>
    </row>
    <row r="13" spans="1:15" ht="19.5" customHeight="1" x14ac:dyDescent="0.2">
      <c r="A13" s="26">
        <v>7</v>
      </c>
      <c r="B13" s="33" t="s">
        <v>270</v>
      </c>
      <c r="C13" s="86" t="s">
        <v>78</v>
      </c>
      <c r="D13" s="87" t="s">
        <v>271</v>
      </c>
      <c r="E13" s="87" t="s">
        <v>277</v>
      </c>
      <c r="F13" s="31" t="s">
        <v>294</v>
      </c>
      <c r="G13" s="203">
        <v>11449</v>
      </c>
      <c r="H13" s="27" t="s">
        <v>10</v>
      </c>
      <c r="I13" s="127">
        <v>1</v>
      </c>
      <c r="J13" s="127"/>
      <c r="K13" s="150"/>
      <c r="L13" s="150"/>
      <c r="M13" s="150"/>
      <c r="N13" s="27"/>
      <c r="O13" s="218" t="s">
        <v>266</v>
      </c>
    </row>
    <row r="14" spans="1:15" ht="19.5" customHeight="1" x14ac:dyDescent="0.2">
      <c r="A14" s="26">
        <v>8</v>
      </c>
      <c r="B14" s="33" t="s">
        <v>270</v>
      </c>
      <c r="C14" s="86" t="s">
        <v>78</v>
      </c>
      <c r="D14" s="87" t="s">
        <v>271</v>
      </c>
      <c r="E14" s="87" t="s">
        <v>278</v>
      </c>
      <c r="F14" s="31" t="s">
        <v>294</v>
      </c>
      <c r="G14" s="203">
        <v>11449</v>
      </c>
      <c r="H14" s="27" t="s">
        <v>10</v>
      </c>
      <c r="I14" s="127">
        <v>1</v>
      </c>
      <c r="J14" s="127"/>
      <c r="K14" s="150"/>
      <c r="L14" s="150"/>
      <c r="M14" s="150"/>
      <c r="N14" s="27"/>
      <c r="O14" s="36" t="s">
        <v>11</v>
      </c>
    </row>
    <row r="15" spans="1:15" ht="19.5" customHeight="1" x14ac:dyDescent="0.2">
      <c r="A15" s="26">
        <v>9</v>
      </c>
      <c r="B15" s="33" t="s">
        <v>270</v>
      </c>
      <c r="C15" s="86" t="s">
        <v>78</v>
      </c>
      <c r="D15" s="87" t="s">
        <v>271</v>
      </c>
      <c r="E15" s="87" t="s">
        <v>279</v>
      </c>
      <c r="F15" s="31" t="s">
        <v>294</v>
      </c>
      <c r="G15" s="203">
        <v>9095</v>
      </c>
      <c r="H15" s="27" t="s">
        <v>10</v>
      </c>
      <c r="I15" s="127">
        <v>1</v>
      </c>
      <c r="J15" s="127"/>
      <c r="K15" s="150"/>
      <c r="L15" s="150"/>
      <c r="M15" s="150"/>
      <c r="N15" s="27"/>
      <c r="O15" s="36" t="s">
        <v>269</v>
      </c>
    </row>
    <row r="16" spans="1:15" ht="19.5" customHeight="1" x14ac:dyDescent="0.2">
      <c r="A16" s="26">
        <v>10</v>
      </c>
      <c r="B16" s="33" t="s">
        <v>270</v>
      </c>
      <c r="C16" s="86" t="s">
        <v>78</v>
      </c>
      <c r="D16" s="87" t="s">
        <v>271</v>
      </c>
      <c r="E16" s="87" t="s">
        <v>280</v>
      </c>
      <c r="F16" s="31" t="s">
        <v>294</v>
      </c>
      <c r="G16" s="203">
        <v>9095</v>
      </c>
      <c r="H16" s="27" t="s">
        <v>5</v>
      </c>
      <c r="I16" s="127">
        <v>1</v>
      </c>
      <c r="J16" s="127"/>
      <c r="K16" s="150"/>
      <c r="L16" s="150"/>
      <c r="M16" s="150"/>
      <c r="N16" s="27"/>
      <c r="O16" s="36" t="s">
        <v>249</v>
      </c>
    </row>
    <row r="17" spans="1:15" ht="19.5" customHeight="1" x14ac:dyDescent="0.2">
      <c r="A17" s="26">
        <v>11</v>
      </c>
      <c r="B17" s="33" t="s">
        <v>306</v>
      </c>
      <c r="C17" s="86" t="s">
        <v>78</v>
      </c>
      <c r="D17" s="87" t="s">
        <v>300</v>
      </c>
      <c r="E17" s="87" t="s">
        <v>307</v>
      </c>
      <c r="F17" s="31" t="s">
        <v>301</v>
      </c>
      <c r="G17" s="273">
        <v>14000</v>
      </c>
      <c r="H17" s="27" t="s">
        <v>72</v>
      </c>
      <c r="I17" s="127">
        <v>1</v>
      </c>
      <c r="J17" s="127"/>
      <c r="K17" s="150"/>
      <c r="L17" s="150"/>
      <c r="M17" s="150"/>
      <c r="N17" s="27"/>
      <c r="O17" s="36" t="s">
        <v>267</v>
      </c>
    </row>
    <row r="18" spans="1:15" ht="18" thickBot="1" x14ac:dyDescent="0.25">
      <c r="A18" s="26"/>
      <c r="B18" s="98" t="s">
        <v>209</v>
      </c>
      <c r="C18" s="99"/>
      <c r="D18" s="100"/>
      <c r="E18" s="100"/>
      <c r="F18" s="101"/>
      <c r="G18" s="54">
        <f>SUM(G7:G17)</f>
        <v>125248</v>
      </c>
      <c r="H18" s="27"/>
      <c r="I18" s="128"/>
      <c r="J18" s="30"/>
      <c r="K18" s="150"/>
      <c r="L18" s="150"/>
      <c r="M18" s="150"/>
      <c r="N18" s="27"/>
      <c r="O18" s="36"/>
    </row>
    <row r="19" spans="1:15" ht="18" thickTop="1" x14ac:dyDescent="0.2">
      <c r="A19" s="102">
        <v>401</v>
      </c>
      <c r="B19" s="103" t="s">
        <v>14</v>
      </c>
      <c r="C19" s="37"/>
      <c r="D19" s="38"/>
      <c r="E19" s="39"/>
      <c r="F19" s="104"/>
      <c r="G19" s="122"/>
      <c r="H19" s="28"/>
      <c r="I19" s="129"/>
      <c r="J19" s="29"/>
      <c r="K19" s="28"/>
      <c r="L19" s="27"/>
      <c r="M19" s="27"/>
      <c r="N19" s="27"/>
      <c r="O19" s="28"/>
    </row>
    <row r="20" spans="1:15" ht="17.25" x14ac:dyDescent="0.2">
      <c r="A20" s="26">
        <v>1</v>
      </c>
      <c r="B20" s="33" t="s">
        <v>227</v>
      </c>
      <c r="C20" s="86" t="s">
        <v>82</v>
      </c>
      <c r="D20" s="87" t="s">
        <v>90</v>
      </c>
      <c r="E20" s="88" t="s">
        <v>131</v>
      </c>
      <c r="F20" s="31" t="s">
        <v>138</v>
      </c>
      <c r="G20" s="40">
        <v>390</v>
      </c>
      <c r="H20" s="27" t="s">
        <v>72</v>
      </c>
      <c r="I20" s="127">
        <v>1</v>
      </c>
      <c r="J20" s="30"/>
      <c r="K20" s="27"/>
      <c r="L20" s="27"/>
      <c r="M20" s="27"/>
      <c r="N20" s="27"/>
      <c r="O20" s="36" t="s">
        <v>267</v>
      </c>
    </row>
    <row r="21" spans="1:15" ht="17.25" x14ac:dyDescent="0.2">
      <c r="A21" s="26">
        <v>2</v>
      </c>
      <c r="B21" s="33" t="s">
        <v>227</v>
      </c>
      <c r="C21" s="86" t="s">
        <v>82</v>
      </c>
      <c r="D21" s="87" t="s">
        <v>90</v>
      </c>
      <c r="E21" s="88" t="s">
        <v>132</v>
      </c>
      <c r="F21" s="31" t="s">
        <v>138</v>
      </c>
      <c r="G21" s="40">
        <v>390</v>
      </c>
      <c r="H21" s="27" t="s">
        <v>72</v>
      </c>
      <c r="I21" s="127">
        <v>1</v>
      </c>
      <c r="J21" s="30"/>
      <c r="K21" s="27"/>
      <c r="L21" s="27"/>
      <c r="M21" s="27"/>
      <c r="N21" s="27"/>
      <c r="O21" s="36" t="s">
        <v>267</v>
      </c>
    </row>
    <row r="22" spans="1:15" ht="17.25" x14ac:dyDescent="0.2">
      <c r="A22" s="26">
        <v>3</v>
      </c>
      <c r="B22" s="33" t="s">
        <v>227</v>
      </c>
      <c r="C22" s="86" t="s">
        <v>82</v>
      </c>
      <c r="D22" s="87" t="s">
        <v>90</v>
      </c>
      <c r="E22" s="88" t="s">
        <v>134</v>
      </c>
      <c r="F22" s="31" t="s">
        <v>138</v>
      </c>
      <c r="G22" s="40">
        <v>390</v>
      </c>
      <c r="H22" s="27" t="s">
        <v>72</v>
      </c>
      <c r="I22" s="127">
        <v>1</v>
      </c>
      <c r="J22" s="30"/>
      <c r="K22" s="27"/>
      <c r="L22" s="27"/>
      <c r="M22" s="27"/>
      <c r="N22" s="27"/>
      <c r="O22" s="36" t="s">
        <v>267</v>
      </c>
    </row>
    <row r="23" spans="1:15" ht="17.25" x14ac:dyDescent="0.2">
      <c r="A23" s="26">
        <v>4</v>
      </c>
      <c r="B23" s="33" t="s">
        <v>227</v>
      </c>
      <c r="C23" s="86" t="s">
        <v>82</v>
      </c>
      <c r="D23" s="87" t="s">
        <v>90</v>
      </c>
      <c r="E23" s="88" t="s">
        <v>135</v>
      </c>
      <c r="F23" s="31" t="s">
        <v>138</v>
      </c>
      <c r="G23" s="40">
        <v>390</v>
      </c>
      <c r="H23" s="27" t="s">
        <v>72</v>
      </c>
      <c r="I23" s="127">
        <v>1</v>
      </c>
      <c r="J23" s="30"/>
      <c r="K23" s="27"/>
      <c r="L23" s="27"/>
      <c r="M23" s="27"/>
      <c r="N23" s="27"/>
      <c r="O23" s="36" t="s">
        <v>267</v>
      </c>
    </row>
    <row r="24" spans="1:15" ht="17.25" x14ac:dyDescent="0.2">
      <c r="A24" s="26">
        <v>5</v>
      </c>
      <c r="B24" s="33" t="s">
        <v>227</v>
      </c>
      <c r="C24" s="86" t="s">
        <v>82</v>
      </c>
      <c r="D24" s="87" t="s">
        <v>90</v>
      </c>
      <c r="E24" s="88" t="s">
        <v>136</v>
      </c>
      <c r="F24" s="31" t="s">
        <v>138</v>
      </c>
      <c r="G24" s="40">
        <v>390</v>
      </c>
      <c r="H24" s="27" t="s">
        <v>72</v>
      </c>
      <c r="I24" s="127">
        <v>1</v>
      </c>
      <c r="J24" s="30"/>
      <c r="K24" s="27"/>
      <c r="L24" s="27"/>
      <c r="M24" s="27"/>
      <c r="N24" s="27"/>
      <c r="O24" s="36" t="s">
        <v>267</v>
      </c>
    </row>
    <row r="25" spans="1:15" ht="17.25" x14ac:dyDescent="0.2">
      <c r="A25" s="26">
        <v>6</v>
      </c>
      <c r="B25" s="33" t="s">
        <v>227</v>
      </c>
      <c r="C25" s="86" t="s">
        <v>82</v>
      </c>
      <c r="D25" s="87" t="s">
        <v>90</v>
      </c>
      <c r="E25" s="88" t="s">
        <v>137</v>
      </c>
      <c r="F25" s="31" t="s">
        <v>138</v>
      </c>
      <c r="G25" s="40">
        <v>390</v>
      </c>
      <c r="H25" s="27" t="s">
        <v>72</v>
      </c>
      <c r="I25" s="127">
        <v>1</v>
      </c>
      <c r="J25" s="30"/>
      <c r="K25" s="27"/>
      <c r="L25" s="27"/>
      <c r="M25" s="27"/>
      <c r="N25" s="27"/>
      <c r="O25" s="36" t="s">
        <v>267</v>
      </c>
    </row>
    <row r="26" spans="1:15" ht="17.25" x14ac:dyDescent="0.2">
      <c r="A26" s="26">
        <v>7</v>
      </c>
      <c r="B26" s="33" t="s">
        <v>302</v>
      </c>
      <c r="C26" s="86" t="s">
        <v>82</v>
      </c>
      <c r="D26" s="87" t="s">
        <v>300</v>
      </c>
      <c r="E26" s="88" t="s">
        <v>299</v>
      </c>
      <c r="F26" s="31" t="s">
        <v>301</v>
      </c>
      <c r="G26" s="271">
        <v>3000</v>
      </c>
      <c r="H26" s="27" t="s">
        <v>10</v>
      </c>
      <c r="I26" s="127">
        <v>1</v>
      </c>
      <c r="J26" s="30"/>
      <c r="K26" s="27"/>
      <c r="L26" s="27"/>
      <c r="M26" s="27"/>
      <c r="N26" s="27"/>
      <c r="O26" s="36" t="s">
        <v>11</v>
      </c>
    </row>
    <row r="27" spans="1:15" ht="17.25" x14ac:dyDescent="0.2">
      <c r="A27" s="26">
        <v>8</v>
      </c>
      <c r="B27" s="33" t="s">
        <v>302</v>
      </c>
      <c r="C27" s="86" t="s">
        <v>82</v>
      </c>
      <c r="D27" s="87" t="s">
        <v>300</v>
      </c>
      <c r="E27" s="88" t="s">
        <v>303</v>
      </c>
      <c r="F27" s="31" t="s">
        <v>301</v>
      </c>
      <c r="G27" s="272">
        <v>3000</v>
      </c>
      <c r="H27" s="27" t="s">
        <v>5</v>
      </c>
      <c r="I27" s="127">
        <v>1</v>
      </c>
      <c r="J27" s="30"/>
      <c r="K27" s="27"/>
      <c r="L27" s="27"/>
      <c r="M27" s="27"/>
      <c r="N27" s="27"/>
      <c r="O27" s="36" t="s">
        <v>243</v>
      </c>
    </row>
    <row r="28" spans="1:15" ht="17.25" x14ac:dyDescent="0.2">
      <c r="A28" s="26">
        <v>9</v>
      </c>
      <c r="B28" s="33" t="s">
        <v>304</v>
      </c>
      <c r="C28" s="86" t="s">
        <v>82</v>
      </c>
      <c r="D28" s="87" t="s">
        <v>300</v>
      </c>
      <c r="E28" s="88" t="s">
        <v>305</v>
      </c>
      <c r="F28" s="31" t="s">
        <v>301</v>
      </c>
      <c r="G28" s="272">
        <v>6000</v>
      </c>
      <c r="H28" s="27" t="s">
        <v>199</v>
      </c>
      <c r="I28" s="127">
        <v>1</v>
      </c>
      <c r="J28" s="30"/>
      <c r="K28" s="27"/>
      <c r="L28" s="27"/>
      <c r="M28" s="27"/>
      <c r="N28" s="27"/>
      <c r="O28" s="36" t="s">
        <v>267</v>
      </c>
    </row>
    <row r="29" spans="1:15" ht="18" thickBot="1" x14ac:dyDescent="0.25">
      <c r="A29" s="26"/>
      <c r="B29" s="98" t="s">
        <v>210</v>
      </c>
      <c r="C29" s="99"/>
      <c r="D29" s="100"/>
      <c r="E29" s="105"/>
      <c r="F29" s="98"/>
      <c r="G29" s="54">
        <f>SUM(G20:G28)</f>
        <v>14340</v>
      </c>
      <c r="H29" s="27"/>
      <c r="I29" s="128"/>
      <c r="J29" s="30"/>
      <c r="K29" s="27"/>
      <c r="L29" s="27"/>
      <c r="M29" s="27"/>
      <c r="N29" s="27"/>
      <c r="O29" s="36"/>
    </row>
    <row r="30" spans="1:15" ht="18" thickTop="1" x14ac:dyDescent="0.2">
      <c r="A30" s="26"/>
      <c r="B30" s="98"/>
      <c r="C30" s="99"/>
      <c r="D30" s="100"/>
      <c r="E30" s="105"/>
      <c r="F30" s="98"/>
      <c r="G30" s="98"/>
      <c r="H30" s="27"/>
      <c r="I30" s="128"/>
      <c r="J30" s="30"/>
      <c r="K30" s="27"/>
      <c r="L30" s="27"/>
      <c r="M30" s="27"/>
      <c r="N30" s="27"/>
      <c r="O30" s="36"/>
    </row>
    <row r="31" spans="1:15" ht="17.25" x14ac:dyDescent="0.2">
      <c r="A31" s="102">
        <v>403</v>
      </c>
      <c r="B31" s="103" t="s">
        <v>207</v>
      </c>
      <c r="C31" s="37"/>
      <c r="D31" s="38"/>
      <c r="E31" s="39"/>
      <c r="F31" s="104"/>
      <c r="G31" s="122"/>
      <c r="H31" s="28"/>
      <c r="I31" s="129"/>
      <c r="J31" s="28"/>
      <c r="K31" s="28"/>
      <c r="L31" s="28"/>
      <c r="M31" s="28"/>
      <c r="N31" s="28"/>
      <c r="O31" s="28"/>
    </row>
    <row r="32" spans="1:15" ht="17.25" x14ac:dyDescent="0.2">
      <c r="A32" s="27">
        <v>1</v>
      </c>
      <c r="B32" s="49" t="s">
        <v>229</v>
      </c>
      <c r="C32" s="86" t="s">
        <v>204</v>
      </c>
      <c r="D32" s="50" t="s">
        <v>98</v>
      </c>
      <c r="E32" s="106" t="s">
        <v>205</v>
      </c>
      <c r="F32" s="48" t="s">
        <v>206</v>
      </c>
      <c r="G32" s="123">
        <v>12000</v>
      </c>
      <c r="H32" s="27" t="s">
        <v>265</v>
      </c>
      <c r="I32" s="127">
        <v>1</v>
      </c>
      <c r="J32" s="30"/>
      <c r="K32" s="27"/>
      <c r="L32" s="27"/>
      <c r="M32" s="27"/>
      <c r="N32" s="27"/>
      <c r="O32" s="36" t="s">
        <v>7</v>
      </c>
    </row>
    <row r="33" spans="1:15" ht="18" thickBot="1" x14ac:dyDescent="0.25">
      <c r="A33" s="27"/>
      <c r="B33" s="98" t="s">
        <v>211</v>
      </c>
      <c r="C33" s="99"/>
      <c r="D33" s="107"/>
      <c r="E33" s="108"/>
      <c r="F33" s="109"/>
      <c r="G33" s="54">
        <f>SUM(G32)</f>
        <v>12000</v>
      </c>
      <c r="H33" s="27"/>
      <c r="I33" s="128"/>
      <c r="J33" s="30"/>
      <c r="K33" s="27"/>
      <c r="L33" s="27"/>
      <c r="M33" s="27"/>
      <c r="N33" s="27"/>
      <c r="O33" s="36"/>
    </row>
    <row r="34" spans="1:15" ht="18" thickTop="1" x14ac:dyDescent="0.2">
      <c r="A34" s="27"/>
      <c r="B34" s="98"/>
      <c r="C34" s="99"/>
      <c r="D34" s="107"/>
      <c r="E34" s="108"/>
      <c r="F34" s="109"/>
      <c r="G34" s="109"/>
      <c r="H34" s="27"/>
      <c r="I34" s="128"/>
      <c r="J34" s="30"/>
      <c r="K34" s="27"/>
      <c r="L34" s="27"/>
      <c r="M34" s="27"/>
      <c r="N34" s="27"/>
      <c r="O34" s="36"/>
    </row>
    <row r="35" spans="1:15" ht="17.25" x14ac:dyDescent="0.2">
      <c r="A35" s="102">
        <v>406</v>
      </c>
      <c r="B35" s="103" t="s">
        <v>18</v>
      </c>
      <c r="C35" s="37"/>
      <c r="D35" s="38"/>
      <c r="E35" s="39"/>
      <c r="F35" s="104"/>
      <c r="G35" s="122"/>
      <c r="H35" s="28"/>
      <c r="I35" s="129"/>
      <c r="J35" s="28"/>
      <c r="K35" s="28"/>
      <c r="L35" s="28"/>
      <c r="M35" s="28"/>
      <c r="N35" s="28"/>
      <c r="O35" s="28"/>
    </row>
    <row r="36" spans="1:15" ht="17.25" x14ac:dyDescent="0.2">
      <c r="A36" s="27">
        <v>1</v>
      </c>
      <c r="B36" s="41" t="s">
        <v>19</v>
      </c>
      <c r="C36" s="42" t="s">
        <v>83</v>
      </c>
      <c r="D36" s="43" t="s">
        <v>84</v>
      </c>
      <c r="E36" s="44" t="s">
        <v>85</v>
      </c>
      <c r="F36" s="45" t="s">
        <v>20</v>
      </c>
      <c r="G36" s="46">
        <v>2200</v>
      </c>
      <c r="H36" s="27" t="s">
        <v>265</v>
      </c>
      <c r="I36" s="127">
        <v>1</v>
      </c>
      <c r="J36" s="30"/>
      <c r="K36" s="27"/>
      <c r="L36" s="27"/>
      <c r="M36" s="27"/>
      <c r="N36" s="27"/>
      <c r="O36" s="45" t="s">
        <v>7</v>
      </c>
    </row>
    <row r="37" spans="1:15" ht="17.25" x14ac:dyDescent="0.3">
      <c r="A37" s="27">
        <v>2</v>
      </c>
      <c r="B37" s="11" t="s">
        <v>200</v>
      </c>
      <c r="C37" s="42" t="s">
        <v>83</v>
      </c>
      <c r="D37" s="87" t="s">
        <v>171</v>
      </c>
      <c r="E37" s="88" t="s">
        <v>198</v>
      </c>
      <c r="F37" s="64" t="s">
        <v>170</v>
      </c>
      <c r="G37" s="12">
        <v>14200</v>
      </c>
      <c r="H37" s="27" t="s">
        <v>199</v>
      </c>
      <c r="I37" s="127">
        <v>1</v>
      </c>
      <c r="J37" s="30"/>
      <c r="K37" s="27"/>
      <c r="L37" s="27"/>
      <c r="M37" s="27"/>
      <c r="N37" s="27"/>
      <c r="O37" s="36" t="s">
        <v>267</v>
      </c>
    </row>
    <row r="38" spans="1:15" ht="17.25" x14ac:dyDescent="0.2">
      <c r="A38" s="27">
        <v>3</v>
      </c>
      <c r="B38" s="33" t="s">
        <v>21</v>
      </c>
      <c r="C38" s="42" t="s">
        <v>83</v>
      </c>
      <c r="D38" s="87" t="s">
        <v>80</v>
      </c>
      <c r="E38" s="88" t="s">
        <v>86</v>
      </c>
      <c r="F38" s="31" t="s">
        <v>8</v>
      </c>
      <c r="G38" s="32">
        <v>2300</v>
      </c>
      <c r="H38" s="27" t="s">
        <v>9</v>
      </c>
      <c r="I38" s="127">
        <v>1</v>
      </c>
      <c r="J38" s="30"/>
      <c r="K38" s="27"/>
      <c r="L38" s="27"/>
      <c r="M38" s="27"/>
      <c r="N38" s="27"/>
      <c r="O38" s="27" t="s">
        <v>243</v>
      </c>
    </row>
    <row r="39" spans="1:15" ht="17.25" x14ac:dyDescent="0.2">
      <c r="A39" s="27">
        <v>4</v>
      </c>
      <c r="B39" s="33" t="s">
        <v>21</v>
      </c>
      <c r="C39" s="42" t="s">
        <v>83</v>
      </c>
      <c r="D39" s="87" t="s">
        <v>80</v>
      </c>
      <c r="E39" s="88" t="s">
        <v>87</v>
      </c>
      <c r="F39" s="31" t="s">
        <v>8</v>
      </c>
      <c r="G39" s="32">
        <v>2300</v>
      </c>
      <c r="H39" s="27" t="s">
        <v>10</v>
      </c>
      <c r="I39" s="127">
        <v>1</v>
      </c>
      <c r="J39" s="30"/>
      <c r="K39" s="27"/>
      <c r="L39" s="27"/>
      <c r="M39" s="27"/>
      <c r="N39" s="27"/>
      <c r="O39" s="27" t="s">
        <v>266</v>
      </c>
    </row>
    <row r="40" spans="1:15" ht="17.25" x14ac:dyDescent="0.2">
      <c r="A40" s="27">
        <v>5</v>
      </c>
      <c r="B40" s="30" t="s">
        <v>23</v>
      </c>
      <c r="C40" s="42" t="s">
        <v>83</v>
      </c>
      <c r="D40" s="87" t="s">
        <v>90</v>
      </c>
      <c r="E40" s="88" t="s">
        <v>122</v>
      </c>
      <c r="F40" s="35" t="s">
        <v>22</v>
      </c>
      <c r="G40" s="47">
        <v>2340</v>
      </c>
      <c r="H40" s="27" t="s">
        <v>10</v>
      </c>
      <c r="I40" s="127">
        <v>1</v>
      </c>
      <c r="J40" s="30"/>
      <c r="K40" s="27"/>
      <c r="L40" s="27"/>
      <c r="M40" s="27"/>
      <c r="N40" s="27"/>
      <c r="O40" s="27" t="s">
        <v>266</v>
      </c>
    </row>
    <row r="41" spans="1:15" ht="17.25" x14ac:dyDescent="0.2">
      <c r="A41" s="27">
        <v>6</v>
      </c>
      <c r="B41" s="30" t="s">
        <v>24</v>
      </c>
      <c r="C41" s="42" t="s">
        <v>83</v>
      </c>
      <c r="D41" s="87" t="s">
        <v>90</v>
      </c>
      <c r="E41" s="88" t="s">
        <v>88</v>
      </c>
      <c r="F41" s="35" t="s">
        <v>22</v>
      </c>
      <c r="G41" s="47">
        <v>2700</v>
      </c>
      <c r="H41" s="27" t="s">
        <v>12</v>
      </c>
      <c r="I41" s="127">
        <v>1</v>
      </c>
      <c r="J41" s="30"/>
      <c r="K41" s="27"/>
      <c r="L41" s="27"/>
      <c r="M41" s="27"/>
      <c r="N41" s="27"/>
      <c r="O41" s="266"/>
    </row>
    <row r="42" spans="1:15" ht="17.25" x14ac:dyDescent="0.2">
      <c r="A42" s="27">
        <v>7</v>
      </c>
      <c r="B42" s="30" t="s">
        <v>25</v>
      </c>
      <c r="C42" s="42" t="s">
        <v>83</v>
      </c>
      <c r="D42" s="87" t="s">
        <v>91</v>
      </c>
      <c r="E42" s="88" t="s">
        <v>89</v>
      </c>
      <c r="F42" s="31" t="s">
        <v>26</v>
      </c>
      <c r="G42" s="32">
        <v>2300</v>
      </c>
      <c r="H42" s="27" t="s">
        <v>5</v>
      </c>
      <c r="I42" s="127">
        <v>1</v>
      </c>
      <c r="J42" s="30"/>
      <c r="K42" s="27"/>
      <c r="L42" s="27"/>
      <c r="M42" s="27"/>
      <c r="N42" s="27"/>
      <c r="O42" s="27" t="s">
        <v>243</v>
      </c>
    </row>
    <row r="43" spans="1:15" ht="18" thickBot="1" x14ac:dyDescent="0.25">
      <c r="A43" s="27"/>
      <c r="B43" s="98" t="s">
        <v>212</v>
      </c>
      <c r="C43" s="42"/>
      <c r="D43" s="87"/>
      <c r="E43" s="88"/>
      <c r="F43" s="110"/>
      <c r="G43" s="54">
        <f>SUM(G36:G42)</f>
        <v>28340</v>
      </c>
      <c r="H43" s="27"/>
      <c r="I43" s="128"/>
      <c r="J43" s="30"/>
      <c r="K43" s="27"/>
      <c r="L43" s="27"/>
      <c r="M43" s="27"/>
      <c r="N43" s="27"/>
      <c r="O43" s="27"/>
    </row>
    <row r="44" spans="1:15" ht="18" thickTop="1" x14ac:dyDescent="0.2">
      <c r="A44" s="111">
        <v>407</v>
      </c>
      <c r="B44" s="103" t="s">
        <v>27</v>
      </c>
      <c r="C44" s="37"/>
      <c r="D44" s="38"/>
      <c r="E44" s="39"/>
      <c r="F44" s="112"/>
      <c r="G44" s="124"/>
      <c r="H44" s="27"/>
      <c r="I44" s="130"/>
      <c r="J44" s="27"/>
      <c r="K44" s="27"/>
      <c r="L44" s="27"/>
      <c r="M44" s="27"/>
      <c r="N44" s="27"/>
      <c r="O44" s="27"/>
    </row>
    <row r="45" spans="1:15" ht="17.25" x14ac:dyDescent="0.2">
      <c r="A45" s="27">
        <v>1</v>
      </c>
      <c r="B45" s="33" t="s">
        <v>29</v>
      </c>
      <c r="C45" s="86" t="s">
        <v>92</v>
      </c>
      <c r="D45" s="87" t="s">
        <v>93</v>
      </c>
      <c r="E45" s="88" t="s">
        <v>94</v>
      </c>
      <c r="F45" s="31" t="s">
        <v>28</v>
      </c>
      <c r="G45" s="125">
        <v>5900</v>
      </c>
      <c r="H45" s="27" t="s">
        <v>72</v>
      </c>
      <c r="I45" s="127">
        <v>1</v>
      </c>
      <c r="J45" s="30"/>
      <c r="K45" s="27"/>
      <c r="L45" s="27"/>
      <c r="M45" s="27"/>
      <c r="N45" s="27"/>
      <c r="O45" s="36" t="s">
        <v>267</v>
      </c>
    </row>
    <row r="46" spans="1:15" ht="18" thickBot="1" x14ac:dyDescent="0.25">
      <c r="A46" s="27"/>
      <c r="B46" s="98" t="s">
        <v>213</v>
      </c>
      <c r="C46" s="86"/>
      <c r="D46" s="87"/>
      <c r="E46" s="88"/>
      <c r="F46" s="27"/>
      <c r="G46" s="54">
        <f>SUM(G45:G45)</f>
        <v>5900</v>
      </c>
      <c r="H46" s="27"/>
      <c r="I46" s="128"/>
      <c r="J46" s="30"/>
      <c r="K46" s="27"/>
      <c r="L46" s="27"/>
      <c r="M46" s="27"/>
      <c r="N46" s="27"/>
      <c r="O46" s="27"/>
    </row>
    <row r="47" spans="1:15" ht="18" thickTop="1" x14ac:dyDescent="0.2">
      <c r="A47" s="113">
        <v>420</v>
      </c>
      <c r="B47" s="103" t="s">
        <v>39</v>
      </c>
      <c r="C47" s="37"/>
      <c r="D47" s="38"/>
      <c r="E47" s="39"/>
      <c r="F47" s="31"/>
      <c r="G47" s="120"/>
      <c r="H47" s="27"/>
      <c r="I47" s="130"/>
      <c r="J47" s="27"/>
      <c r="K47" s="27"/>
      <c r="L47" s="27"/>
      <c r="M47" s="27"/>
      <c r="N47" s="27"/>
      <c r="O47" s="27"/>
    </row>
    <row r="48" spans="1:15" ht="34.5" x14ac:dyDescent="0.2">
      <c r="A48" s="27">
        <v>1</v>
      </c>
      <c r="B48" s="33" t="s">
        <v>129</v>
      </c>
      <c r="C48" s="86" t="s">
        <v>109</v>
      </c>
      <c r="D48" s="87" t="s">
        <v>79</v>
      </c>
      <c r="E48" s="88" t="s">
        <v>110</v>
      </c>
      <c r="F48" s="31" t="s">
        <v>40</v>
      </c>
      <c r="G48" s="47">
        <v>19600</v>
      </c>
      <c r="H48" s="27" t="s">
        <v>72</v>
      </c>
      <c r="I48" s="127">
        <v>1</v>
      </c>
      <c r="J48" s="30"/>
      <c r="K48" s="27"/>
      <c r="L48" s="27"/>
      <c r="M48" s="27"/>
      <c r="N48" s="27"/>
      <c r="O48" s="36" t="s">
        <v>267</v>
      </c>
    </row>
    <row r="49" spans="1:15" ht="17.25" x14ac:dyDescent="0.2">
      <c r="A49" s="27">
        <v>2</v>
      </c>
      <c r="B49" s="30" t="s">
        <v>223</v>
      </c>
      <c r="C49" s="86" t="s">
        <v>109</v>
      </c>
      <c r="D49" s="87" t="s">
        <v>111</v>
      </c>
      <c r="E49" s="88" t="s">
        <v>112</v>
      </c>
      <c r="F49" s="31" t="s">
        <v>231</v>
      </c>
      <c r="G49" s="32">
        <v>22000</v>
      </c>
      <c r="H49" s="27" t="s">
        <v>12</v>
      </c>
      <c r="I49" s="127">
        <v>1</v>
      </c>
      <c r="J49" s="30"/>
      <c r="K49" s="36"/>
      <c r="L49" s="36"/>
      <c r="M49" s="36"/>
      <c r="N49" s="36"/>
      <c r="O49" s="36" t="s">
        <v>13</v>
      </c>
    </row>
    <row r="50" spans="1:15" ht="17.25" x14ac:dyDescent="0.2">
      <c r="A50" s="27"/>
      <c r="B50" s="49" t="s">
        <v>224</v>
      </c>
      <c r="C50" s="86"/>
      <c r="D50" s="87"/>
      <c r="E50" s="88"/>
      <c r="F50" s="114"/>
      <c r="G50" s="114"/>
      <c r="H50" s="27"/>
      <c r="I50" s="128"/>
      <c r="J50" s="30"/>
      <c r="K50" s="36"/>
      <c r="L50" s="36"/>
      <c r="M50" s="36"/>
      <c r="N50" s="36"/>
      <c r="O50" s="36"/>
    </row>
    <row r="51" spans="1:15" ht="17.25" x14ac:dyDescent="0.2">
      <c r="A51" s="27"/>
      <c r="B51" s="49"/>
      <c r="C51" s="86"/>
      <c r="D51" s="87"/>
      <c r="E51" s="88"/>
      <c r="F51" s="114"/>
      <c r="G51" s="114"/>
      <c r="H51" s="27"/>
      <c r="I51" s="128"/>
      <c r="J51" s="30"/>
      <c r="K51" s="36"/>
      <c r="L51" s="36"/>
      <c r="M51" s="36"/>
      <c r="N51" s="36"/>
      <c r="O51" s="36"/>
    </row>
    <row r="52" spans="1:15" ht="17.25" x14ac:dyDescent="0.2">
      <c r="A52" s="27">
        <v>3</v>
      </c>
      <c r="B52" s="33" t="s">
        <v>225</v>
      </c>
      <c r="C52" s="86" t="s">
        <v>109</v>
      </c>
      <c r="D52" s="87" t="s">
        <v>221</v>
      </c>
      <c r="E52" s="88" t="s">
        <v>222</v>
      </c>
      <c r="F52" s="31" t="s">
        <v>295</v>
      </c>
      <c r="G52" s="32">
        <v>46700</v>
      </c>
      <c r="H52" s="27" t="s">
        <v>12</v>
      </c>
      <c r="I52" s="127">
        <v>1</v>
      </c>
      <c r="J52" s="30"/>
      <c r="K52" s="36"/>
      <c r="L52" s="36"/>
      <c r="M52" s="36"/>
      <c r="N52" s="36"/>
      <c r="O52" s="36" t="s">
        <v>7</v>
      </c>
    </row>
    <row r="53" spans="1:15" ht="17.25" x14ac:dyDescent="0.2">
      <c r="A53" s="27"/>
      <c r="B53" s="33" t="s">
        <v>226</v>
      </c>
      <c r="C53" s="86"/>
      <c r="D53" s="87"/>
      <c r="E53" s="88"/>
      <c r="F53" s="114"/>
      <c r="G53" s="114"/>
      <c r="H53" s="27"/>
      <c r="I53" s="128"/>
      <c r="J53" s="30"/>
      <c r="K53" s="36"/>
      <c r="L53" s="36"/>
      <c r="M53" s="36"/>
      <c r="N53" s="36"/>
      <c r="O53" s="36"/>
    </row>
    <row r="54" spans="1:15" ht="17.25" x14ac:dyDescent="0.2">
      <c r="A54" s="27"/>
      <c r="B54" s="33" t="s">
        <v>244</v>
      </c>
      <c r="C54" s="86"/>
      <c r="D54" s="87"/>
      <c r="E54" s="88"/>
      <c r="F54" s="114"/>
      <c r="G54" s="125"/>
      <c r="H54" s="27"/>
      <c r="I54" s="128"/>
      <c r="J54" s="30"/>
      <c r="K54" s="36"/>
      <c r="L54" s="36"/>
      <c r="M54" s="36"/>
      <c r="N54" s="36"/>
      <c r="O54" s="36"/>
    </row>
    <row r="55" spans="1:15" ht="18" thickBot="1" x14ac:dyDescent="0.25">
      <c r="A55" s="27"/>
      <c r="B55" s="98" t="s">
        <v>215</v>
      </c>
      <c r="C55" s="86"/>
      <c r="D55" s="87"/>
      <c r="E55" s="115"/>
      <c r="F55" s="115"/>
      <c r="G55" s="153">
        <f>SUM(G48:G52)</f>
        <v>88300</v>
      </c>
      <c r="H55" s="27"/>
      <c r="I55" s="128"/>
      <c r="J55" s="30"/>
      <c r="K55" s="36"/>
      <c r="L55" s="36"/>
      <c r="M55" s="36"/>
      <c r="N55" s="36"/>
      <c r="O55" s="36"/>
    </row>
    <row r="56" spans="1:15" ht="18" thickTop="1" x14ac:dyDescent="0.2">
      <c r="A56" s="27"/>
      <c r="B56" s="98"/>
      <c r="C56" s="86"/>
      <c r="D56" s="87"/>
      <c r="E56" s="115"/>
      <c r="F56" s="115"/>
      <c r="G56" s="115"/>
      <c r="H56" s="27"/>
      <c r="I56" s="128"/>
      <c r="J56" s="30"/>
      <c r="K56" s="36"/>
      <c r="L56" s="36"/>
      <c r="M56" s="36"/>
      <c r="N56" s="36"/>
      <c r="O56" s="36"/>
    </row>
    <row r="57" spans="1:15" ht="17.25" x14ac:dyDescent="0.2">
      <c r="A57" s="111">
        <v>432</v>
      </c>
      <c r="B57" s="103" t="s">
        <v>42</v>
      </c>
      <c r="C57" s="37"/>
      <c r="D57" s="38"/>
      <c r="E57" s="39"/>
      <c r="F57" s="31"/>
      <c r="G57" s="120"/>
      <c r="H57" s="27"/>
      <c r="I57" s="130"/>
      <c r="J57" s="27"/>
      <c r="K57" s="27"/>
      <c r="L57" s="27"/>
      <c r="M57" s="27"/>
      <c r="N57" s="27"/>
      <c r="O57" s="27"/>
    </row>
    <row r="58" spans="1:15" ht="17.25" x14ac:dyDescent="0.3">
      <c r="A58" s="27">
        <v>1</v>
      </c>
      <c r="B58" s="13" t="s">
        <v>139</v>
      </c>
      <c r="C58" s="116" t="s">
        <v>120</v>
      </c>
      <c r="D58" s="117" t="s">
        <v>79</v>
      </c>
      <c r="E58" s="118" t="s">
        <v>133</v>
      </c>
      <c r="F58" s="31" t="s">
        <v>40</v>
      </c>
      <c r="G58" s="47">
        <v>1250</v>
      </c>
      <c r="H58" s="27" t="s">
        <v>12</v>
      </c>
      <c r="I58" s="127">
        <v>1</v>
      </c>
      <c r="J58" s="30"/>
      <c r="K58" s="27"/>
      <c r="L58" s="27"/>
      <c r="M58" s="27"/>
      <c r="N58" s="27"/>
      <c r="O58" s="36" t="s">
        <v>7</v>
      </c>
    </row>
    <row r="59" spans="1:15" ht="17.25" x14ac:dyDescent="0.3">
      <c r="A59" s="27">
        <v>2</v>
      </c>
      <c r="B59" s="13" t="s">
        <v>139</v>
      </c>
      <c r="C59" s="116" t="s">
        <v>120</v>
      </c>
      <c r="D59" s="117" t="s">
        <v>79</v>
      </c>
      <c r="E59" s="118" t="s">
        <v>140</v>
      </c>
      <c r="F59" s="31" t="s">
        <v>40</v>
      </c>
      <c r="G59" s="121">
        <v>1250</v>
      </c>
      <c r="H59" s="27" t="s">
        <v>72</v>
      </c>
      <c r="I59" s="127">
        <v>1</v>
      </c>
      <c r="J59" s="30"/>
      <c r="K59" s="53"/>
      <c r="L59" s="53"/>
      <c r="M59" s="53"/>
      <c r="N59" s="53"/>
      <c r="O59" s="36" t="s">
        <v>267</v>
      </c>
    </row>
    <row r="60" spans="1:15" ht="18" thickBot="1" x14ac:dyDescent="0.35">
      <c r="A60" s="27"/>
      <c r="B60" s="119" t="s">
        <v>220</v>
      </c>
      <c r="C60" s="116"/>
      <c r="D60" s="117"/>
      <c r="E60" s="118"/>
      <c r="F60" s="31"/>
      <c r="G60" s="67">
        <f>SUM(G58:G59)</f>
        <v>2500</v>
      </c>
      <c r="H60" s="27"/>
      <c r="I60" s="128"/>
      <c r="J60" s="30"/>
      <c r="K60" s="53"/>
      <c r="L60" s="53"/>
      <c r="M60" s="53"/>
      <c r="N60" s="53"/>
      <c r="O60" s="27"/>
    </row>
    <row r="61" spans="1:15" ht="21.75" thickTop="1" x14ac:dyDescent="0.2">
      <c r="A61" s="159" t="s">
        <v>235</v>
      </c>
      <c r="B61" s="156"/>
      <c r="C61" s="156"/>
      <c r="D61" s="156"/>
      <c r="E61" s="156"/>
      <c r="F61" s="156"/>
      <c r="G61" s="156"/>
      <c r="H61" s="156"/>
      <c r="I61" s="157"/>
      <c r="J61" s="157"/>
      <c r="K61" s="158"/>
      <c r="L61" s="157"/>
      <c r="M61" s="157"/>
      <c r="N61" s="157"/>
      <c r="O61" s="154"/>
    </row>
    <row r="62" spans="1:15" ht="17.25" x14ac:dyDescent="0.2">
      <c r="A62" s="111">
        <v>416</v>
      </c>
      <c r="B62" s="103" t="s">
        <v>30</v>
      </c>
      <c r="C62" s="37"/>
      <c r="D62" s="38"/>
      <c r="E62" s="39"/>
      <c r="F62" s="31"/>
      <c r="G62" s="27"/>
      <c r="H62" s="27"/>
      <c r="I62" s="130"/>
      <c r="J62" s="27"/>
      <c r="K62" s="27"/>
      <c r="L62" s="27"/>
      <c r="M62" s="27"/>
      <c r="N62" s="27"/>
      <c r="O62" s="36"/>
    </row>
    <row r="63" spans="1:15" ht="17.25" x14ac:dyDescent="0.2">
      <c r="A63" s="188">
        <v>1</v>
      </c>
      <c r="B63" s="189" t="s">
        <v>298</v>
      </c>
      <c r="C63" s="190" t="s">
        <v>95</v>
      </c>
      <c r="D63" s="191" t="s">
        <v>79</v>
      </c>
      <c r="E63" s="192" t="s">
        <v>96</v>
      </c>
      <c r="F63" s="193" t="s">
        <v>31</v>
      </c>
      <c r="G63" s="194">
        <v>69300</v>
      </c>
      <c r="H63" s="188" t="s">
        <v>5</v>
      </c>
      <c r="I63" s="195">
        <v>1</v>
      </c>
      <c r="J63" s="196"/>
      <c r="K63" s="196"/>
      <c r="L63" s="196"/>
      <c r="M63" s="196"/>
      <c r="N63" s="196"/>
      <c r="O63" s="188" t="s">
        <v>243</v>
      </c>
    </row>
    <row r="64" spans="1:15" ht="17.25" x14ac:dyDescent="0.2">
      <c r="A64" s="197">
        <v>2</v>
      </c>
      <c r="B64" s="198" t="s">
        <v>123</v>
      </c>
      <c r="C64" s="199" t="s">
        <v>95</v>
      </c>
      <c r="D64" s="200" t="s">
        <v>80</v>
      </c>
      <c r="E64" s="201" t="s">
        <v>100</v>
      </c>
      <c r="F64" s="202" t="s">
        <v>32</v>
      </c>
      <c r="G64" s="203">
        <v>61546</v>
      </c>
      <c r="H64" s="197" t="s">
        <v>10</v>
      </c>
      <c r="I64" s="204">
        <v>1</v>
      </c>
      <c r="J64" s="205"/>
      <c r="K64" s="205"/>
      <c r="L64" s="205"/>
      <c r="M64" s="205"/>
      <c r="N64" s="205"/>
      <c r="O64" s="197" t="s">
        <v>11</v>
      </c>
    </row>
    <row r="65" spans="1:15" ht="17.25" x14ac:dyDescent="0.2">
      <c r="A65" s="197">
        <v>3</v>
      </c>
      <c r="B65" s="198" t="s">
        <v>174</v>
      </c>
      <c r="C65" s="199" t="s">
        <v>95</v>
      </c>
      <c r="D65" s="200" t="s">
        <v>97</v>
      </c>
      <c r="E65" s="201" t="s">
        <v>101</v>
      </c>
      <c r="F65" s="202" t="s">
        <v>128</v>
      </c>
      <c r="G65" s="203">
        <v>25950</v>
      </c>
      <c r="H65" s="197" t="s">
        <v>12</v>
      </c>
      <c r="I65" s="204">
        <v>1</v>
      </c>
      <c r="J65" s="205"/>
      <c r="K65" s="197"/>
      <c r="L65" s="197"/>
      <c r="M65" s="197"/>
      <c r="N65" s="197"/>
      <c r="O65" s="197" t="s">
        <v>13</v>
      </c>
    </row>
    <row r="66" spans="1:15" ht="17.25" x14ac:dyDescent="0.2">
      <c r="A66" s="197">
        <v>4</v>
      </c>
      <c r="B66" s="198" t="s">
        <v>175</v>
      </c>
      <c r="C66" s="199" t="s">
        <v>95</v>
      </c>
      <c r="D66" s="200" t="s">
        <v>97</v>
      </c>
      <c r="E66" s="201" t="s">
        <v>102</v>
      </c>
      <c r="F66" s="202" t="s">
        <v>128</v>
      </c>
      <c r="G66" s="203">
        <v>5000</v>
      </c>
      <c r="H66" s="197" t="s">
        <v>12</v>
      </c>
      <c r="I66" s="204">
        <v>1</v>
      </c>
      <c r="J66" s="205"/>
      <c r="K66" s="197"/>
      <c r="L66" s="197"/>
      <c r="M66" s="197"/>
      <c r="N66" s="197"/>
      <c r="O66" s="197" t="s">
        <v>13</v>
      </c>
    </row>
    <row r="67" spans="1:15" ht="17.25" x14ac:dyDescent="0.2">
      <c r="A67" s="197">
        <v>5</v>
      </c>
      <c r="B67" s="198" t="s">
        <v>176</v>
      </c>
      <c r="C67" s="199" t="s">
        <v>95</v>
      </c>
      <c r="D67" s="200" t="s">
        <v>98</v>
      </c>
      <c r="E67" s="201" t="s">
        <v>103</v>
      </c>
      <c r="F67" s="202" t="s">
        <v>232</v>
      </c>
      <c r="G67" s="206">
        <v>23400</v>
      </c>
      <c r="H67" s="197" t="s">
        <v>265</v>
      </c>
      <c r="I67" s="204">
        <v>1</v>
      </c>
      <c r="J67" s="205"/>
      <c r="K67" s="197"/>
      <c r="L67" s="197"/>
      <c r="M67" s="197"/>
      <c r="N67" s="197"/>
      <c r="O67" s="197" t="s">
        <v>308</v>
      </c>
    </row>
    <row r="68" spans="1:15" ht="17.25" x14ac:dyDescent="0.2">
      <c r="A68" s="197">
        <v>6</v>
      </c>
      <c r="B68" s="198" t="s">
        <v>177</v>
      </c>
      <c r="C68" s="199" t="s">
        <v>95</v>
      </c>
      <c r="D68" s="200" t="s">
        <v>98</v>
      </c>
      <c r="E68" s="201" t="s">
        <v>104</v>
      </c>
      <c r="F68" s="202" t="s">
        <v>232</v>
      </c>
      <c r="G68" s="206">
        <v>7000</v>
      </c>
      <c r="H68" s="197" t="s">
        <v>12</v>
      </c>
      <c r="I68" s="204">
        <v>1</v>
      </c>
      <c r="J68" s="205"/>
      <c r="K68" s="197"/>
      <c r="L68" s="197"/>
      <c r="M68" s="197"/>
      <c r="N68" s="197"/>
      <c r="O68" s="197" t="s">
        <v>13</v>
      </c>
    </row>
    <row r="69" spans="1:15" ht="17.25" x14ac:dyDescent="0.2">
      <c r="A69" s="197">
        <v>7</v>
      </c>
      <c r="B69" s="198" t="s">
        <v>175</v>
      </c>
      <c r="C69" s="199" t="s">
        <v>95</v>
      </c>
      <c r="D69" s="200" t="s">
        <v>98</v>
      </c>
      <c r="E69" s="201" t="s">
        <v>105</v>
      </c>
      <c r="F69" s="202" t="s">
        <v>232</v>
      </c>
      <c r="G69" s="206">
        <v>11600</v>
      </c>
      <c r="H69" s="197" t="s">
        <v>10</v>
      </c>
      <c r="I69" s="204">
        <v>1</v>
      </c>
      <c r="J69" s="205"/>
      <c r="K69" s="197"/>
      <c r="L69" s="197"/>
      <c r="M69" s="197"/>
      <c r="N69" s="197"/>
      <c r="O69" s="197" t="s">
        <v>308</v>
      </c>
    </row>
    <row r="70" spans="1:15" ht="17.25" x14ac:dyDescent="0.2">
      <c r="A70" s="197">
        <v>8</v>
      </c>
      <c r="B70" s="207" t="s">
        <v>174</v>
      </c>
      <c r="C70" s="199" t="s">
        <v>95</v>
      </c>
      <c r="D70" s="208" t="s">
        <v>81</v>
      </c>
      <c r="E70" s="209" t="s">
        <v>106</v>
      </c>
      <c r="F70" s="210" t="s">
        <v>130</v>
      </c>
      <c r="G70" s="211">
        <v>34600</v>
      </c>
      <c r="H70" s="217" t="s">
        <v>265</v>
      </c>
      <c r="I70" s="204">
        <v>1</v>
      </c>
      <c r="J70" s="205"/>
      <c r="K70" s="197"/>
      <c r="L70" s="197"/>
      <c r="M70" s="197"/>
      <c r="N70" s="197"/>
      <c r="O70" s="212" t="s">
        <v>34</v>
      </c>
    </row>
    <row r="71" spans="1:15" ht="17.25" x14ac:dyDescent="0.2">
      <c r="A71" s="197">
        <v>9</v>
      </c>
      <c r="B71" s="207" t="s">
        <v>175</v>
      </c>
      <c r="C71" s="199" t="s">
        <v>95</v>
      </c>
      <c r="D71" s="208" t="s">
        <v>81</v>
      </c>
      <c r="E71" s="209" t="s">
        <v>107</v>
      </c>
      <c r="F71" s="210" t="s">
        <v>130</v>
      </c>
      <c r="G71" s="211">
        <v>5300</v>
      </c>
      <c r="H71" s="217" t="s">
        <v>265</v>
      </c>
      <c r="I71" s="204">
        <v>1</v>
      </c>
      <c r="J71" s="205"/>
      <c r="K71" s="197"/>
      <c r="L71" s="197"/>
      <c r="M71" s="197"/>
      <c r="N71" s="197"/>
      <c r="O71" s="212" t="s">
        <v>34</v>
      </c>
    </row>
    <row r="72" spans="1:15" ht="17.25" x14ac:dyDescent="0.2">
      <c r="A72" s="197">
        <v>10</v>
      </c>
      <c r="B72" s="207" t="s">
        <v>178</v>
      </c>
      <c r="C72" s="199" t="s">
        <v>95</v>
      </c>
      <c r="D72" s="208" t="s">
        <v>81</v>
      </c>
      <c r="E72" s="209" t="s">
        <v>108</v>
      </c>
      <c r="F72" s="210" t="s">
        <v>130</v>
      </c>
      <c r="G72" s="211">
        <v>4000</v>
      </c>
      <c r="H72" s="217" t="s">
        <v>265</v>
      </c>
      <c r="I72" s="204">
        <v>1</v>
      </c>
      <c r="J72" s="205"/>
      <c r="K72" s="197"/>
      <c r="L72" s="197"/>
      <c r="M72" s="197"/>
      <c r="N72" s="197"/>
      <c r="O72" s="212" t="s">
        <v>35</v>
      </c>
    </row>
    <row r="73" spans="1:15" ht="17.25" customHeight="1" x14ac:dyDescent="0.2">
      <c r="A73" s="197">
        <v>11</v>
      </c>
      <c r="B73" s="213" t="s">
        <v>76</v>
      </c>
      <c r="C73" s="199" t="s">
        <v>95</v>
      </c>
      <c r="D73" s="214" t="s">
        <v>99</v>
      </c>
      <c r="E73" s="215" t="s">
        <v>197</v>
      </c>
      <c r="F73" s="210" t="s">
        <v>70</v>
      </c>
      <c r="G73" s="216">
        <v>19900</v>
      </c>
      <c r="H73" s="217" t="s">
        <v>5</v>
      </c>
      <c r="I73" s="204">
        <v>1</v>
      </c>
      <c r="J73" s="204"/>
      <c r="K73" s="197"/>
      <c r="L73" s="197"/>
      <c r="M73" s="197"/>
      <c r="N73" s="197"/>
      <c r="O73" s="218" t="s">
        <v>249</v>
      </c>
    </row>
    <row r="74" spans="1:15" ht="17.25" x14ac:dyDescent="0.2">
      <c r="A74" s="197">
        <v>12</v>
      </c>
      <c r="B74" s="213" t="s">
        <v>179</v>
      </c>
      <c r="C74" s="199" t="s">
        <v>95</v>
      </c>
      <c r="D74" s="214" t="s">
        <v>99</v>
      </c>
      <c r="E74" s="215" t="s">
        <v>117</v>
      </c>
      <c r="F74" s="210" t="s">
        <v>71</v>
      </c>
      <c r="G74" s="216">
        <v>3500</v>
      </c>
      <c r="H74" s="217" t="s">
        <v>265</v>
      </c>
      <c r="I74" s="204">
        <v>1</v>
      </c>
      <c r="J74" s="205"/>
      <c r="K74" s="197"/>
      <c r="L74" s="197"/>
      <c r="M74" s="197"/>
      <c r="N74" s="197"/>
      <c r="O74" s="218" t="s">
        <v>308</v>
      </c>
    </row>
    <row r="75" spans="1:15" ht="17.25" x14ac:dyDescent="0.2">
      <c r="A75" s="197">
        <v>13</v>
      </c>
      <c r="B75" s="213" t="s">
        <v>180</v>
      </c>
      <c r="C75" s="199" t="s">
        <v>95</v>
      </c>
      <c r="D75" s="214" t="s">
        <v>124</v>
      </c>
      <c r="E75" s="215" t="s">
        <v>125</v>
      </c>
      <c r="F75" s="210" t="s">
        <v>230</v>
      </c>
      <c r="G75" s="216">
        <v>3400</v>
      </c>
      <c r="H75" s="217" t="s">
        <v>5</v>
      </c>
      <c r="I75" s="204">
        <v>1</v>
      </c>
      <c r="J75" s="205"/>
      <c r="K75" s="197"/>
      <c r="L75" s="197"/>
      <c r="M75" s="197"/>
      <c r="N75" s="197"/>
      <c r="O75" s="218" t="s">
        <v>243</v>
      </c>
    </row>
    <row r="76" spans="1:15" ht="17.25" x14ac:dyDescent="0.2">
      <c r="A76" s="197">
        <v>14</v>
      </c>
      <c r="B76" s="198" t="s">
        <v>181</v>
      </c>
      <c r="C76" s="199" t="s">
        <v>95</v>
      </c>
      <c r="D76" s="214" t="s">
        <v>124</v>
      </c>
      <c r="E76" s="215" t="s">
        <v>126</v>
      </c>
      <c r="F76" s="210" t="s">
        <v>230</v>
      </c>
      <c r="G76" s="216">
        <v>2740</v>
      </c>
      <c r="H76" s="217" t="s">
        <v>5</v>
      </c>
      <c r="I76" s="204">
        <v>1</v>
      </c>
      <c r="J76" s="205"/>
      <c r="K76" s="197"/>
      <c r="L76" s="197"/>
      <c r="M76" s="197"/>
      <c r="N76" s="197"/>
      <c r="O76" s="218" t="s">
        <v>249</v>
      </c>
    </row>
    <row r="77" spans="1:15" ht="17.25" x14ac:dyDescent="0.2">
      <c r="A77" s="197">
        <v>15</v>
      </c>
      <c r="B77" s="198" t="s">
        <v>182</v>
      </c>
      <c r="C77" s="199" t="s">
        <v>95</v>
      </c>
      <c r="D77" s="214" t="s">
        <v>124</v>
      </c>
      <c r="E77" s="215" t="s">
        <v>127</v>
      </c>
      <c r="F77" s="210" t="s">
        <v>230</v>
      </c>
      <c r="G77" s="216">
        <v>5000</v>
      </c>
      <c r="H77" s="217" t="s">
        <v>5</v>
      </c>
      <c r="I77" s="204">
        <v>1</v>
      </c>
      <c r="J77" s="205"/>
      <c r="K77" s="197"/>
      <c r="L77" s="197"/>
      <c r="M77" s="197"/>
      <c r="N77" s="197"/>
      <c r="O77" s="218" t="s">
        <v>249</v>
      </c>
    </row>
    <row r="78" spans="1:15" ht="17.25" x14ac:dyDescent="0.2">
      <c r="A78" s="197">
        <v>16</v>
      </c>
      <c r="B78" s="198" t="s">
        <v>236</v>
      </c>
      <c r="C78" s="199" t="s">
        <v>95</v>
      </c>
      <c r="D78" s="214" t="s">
        <v>237</v>
      </c>
      <c r="E78" s="215" t="s">
        <v>238</v>
      </c>
      <c r="F78" s="210" t="s">
        <v>240</v>
      </c>
      <c r="G78" s="216">
        <v>4000</v>
      </c>
      <c r="H78" s="217" t="s">
        <v>10</v>
      </c>
      <c r="I78" s="204">
        <v>1</v>
      </c>
      <c r="J78" s="205"/>
      <c r="K78" s="197"/>
      <c r="L78" s="197"/>
      <c r="M78" s="197"/>
      <c r="N78" s="197"/>
      <c r="O78" s="218" t="s">
        <v>268</v>
      </c>
    </row>
    <row r="79" spans="1:15" ht="17.25" x14ac:dyDescent="0.2">
      <c r="A79" s="197">
        <v>17</v>
      </c>
      <c r="B79" s="198" t="s">
        <v>242</v>
      </c>
      <c r="C79" s="199" t="s">
        <v>95</v>
      </c>
      <c r="D79" s="214" t="s">
        <v>237</v>
      </c>
      <c r="E79" s="215" t="s">
        <v>239</v>
      </c>
      <c r="F79" s="210" t="s">
        <v>240</v>
      </c>
      <c r="G79" s="216">
        <v>2400</v>
      </c>
      <c r="H79" s="217" t="s">
        <v>10</v>
      </c>
      <c r="I79" s="204">
        <v>1</v>
      </c>
      <c r="J79" s="205"/>
      <c r="K79" s="197"/>
      <c r="L79" s="197"/>
      <c r="M79" s="197"/>
      <c r="N79" s="197"/>
      <c r="O79" s="218" t="s">
        <v>266</v>
      </c>
    </row>
    <row r="80" spans="1:15" ht="17.25" x14ac:dyDescent="0.2">
      <c r="A80" s="219">
        <v>18</v>
      </c>
      <c r="B80" s="198" t="s">
        <v>254</v>
      </c>
      <c r="C80" s="199" t="s">
        <v>95</v>
      </c>
      <c r="D80" s="214" t="s">
        <v>255</v>
      </c>
      <c r="E80" s="215" t="s">
        <v>256</v>
      </c>
      <c r="F80" s="210" t="s">
        <v>257</v>
      </c>
      <c r="G80" s="216">
        <v>12710</v>
      </c>
      <c r="H80" s="217" t="s">
        <v>10</v>
      </c>
      <c r="I80" s="204">
        <v>1</v>
      </c>
      <c r="J80" s="205"/>
      <c r="K80" s="197"/>
      <c r="L80" s="197"/>
      <c r="M80" s="197"/>
      <c r="N80" s="197"/>
      <c r="O80" s="218" t="s">
        <v>266</v>
      </c>
    </row>
    <row r="81" spans="1:15" ht="34.5" x14ac:dyDescent="0.2">
      <c r="A81" s="219">
        <v>19</v>
      </c>
      <c r="B81" s="198" t="s">
        <v>263</v>
      </c>
      <c r="C81" s="199" t="s">
        <v>95</v>
      </c>
      <c r="D81" s="214" t="s">
        <v>255</v>
      </c>
      <c r="E81" s="215" t="s">
        <v>258</v>
      </c>
      <c r="F81" s="210" t="s">
        <v>257</v>
      </c>
      <c r="G81" s="216">
        <v>3790</v>
      </c>
      <c r="H81" s="217" t="s">
        <v>10</v>
      </c>
      <c r="I81" s="204">
        <v>1</v>
      </c>
      <c r="J81" s="205"/>
      <c r="K81" s="197"/>
      <c r="L81" s="197"/>
      <c r="M81" s="197"/>
      <c r="N81" s="197"/>
      <c r="O81" s="218" t="s">
        <v>266</v>
      </c>
    </row>
    <row r="82" spans="1:15" ht="17.25" x14ac:dyDescent="0.2">
      <c r="A82" s="219">
        <v>20</v>
      </c>
      <c r="B82" s="198" t="s">
        <v>254</v>
      </c>
      <c r="C82" s="199" t="s">
        <v>95</v>
      </c>
      <c r="D82" s="214" t="s">
        <v>255</v>
      </c>
      <c r="E82" s="215" t="s">
        <v>259</v>
      </c>
      <c r="F82" s="210" t="s">
        <v>257</v>
      </c>
      <c r="G82" s="216">
        <v>12710</v>
      </c>
      <c r="H82" s="217" t="s">
        <v>10</v>
      </c>
      <c r="I82" s="204">
        <v>1</v>
      </c>
      <c r="J82" s="205"/>
      <c r="K82" s="197"/>
      <c r="L82" s="197"/>
      <c r="M82" s="197"/>
      <c r="N82" s="197"/>
      <c r="O82" s="218" t="s">
        <v>269</v>
      </c>
    </row>
    <row r="83" spans="1:15" ht="34.5" x14ac:dyDescent="0.2">
      <c r="A83" s="219">
        <v>21</v>
      </c>
      <c r="B83" s="198" t="s">
        <v>263</v>
      </c>
      <c r="C83" s="199" t="s">
        <v>95</v>
      </c>
      <c r="D83" s="214" t="s">
        <v>255</v>
      </c>
      <c r="E83" s="215" t="s">
        <v>260</v>
      </c>
      <c r="F83" s="210" t="s">
        <v>257</v>
      </c>
      <c r="G83" s="216">
        <v>3790</v>
      </c>
      <c r="H83" s="217" t="s">
        <v>10</v>
      </c>
      <c r="I83" s="204">
        <v>1</v>
      </c>
      <c r="J83" s="205"/>
      <c r="K83" s="197"/>
      <c r="L83" s="197"/>
      <c r="M83" s="197"/>
      <c r="N83" s="197"/>
      <c r="O83" s="218" t="s">
        <v>269</v>
      </c>
    </row>
    <row r="84" spans="1:15" ht="17.25" x14ac:dyDescent="0.2">
      <c r="A84" s="219">
        <v>22</v>
      </c>
      <c r="B84" s="198" t="s">
        <v>264</v>
      </c>
      <c r="C84" s="199" t="s">
        <v>95</v>
      </c>
      <c r="D84" s="214" t="s">
        <v>255</v>
      </c>
      <c r="E84" s="215" t="s">
        <v>261</v>
      </c>
      <c r="F84" s="210" t="s">
        <v>257</v>
      </c>
      <c r="G84" s="216">
        <v>1500</v>
      </c>
      <c r="H84" s="217" t="s">
        <v>10</v>
      </c>
      <c r="I84" s="204">
        <v>1</v>
      </c>
      <c r="J84" s="205"/>
      <c r="K84" s="197"/>
      <c r="L84" s="197"/>
      <c r="M84" s="197"/>
      <c r="N84" s="197"/>
      <c r="O84" s="218" t="s">
        <v>11</v>
      </c>
    </row>
    <row r="85" spans="1:15" ht="17.25" x14ac:dyDescent="0.2">
      <c r="A85" s="220">
        <v>23</v>
      </c>
      <c r="B85" s="221" t="s">
        <v>264</v>
      </c>
      <c r="C85" s="222" t="s">
        <v>95</v>
      </c>
      <c r="D85" s="223" t="s">
        <v>255</v>
      </c>
      <c r="E85" s="224" t="s">
        <v>262</v>
      </c>
      <c r="F85" s="225" t="s">
        <v>257</v>
      </c>
      <c r="G85" s="226">
        <v>1500</v>
      </c>
      <c r="H85" s="217" t="s">
        <v>10</v>
      </c>
      <c r="I85" s="227">
        <v>1</v>
      </c>
      <c r="J85" s="228"/>
      <c r="K85" s="229"/>
      <c r="L85" s="229"/>
      <c r="M85" s="229"/>
      <c r="N85" s="229"/>
      <c r="O85" s="218" t="s">
        <v>266</v>
      </c>
    </row>
    <row r="86" spans="1:15" ht="18" thickBot="1" x14ac:dyDescent="0.25">
      <c r="A86" s="235"/>
      <c r="B86" s="236" t="s">
        <v>214</v>
      </c>
      <c r="C86" s="182"/>
      <c r="D86" s="237"/>
      <c r="E86" s="238"/>
      <c r="F86" s="239"/>
      <c r="G86" s="240">
        <f>SUM(G63:G85)</f>
        <v>324636</v>
      </c>
      <c r="H86" s="239"/>
      <c r="I86" s="241"/>
      <c r="J86" s="149"/>
      <c r="K86" s="58"/>
      <c r="L86" s="58"/>
      <c r="M86" s="58"/>
      <c r="N86" s="58"/>
      <c r="O86" s="242"/>
    </row>
    <row r="87" spans="1:15" ht="18" thickBot="1" x14ac:dyDescent="0.35">
      <c r="A87" s="243"/>
      <c r="B87" s="244" t="s">
        <v>216</v>
      </c>
      <c r="C87" s="245"/>
      <c r="D87" s="246"/>
      <c r="E87" s="247"/>
      <c r="F87" s="248"/>
      <c r="G87" s="249">
        <f>G18+G29+G33+G43+G46+G55+G60+G86</f>
        <v>601264</v>
      </c>
      <c r="H87" s="250"/>
      <c r="I87" s="244">
        <v>57</v>
      </c>
      <c r="J87" s="244"/>
      <c r="K87" s="251"/>
      <c r="L87" s="252"/>
      <c r="M87" s="252"/>
      <c r="N87" s="252"/>
      <c r="O87" s="253"/>
    </row>
    <row r="88" spans="1:15" ht="17.25" x14ac:dyDescent="0.3">
      <c r="A88" s="7"/>
      <c r="B88" s="232"/>
      <c r="C88" s="14"/>
      <c r="D88" s="14"/>
      <c r="E88" s="14"/>
      <c r="F88" s="15"/>
      <c r="G88" s="233"/>
      <c r="H88" s="7"/>
      <c r="I88" s="232"/>
      <c r="J88" s="232"/>
      <c r="K88" s="234"/>
      <c r="L88" s="6"/>
      <c r="M88" s="6"/>
      <c r="N88" s="6"/>
      <c r="O88" s="15"/>
    </row>
  </sheetData>
  <mergeCells count="10">
    <mergeCell ref="A1:O1"/>
    <mergeCell ref="A2:O2"/>
    <mergeCell ref="A3:A4"/>
    <mergeCell ref="B3:B4"/>
    <mergeCell ref="C3:E4"/>
    <mergeCell ref="F3:F4"/>
    <mergeCell ref="G3:G4"/>
    <mergeCell ref="H3:H4"/>
    <mergeCell ref="I3:N3"/>
    <mergeCell ref="O3:O4"/>
  </mergeCells>
  <phoneticPr fontId="34" type="noConversion"/>
  <pageMargins left="0.59055118110236227" right="0.31496062992125984" top="0.59055118110236227" bottom="0.47244094488188981" header="0.31496062992125984" footer="0.31496062992125984"/>
  <pageSetup paperSize="9" orientation="landscape" horizontalDpi="4294967293" verticalDpi="0" r:id="rId1"/>
  <headerFooter>
    <oddHeader>&amp;C&amp;"TH SarabunPSK,ธรรมดา"&amp;16&amp;P&amp;R&amp;"TH SarabunPSK,ธรรมดา"&amp;10&amp;KFF0000ข้อมูล 30 ก.ย. 67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P53"/>
  <sheetViews>
    <sheetView view="pageLayout" zoomScale="130" zoomScaleNormal="150" zoomScaleSheetLayoutView="130" zoomScalePageLayoutView="130" workbookViewId="0">
      <selection activeCell="B12" sqref="B12"/>
    </sheetView>
  </sheetViews>
  <sheetFormatPr defaultRowHeight="19.5" x14ac:dyDescent="0.3"/>
  <cols>
    <col min="1" max="1" width="6.25" style="2" bestFit="1" customWidth="1"/>
    <col min="2" max="2" width="43.125" style="2" customWidth="1"/>
    <col min="3" max="3" width="4.125" style="4" bestFit="1" customWidth="1"/>
    <col min="4" max="4" width="3.125" style="4" customWidth="1"/>
    <col min="5" max="5" width="6.875" style="4" customWidth="1"/>
    <col min="6" max="6" width="9.25" style="2" bestFit="1" customWidth="1"/>
    <col min="7" max="7" width="7.5" style="2" customWidth="1"/>
    <col min="8" max="8" width="11.5" style="2" customWidth="1"/>
    <col min="9" max="10" width="4.125" style="1" bestFit="1" customWidth="1"/>
    <col min="11" max="11" width="3.5" style="1" bestFit="1" customWidth="1"/>
    <col min="12" max="12" width="4.25" style="1" bestFit="1" customWidth="1"/>
    <col min="13" max="13" width="3.5" style="1" bestFit="1" customWidth="1"/>
    <col min="14" max="14" width="4.875" style="1" customWidth="1"/>
    <col min="15" max="15" width="11" style="3" customWidth="1"/>
    <col min="16" max="16" width="9" style="1"/>
    <col min="17" max="16384" width="9" style="2"/>
  </cols>
  <sheetData>
    <row r="1" spans="1:16" s="1" customFormat="1" ht="21" x14ac:dyDescent="0.35">
      <c r="A1" s="274" t="s">
        <v>288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</row>
    <row r="2" spans="1:16" s="1" customFormat="1" x14ac:dyDescent="0.3">
      <c r="A2" s="293" t="s">
        <v>250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</row>
    <row r="3" spans="1:16" s="5" customFormat="1" ht="23.25" customHeight="1" x14ac:dyDescent="0.3">
      <c r="A3" s="276" t="s">
        <v>121</v>
      </c>
      <c r="B3" s="279" t="s">
        <v>0</v>
      </c>
      <c r="C3" s="279" t="s">
        <v>64</v>
      </c>
      <c r="D3" s="280"/>
      <c r="E3" s="281"/>
      <c r="F3" s="276" t="s">
        <v>65</v>
      </c>
      <c r="G3" s="276" t="s">
        <v>66</v>
      </c>
      <c r="H3" s="276" t="s">
        <v>67</v>
      </c>
      <c r="I3" s="285" t="s">
        <v>68</v>
      </c>
      <c r="J3" s="286"/>
      <c r="K3" s="286"/>
      <c r="L3" s="286"/>
      <c r="M3" s="286"/>
      <c r="N3" s="287"/>
      <c r="O3" s="288" t="s">
        <v>4</v>
      </c>
    </row>
    <row r="4" spans="1:16" s="5" customFormat="1" ht="24" x14ac:dyDescent="0.3">
      <c r="A4" s="277"/>
      <c r="B4" s="282"/>
      <c r="C4" s="282"/>
      <c r="D4" s="283"/>
      <c r="E4" s="284"/>
      <c r="F4" s="278"/>
      <c r="G4" s="278"/>
      <c r="H4" s="278"/>
      <c r="I4" s="267" t="s">
        <v>1</v>
      </c>
      <c r="J4" s="267" t="s">
        <v>2</v>
      </c>
      <c r="K4" s="268" t="s">
        <v>73</v>
      </c>
      <c r="L4" s="267" t="s">
        <v>3</v>
      </c>
      <c r="M4" s="267" t="s">
        <v>75</v>
      </c>
      <c r="N4" s="267" t="s">
        <v>74</v>
      </c>
      <c r="O4" s="289"/>
    </row>
    <row r="5" spans="1:16" s="5" customFormat="1" ht="21" x14ac:dyDescent="0.3">
      <c r="A5" s="291" t="s">
        <v>234</v>
      </c>
      <c r="B5" s="292"/>
      <c r="C5" s="156"/>
      <c r="D5" s="156"/>
      <c r="E5" s="156"/>
      <c r="F5" s="156"/>
      <c r="G5" s="156"/>
      <c r="H5" s="156"/>
      <c r="I5" s="157"/>
      <c r="J5" s="157"/>
      <c r="K5" s="158"/>
      <c r="L5" s="157"/>
      <c r="M5" s="157"/>
      <c r="N5" s="157"/>
      <c r="O5" s="154"/>
    </row>
    <row r="6" spans="1:16" s="7" customFormat="1" ht="17.25" x14ac:dyDescent="0.3">
      <c r="A6" s="89">
        <v>401</v>
      </c>
      <c r="B6" s="90" t="s">
        <v>14</v>
      </c>
      <c r="C6" s="91"/>
      <c r="D6" s="92"/>
      <c r="E6" s="93"/>
      <c r="F6" s="94"/>
      <c r="G6" s="95"/>
      <c r="H6" s="95"/>
      <c r="I6" s="95"/>
      <c r="J6" s="95"/>
      <c r="K6" s="95"/>
      <c r="L6" s="95"/>
      <c r="M6" s="95"/>
      <c r="N6" s="95"/>
      <c r="O6" s="95"/>
      <c r="P6" s="6"/>
    </row>
    <row r="7" spans="1:16" s="7" customFormat="1" ht="17.25" x14ac:dyDescent="0.3">
      <c r="A7" s="26">
        <v>1</v>
      </c>
      <c r="B7" s="33" t="s">
        <v>172</v>
      </c>
      <c r="C7" s="86">
        <v>401</v>
      </c>
      <c r="D7" s="87">
        <v>55</v>
      </c>
      <c r="E7" s="18" t="s">
        <v>141</v>
      </c>
      <c r="F7" s="31" t="s">
        <v>43</v>
      </c>
      <c r="G7" s="47">
        <v>2300</v>
      </c>
      <c r="H7" s="27" t="s">
        <v>10</v>
      </c>
      <c r="I7" s="127">
        <v>1</v>
      </c>
      <c r="J7" s="27"/>
      <c r="K7" s="27"/>
      <c r="L7" s="27"/>
      <c r="M7" s="27"/>
      <c r="N7" s="27"/>
      <c r="O7" s="27" t="s">
        <v>268</v>
      </c>
      <c r="P7" s="6"/>
    </row>
    <row r="8" spans="1:16" s="10" customFormat="1" ht="17.25" x14ac:dyDescent="0.2">
      <c r="A8" s="26">
        <v>2</v>
      </c>
      <c r="B8" s="33" t="s">
        <v>44</v>
      </c>
      <c r="C8" s="86" t="s">
        <v>82</v>
      </c>
      <c r="D8" s="87" t="s">
        <v>113</v>
      </c>
      <c r="E8" s="18" t="s">
        <v>142</v>
      </c>
      <c r="F8" s="31" t="s">
        <v>43</v>
      </c>
      <c r="G8" s="47">
        <v>2300</v>
      </c>
      <c r="H8" s="27" t="s">
        <v>5</v>
      </c>
      <c r="I8" s="127">
        <v>1</v>
      </c>
      <c r="J8" s="36"/>
      <c r="K8" s="36"/>
      <c r="L8" s="36"/>
      <c r="M8" s="36"/>
      <c r="N8" s="36"/>
      <c r="O8" s="36"/>
      <c r="P8" s="9"/>
    </row>
    <row r="9" spans="1:16" s="7" customFormat="1" ht="17.25" x14ac:dyDescent="0.3">
      <c r="A9" s="26">
        <v>3</v>
      </c>
      <c r="B9" s="33" t="s">
        <v>45</v>
      </c>
      <c r="C9" s="86" t="s">
        <v>82</v>
      </c>
      <c r="D9" s="87" t="s">
        <v>114</v>
      </c>
      <c r="E9" s="18" t="s">
        <v>143</v>
      </c>
      <c r="F9" s="31" t="s">
        <v>46</v>
      </c>
      <c r="G9" s="47">
        <v>1500</v>
      </c>
      <c r="H9" s="27" t="s">
        <v>5</v>
      </c>
      <c r="I9" s="127">
        <v>1</v>
      </c>
      <c r="J9" s="27"/>
      <c r="K9" s="27"/>
      <c r="L9" s="27"/>
      <c r="M9" s="27"/>
      <c r="N9" s="27"/>
      <c r="O9" s="36"/>
      <c r="P9" s="6"/>
    </row>
    <row r="10" spans="1:16" s="7" customFormat="1" ht="17.25" x14ac:dyDescent="0.3">
      <c r="A10" s="26">
        <v>4</v>
      </c>
      <c r="B10" s="33" t="s">
        <v>45</v>
      </c>
      <c r="C10" s="86" t="s">
        <v>82</v>
      </c>
      <c r="D10" s="87" t="s">
        <v>114</v>
      </c>
      <c r="E10" s="18" t="s">
        <v>144</v>
      </c>
      <c r="F10" s="48" t="s">
        <v>46</v>
      </c>
      <c r="G10" s="136">
        <v>1500</v>
      </c>
      <c r="H10" s="27" t="s">
        <v>10</v>
      </c>
      <c r="I10" s="127">
        <v>1</v>
      </c>
      <c r="J10" s="27"/>
      <c r="K10" s="27"/>
      <c r="L10" s="27"/>
      <c r="M10" s="27"/>
      <c r="N10" s="27"/>
      <c r="O10" s="36" t="s">
        <v>11</v>
      </c>
      <c r="P10" s="6"/>
    </row>
    <row r="11" spans="1:16" s="10" customFormat="1" ht="17.25" x14ac:dyDescent="0.2">
      <c r="A11" s="26">
        <v>5</v>
      </c>
      <c r="B11" s="33" t="s">
        <v>45</v>
      </c>
      <c r="C11" s="86" t="s">
        <v>82</v>
      </c>
      <c r="D11" s="87" t="s">
        <v>114</v>
      </c>
      <c r="E11" s="18" t="s">
        <v>145</v>
      </c>
      <c r="F11" s="48" t="s">
        <v>46</v>
      </c>
      <c r="G11" s="136">
        <v>1500</v>
      </c>
      <c r="H11" s="27" t="s">
        <v>5</v>
      </c>
      <c r="I11" s="127">
        <v>1</v>
      </c>
      <c r="J11" s="27"/>
      <c r="K11" s="27"/>
      <c r="L11" s="27"/>
      <c r="M11" s="27"/>
      <c r="N11" s="27"/>
      <c r="O11" s="27" t="s">
        <v>243</v>
      </c>
      <c r="P11" s="9"/>
    </row>
    <row r="12" spans="1:16" s="10" customFormat="1" ht="17.25" x14ac:dyDescent="0.3">
      <c r="A12" s="26">
        <v>6</v>
      </c>
      <c r="B12" s="33" t="s">
        <v>45</v>
      </c>
      <c r="C12" s="86" t="s">
        <v>82</v>
      </c>
      <c r="D12" s="87" t="s">
        <v>114</v>
      </c>
      <c r="E12" s="18" t="s">
        <v>146</v>
      </c>
      <c r="F12" s="48" t="s">
        <v>46</v>
      </c>
      <c r="G12" s="136">
        <v>1500</v>
      </c>
      <c r="H12" s="27" t="s">
        <v>10</v>
      </c>
      <c r="I12" s="127">
        <v>1</v>
      </c>
      <c r="J12" s="27"/>
      <c r="K12" s="27"/>
      <c r="L12" s="27"/>
      <c r="M12" s="27"/>
      <c r="N12" s="27"/>
      <c r="O12" s="36" t="s">
        <v>266</v>
      </c>
      <c r="P12" s="6"/>
    </row>
    <row r="13" spans="1:16" s="10" customFormat="1" ht="17.25" x14ac:dyDescent="0.3">
      <c r="A13" s="26">
        <v>7</v>
      </c>
      <c r="B13" s="33" t="s">
        <v>45</v>
      </c>
      <c r="C13" s="86" t="s">
        <v>82</v>
      </c>
      <c r="D13" s="87" t="s">
        <v>114</v>
      </c>
      <c r="E13" s="18" t="s">
        <v>147</v>
      </c>
      <c r="F13" s="48" t="s">
        <v>46</v>
      </c>
      <c r="G13" s="136">
        <v>1500</v>
      </c>
      <c r="H13" s="27" t="s">
        <v>5</v>
      </c>
      <c r="I13" s="127">
        <v>1</v>
      </c>
      <c r="J13" s="27"/>
      <c r="K13" s="27"/>
      <c r="L13" s="27"/>
      <c r="M13" s="27"/>
      <c r="N13" s="27"/>
      <c r="O13" s="36" t="s">
        <v>249</v>
      </c>
      <c r="P13" s="6"/>
    </row>
    <row r="14" spans="1:16" s="10" customFormat="1" ht="17.25" x14ac:dyDescent="0.2">
      <c r="A14" s="26">
        <v>8</v>
      </c>
      <c r="B14" s="33" t="s">
        <v>45</v>
      </c>
      <c r="C14" s="86" t="s">
        <v>82</v>
      </c>
      <c r="D14" s="87" t="s">
        <v>114</v>
      </c>
      <c r="E14" s="18" t="s">
        <v>148</v>
      </c>
      <c r="F14" s="48" t="s">
        <v>46</v>
      </c>
      <c r="G14" s="136">
        <v>1500</v>
      </c>
      <c r="H14" s="36" t="s">
        <v>265</v>
      </c>
      <c r="I14" s="127">
        <v>1</v>
      </c>
      <c r="J14" s="27"/>
      <c r="K14" s="27"/>
      <c r="L14" s="27"/>
      <c r="M14" s="27"/>
      <c r="N14" s="27"/>
      <c r="O14" s="36" t="s">
        <v>308</v>
      </c>
      <c r="P14" s="9"/>
    </row>
    <row r="15" spans="1:16" s="10" customFormat="1" ht="17.25" x14ac:dyDescent="0.3">
      <c r="A15" s="26">
        <v>9</v>
      </c>
      <c r="B15" s="137" t="s">
        <v>47</v>
      </c>
      <c r="C15" s="138" t="s">
        <v>82</v>
      </c>
      <c r="D15" s="50" t="s">
        <v>115</v>
      </c>
      <c r="E15" s="51" t="s">
        <v>149</v>
      </c>
      <c r="F15" s="52" t="s">
        <v>48</v>
      </c>
      <c r="G15" s="136">
        <v>3000</v>
      </c>
      <c r="H15" s="36" t="s">
        <v>265</v>
      </c>
      <c r="I15" s="127">
        <v>1</v>
      </c>
      <c r="J15" s="27"/>
      <c r="K15" s="27"/>
      <c r="L15" s="27"/>
      <c r="M15" s="27"/>
      <c r="N15" s="27"/>
      <c r="O15" s="27" t="s">
        <v>7</v>
      </c>
      <c r="P15" s="6"/>
    </row>
    <row r="16" spans="1:16" s="9" customFormat="1" ht="17.25" x14ac:dyDescent="0.3">
      <c r="A16" s="26">
        <v>10</v>
      </c>
      <c r="B16" s="137" t="s">
        <v>49</v>
      </c>
      <c r="C16" s="138" t="s">
        <v>82</v>
      </c>
      <c r="D16" s="50" t="s">
        <v>115</v>
      </c>
      <c r="E16" s="51" t="s">
        <v>150</v>
      </c>
      <c r="F16" s="52" t="s">
        <v>50</v>
      </c>
      <c r="G16" s="136">
        <v>4300</v>
      </c>
      <c r="H16" s="27" t="s">
        <v>12</v>
      </c>
      <c r="I16" s="127">
        <v>1</v>
      </c>
      <c r="J16" s="27"/>
      <c r="K16" s="27"/>
      <c r="L16" s="27"/>
      <c r="M16" s="27"/>
      <c r="N16" s="27"/>
      <c r="O16" s="36" t="s">
        <v>13</v>
      </c>
      <c r="P16" s="6"/>
    </row>
    <row r="17" spans="1:16" s="9" customFormat="1" ht="18" thickBot="1" x14ac:dyDescent="0.25">
      <c r="A17" s="26"/>
      <c r="B17" s="139" t="s">
        <v>217</v>
      </c>
      <c r="C17" s="138"/>
      <c r="D17" s="50"/>
      <c r="E17" s="51"/>
      <c r="F17" s="52"/>
      <c r="G17" s="147">
        <f>SUM(G7:G16)</f>
        <v>20900</v>
      </c>
      <c r="H17" s="27"/>
      <c r="I17" s="140"/>
      <c r="J17" s="27"/>
      <c r="K17" s="27"/>
      <c r="L17" s="27"/>
      <c r="M17" s="27"/>
      <c r="N17" s="27"/>
      <c r="O17" s="27"/>
    </row>
    <row r="18" spans="1:16" s="9" customFormat="1" ht="18" thickTop="1" x14ac:dyDescent="0.2">
      <c r="A18" s="111">
        <v>404</v>
      </c>
      <c r="B18" s="103" t="s">
        <v>15</v>
      </c>
      <c r="C18" s="37"/>
      <c r="D18" s="38"/>
      <c r="E18" s="39"/>
      <c r="F18" s="31"/>
      <c r="G18" s="124"/>
      <c r="H18" s="27"/>
      <c r="I18" s="130"/>
      <c r="J18" s="27"/>
      <c r="K18" s="27"/>
      <c r="L18" s="27"/>
      <c r="M18" s="27"/>
      <c r="N18" s="27"/>
      <c r="O18" s="27"/>
    </row>
    <row r="19" spans="1:16" s="6" customFormat="1" ht="17.25" x14ac:dyDescent="0.3">
      <c r="A19" s="27">
        <v>1</v>
      </c>
      <c r="B19" s="33" t="s">
        <v>16</v>
      </c>
      <c r="C19" s="138" t="s">
        <v>116</v>
      </c>
      <c r="D19" s="50" t="s">
        <v>113</v>
      </c>
      <c r="E19" s="51" t="s">
        <v>151</v>
      </c>
      <c r="F19" s="31" t="s">
        <v>17</v>
      </c>
      <c r="G19" s="47">
        <v>2000</v>
      </c>
      <c r="H19" s="27" t="s">
        <v>12</v>
      </c>
      <c r="I19" s="127">
        <v>1</v>
      </c>
      <c r="J19" s="36"/>
      <c r="K19" s="36"/>
      <c r="L19" s="36"/>
      <c r="M19" s="36"/>
      <c r="N19" s="36"/>
      <c r="O19" s="36" t="s">
        <v>13</v>
      </c>
    </row>
    <row r="20" spans="1:16" s="6" customFormat="1" ht="18" thickBot="1" x14ac:dyDescent="0.35">
      <c r="A20" s="27"/>
      <c r="B20" s="139" t="s">
        <v>218</v>
      </c>
      <c r="C20" s="138"/>
      <c r="D20" s="50"/>
      <c r="E20" s="51"/>
      <c r="F20" s="31"/>
      <c r="G20" s="144">
        <v>2000</v>
      </c>
      <c r="H20" s="27"/>
      <c r="I20" s="140"/>
      <c r="J20" s="36"/>
      <c r="K20" s="36"/>
      <c r="L20" s="36"/>
      <c r="M20" s="36"/>
      <c r="N20" s="36"/>
      <c r="O20" s="36"/>
    </row>
    <row r="21" spans="1:16" s="6" customFormat="1" ht="18" thickTop="1" x14ac:dyDescent="0.3">
      <c r="A21" s="102">
        <v>406</v>
      </c>
      <c r="B21" s="103" t="s">
        <v>18</v>
      </c>
      <c r="C21" s="37"/>
      <c r="D21" s="38"/>
      <c r="E21" s="39"/>
      <c r="F21" s="104"/>
      <c r="G21" s="122"/>
      <c r="H21" s="28"/>
      <c r="I21" s="129"/>
      <c r="J21" s="28"/>
      <c r="K21" s="28"/>
      <c r="L21" s="28"/>
      <c r="M21" s="28"/>
      <c r="N21" s="28"/>
      <c r="O21" s="28"/>
    </row>
    <row r="22" spans="1:16" s="7" customFormat="1" ht="17.25" x14ac:dyDescent="0.3">
      <c r="A22" s="27">
        <v>1</v>
      </c>
      <c r="B22" s="33" t="s">
        <v>51</v>
      </c>
      <c r="C22" s="138" t="s">
        <v>83</v>
      </c>
      <c r="D22" s="50" t="s">
        <v>114</v>
      </c>
      <c r="E22" s="51" t="s">
        <v>152</v>
      </c>
      <c r="F22" s="31" t="s">
        <v>46</v>
      </c>
      <c r="G22" s="141">
        <v>4900</v>
      </c>
      <c r="H22" s="27" t="s">
        <v>265</v>
      </c>
      <c r="I22" s="127">
        <v>1</v>
      </c>
      <c r="J22" s="27"/>
      <c r="K22" s="27"/>
      <c r="L22" s="27"/>
      <c r="M22" s="27"/>
      <c r="N22" s="27"/>
      <c r="O22" s="27" t="s">
        <v>7</v>
      </c>
      <c r="P22" s="6"/>
    </row>
    <row r="23" spans="1:16" s="7" customFormat="1" ht="17.25" x14ac:dyDescent="0.3">
      <c r="A23" s="27">
        <v>2</v>
      </c>
      <c r="B23" s="137" t="s">
        <v>52</v>
      </c>
      <c r="C23" s="138" t="s">
        <v>83</v>
      </c>
      <c r="D23" s="50" t="s">
        <v>115</v>
      </c>
      <c r="E23" s="51" t="s">
        <v>153</v>
      </c>
      <c r="F23" s="52" t="s">
        <v>48</v>
      </c>
      <c r="G23" s="141">
        <v>3900</v>
      </c>
      <c r="H23" s="27" t="s">
        <v>5</v>
      </c>
      <c r="I23" s="127">
        <v>1</v>
      </c>
      <c r="J23" s="27"/>
      <c r="K23" s="27"/>
      <c r="L23" s="27"/>
      <c r="M23" s="27"/>
      <c r="N23" s="27"/>
      <c r="O23" s="45" t="s">
        <v>243</v>
      </c>
      <c r="P23" s="6"/>
    </row>
    <row r="24" spans="1:16" s="7" customFormat="1" ht="17.25" x14ac:dyDescent="0.3">
      <c r="A24" s="27">
        <v>3</v>
      </c>
      <c r="B24" s="137" t="s">
        <v>54</v>
      </c>
      <c r="C24" s="138" t="s">
        <v>83</v>
      </c>
      <c r="D24" s="50" t="s">
        <v>115</v>
      </c>
      <c r="E24" s="51" t="s">
        <v>154</v>
      </c>
      <c r="F24" s="52" t="s">
        <v>48</v>
      </c>
      <c r="G24" s="141">
        <v>3500</v>
      </c>
      <c r="H24" s="27" t="s">
        <v>265</v>
      </c>
      <c r="I24" s="127">
        <v>1</v>
      </c>
      <c r="J24" s="27"/>
      <c r="K24" s="27"/>
      <c r="L24" s="27"/>
      <c r="M24" s="27"/>
      <c r="N24" s="27"/>
      <c r="O24" s="45" t="s">
        <v>7</v>
      </c>
      <c r="P24" s="6"/>
    </row>
    <row r="25" spans="1:16" s="7" customFormat="1" ht="17.25" x14ac:dyDescent="0.3">
      <c r="A25" s="27">
        <v>4</v>
      </c>
      <c r="B25" s="137" t="s">
        <v>56</v>
      </c>
      <c r="C25" s="138" t="s">
        <v>83</v>
      </c>
      <c r="D25" s="50" t="s">
        <v>115</v>
      </c>
      <c r="E25" s="51" t="s">
        <v>155</v>
      </c>
      <c r="F25" s="52" t="s">
        <v>48</v>
      </c>
      <c r="G25" s="141">
        <v>1700</v>
      </c>
      <c r="H25" s="27" t="s">
        <v>10</v>
      </c>
      <c r="I25" s="127">
        <v>1</v>
      </c>
      <c r="J25" s="27"/>
      <c r="K25" s="27"/>
      <c r="L25" s="27"/>
      <c r="M25" s="27"/>
      <c r="N25" s="27"/>
      <c r="O25" s="27" t="s">
        <v>11</v>
      </c>
      <c r="P25" s="6"/>
    </row>
    <row r="26" spans="1:16" s="7" customFormat="1" ht="17.25" x14ac:dyDescent="0.3">
      <c r="A26" s="27">
        <v>5</v>
      </c>
      <c r="B26" s="137" t="s">
        <v>53</v>
      </c>
      <c r="C26" s="138" t="s">
        <v>83</v>
      </c>
      <c r="D26" s="50" t="s">
        <v>115</v>
      </c>
      <c r="E26" s="51" t="s">
        <v>201</v>
      </c>
      <c r="F26" s="52" t="s">
        <v>50</v>
      </c>
      <c r="G26" s="141">
        <v>3800</v>
      </c>
      <c r="H26" s="27" t="s">
        <v>5</v>
      </c>
      <c r="I26" s="127">
        <v>1</v>
      </c>
      <c r="J26" s="27"/>
      <c r="K26" s="27"/>
      <c r="L26" s="27"/>
      <c r="M26" s="27"/>
      <c r="N26" s="27"/>
      <c r="O26" s="45" t="s">
        <v>243</v>
      </c>
      <c r="P26" s="6"/>
    </row>
    <row r="27" spans="1:16" s="7" customFormat="1" ht="17.25" x14ac:dyDescent="0.3">
      <c r="A27" s="27">
        <v>6</v>
      </c>
      <c r="B27" s="137" t="s">
        <v>55</v>
      </c>
      <c r="C27" s="138" t="s">
        <v>83</v>
      </c>
      <c r="D27" s="50" t="s">
        <v>115</v>
      </c>
      <c r="E27" s="51" t="s">
        <v>202</v>
      </c>
      <c r="F27" s="52" t="s">
        <v>50</v>
      </c>
      <c r="G27" s="141">
        <v>3900</v>
      </c>
      <c r="H27" s="27" t="s">
        <v>5</v>
      </c>
      <c r="I27" s="127">
        <v>1</v>
      </c>
      <c r="J27" s="27"/>
      <c r="K27" s="27"/>
      <c r="L27" s="27"/>
      <c r="M27" s="27"/>
      <c r="N27" s="27"/>
      <c r="O27" s="27" t="s">
        <v>243</v>
      </c>
      <c r="P27" s="6"/>
    </row>
    <row r="28" spans="1:16" s="7" customFormat="1" ht="17.25" x14ac:dyDescent="0.3">
      <c r="A28" s="27">
        <v>7</v>
      </c>
      <c r="B28" s="137" t="s">
        <v>55</v>
      </c>
      <c r="C28" s="138" t="s">
        <v>83</v>
      </c>
      <c r="D28" s="50" t="s">
        <v>115</v>
      </c>
      <c r="E28" s="51" t="s">
        <v>203</v>
      </c>
      <c r="F28" s="52" t="s">
        <v>50</v>
      </c>
      <c r="G28" s="141">
        <v>3900</v>
      </c>
      <c r="H28" s="27" t="s">
        <v>5</v>
      </c>
      <c r="I28" s="127">
        <v>1</v>
      </c>
      <c r="J28" s="27"/>
      <c r="K28" s="27"/>
      <c r="L28" s="27"/>
      <c r="M28" s="27"/>
      <c r="N28" s="27"/>
      <c r="O28" s="27" t="s">
        <v>243</v>
      </c>
      <c r="P28" s="6"/>
    </row>
    <row r="29" spans="1:16" s="7" customFormat="1" ht="18" thickBot="1" x14ac:dyDescent="0.35">
      <c r="A29" s="27"/>
      <c r="B29" s="139" t="s">
        <v>212</v>
      </c>
      <c r="C29" s="138"/>
      <c r="D29" s="50"/>
      <c r="E29" s="51"/>
      <c r="F29" s="52"/>
      <c r="G29" s="146">
        <f>SUM(G22:G28)</f>
        <v>25600</v>
      </c>
      <c r="H29" s="27"/>
      <c r="I29" s="140"/>
      <c r="J29" s="27"/>
      <c r="K29" s="27"/>
      <c r="L29" s="27"/>
      <c r="M29" s="27"/>
      <c r="N29" s="27"/>
      <c r="O29" s="27"/>
      <c r="P29" s="6"/>
    </row>
    <row r="30" spans="1:16" s="7" customFormat="1" ht="18" thickTop="1" x14ac:dyDescent="0.3">
      <c r="A30" s="111">
        <v>423</v>
      </c>
      <c r="B30" s="103" t="s">
        <v>59</v>
      </c>
      <c r="C30" s="37"/>
      <c r="D30" s="38"/>
      <c r="E30" s="39"/>
      <c r="F30" s="31"/>
      <c r="G30" s="120"/>
      <c r="H30" s="27"/>
      <c r="I30" s="130"/>
      <c r="J30" s="27"/>
      <c r="K30" s="27"/>
      <c r="L30" s="27"/>
      <c r="M30" s="27"/>
      <c r="N30" s="27"/>
      <c r="O30" s="27"/>
      <c r="P30" s="6"/>
    </row>
    <row r="31" spans="1:16" s="7" customFormat="1" ht="17.25" x14ac:dyDescent="0.3">
      <c r="A31" s="27">
        <v>1</v>
      </c>
      <c r="B31" s="137" t="s">
        <v>60</v>
      </c>
      <c r="C31" s="138" t="s">
        <v>118</v>
      </c>
      <c r="D31" s="50" t="s">
        <v>115</v>
      </c>
      <c r="E31" s="51" t="s">
        <v>158</v>
      </c>
      <c r="F31" s="52" t="s">
        <v>61</v>
      </c>
      <c r="G31" s="32">
        <v>590</v>
      </c>
      <c r="H31" s="27" t="s">
        <v>10</v>
      </c>
      <c r="I31" s="127">
        <v>1</v>
      </c>
      <c r="J31" s="27"/>
      <c r="K31" s="27"/>
      <c r="L31" s="27"/>
      <c r="M31" s="27"/>
      <c r="N31" s="27"/>
      <c r="O31" s="27" t="s">
        <v>309</v>
      </c>
      <c r="P31" s="6"/>
    </row>
    <row r="32" spans="1:16" s="7" customFormat="1" ht="17.25" x14ac:dyDescent="0.3">
      <c r="A32" s="27">
        <v>2</v>
      </c>
      <c r="B32" s="137" t="s">
        <v>60</v>
      </c>
      <c r="C32" s="138" t="s">
        <v>118</v>
      </c>
      <c r="D32" s="50" t="s">
        <v>115</v>
      </c>
      <c r="E32" s="51" t="s">
        <v>159</v>
      </c>
      <c r="F32" s="52" t="s">
        <v>61</v>
      </c>
      <c r="G32" s="32">
        <v>590</v>
      </c>
      <c r="H32" s="27" t="s">
        <v>12</v>
      </c>
      <c r="I32" s="127">
        <v>1</v>
      </c>
      <c r="J32" s="27"/>
      <c r="K32" s="27"/>
      <c r="L32" s="27"/>
      <c r="M32" s="27"/>
      <c r="N32" s="27"/>
      <c r="O32" s="27" t="s">
        <v>309</v>
      </c>
      <c r="P32" s="6"/>
    </row>
    <row r="33" spans="1:16" s="7" customFormat="1" ht="17.25" x14ac:dyDescent="0.3">
      <c r="A33" s="27">
        <v>3</v>
      </c>
      <c r="B33" s="137" t="s">
        <v>60</v>
      </c>
      <c r="C33" s="138" t="s">
        <v>118</v>
      </c>
      <c r="D33" s="50" t="s">
        <v>115</v>
      </c>
      <c r="E33" s="51" t="s">
        <v>160</v>
      </c>
      <c r="F33" s="52" t="s">
        <v>61</v>
      </c>
      <c r="G33" s="32">
        <v>590</v>
      </c>
      <c r="H33" s="27" t="s">
        <v>265</v>
      </c>
      <c r="I33" s="127">
        <v>1</v>
      </c>
      <c r="J33" s="27"/>
      <c r="K33" s="27"/>
      <c r="L33" s="27"/>
      <c r="M33" s="27"/>
      <c r="N33" s="27"/>
      <c r="O33" s="27" t="s">
        <v>309</v>
      </c>
      <c r="P33" s="6"/>
    </row>
    <row r="34" spans="1:16" s="7" customFormat="1" ht="17.25" x14ac:dyDescent="0.3">
      <c r="A34" s="27">
        <v>4</v>
      </c>
      <c r="B34" s="137" t="s">
        <v>60</v>
      </c>
      <c r="C34" s="138" t="s">
        <v>118</v>
      </c>
      <c r="D34" s="50" t="s">
        <v>115</v>
      </c>
      <c r="E34" s="51" t="s">
        <v>161</v>
      </c>
      <c r="F34" s="52" t="s">
        <v>61</v>
      </c>
      <c r="G34" s="32">
        <v>590</v>
      </c>
      <c r="H34" s="27" t="s">
        <v>5</v>
      </c>
      <c r="I34" s="127">
        <v>1</v>
      </c>
      <c r="J34" s="27"/>
      <c r="K34" s="27"/>
      <c r="L34" s="27"/>
      <c r="M34" s="27"/>
      <c r="N34" s="27"/>
      <c r="O34" s="27" t="s">
        <v>309</v>
      </c>
      <c r="P34" s="6"/>
    </row>
    <row r="35" spans="1:16" s="7" customFormat="1" ht="17.25" x14ac:dyDescent="0.3">
      <c r="A35" s="27">
        <v>5</v>
      </c>
      <c r="B35" s="137" t="s">
        <v>60</v>
      </c>
      <c r="C35" s="138" t="s">
        <v>118</v>
      </c>
      <c r="D35" s="50" t="s">
        <v>115</v>
      </c>
      <c r="E35" s="51" t="s">
        <v>162</v>
      </c>
      <c r="F35" s="52" t="s">
        <v>61</v>
      </c>
      <c r="G35" s="32">
        <v>590</v>
      </c>
      <c r="H35" s="27" t="s">
        <v>5</v>
      </c>
      <c r="I35" s="127">
        <v>1</v>
      </c>
      <c r="J35" s="27"/>
      <c r="K35" s="27"/>
      <c r="L35" s="27"/>
      <c r="M35" s="27"/>
      <c r="N35" s="27"/>
      <c r="O35" s="27" t="s">
        <v>309</v>
      </c>
      <c r="P35" s="6"/>
    </row>
    <row r="36" spans="1:16" s="7" customFormat="1" ht="17.25" x14ac:dyDescent="0.3">
      <c r="A36" s="27">
        <v>6</v>
      </c>
      <c r="B36" s="137" t="s">
        <v>62</v>
      </c>
      <c r="C36" s="138" t="s">
        <v>118</v>
      </c>
      <c r="D36" s="50" t="s">
        <v>115</v>
      </c>
      <c r="E36" s="51" t="s">
        <v>163</v>
      </c>
      <c r="F36" s="52" t="s">
        <v>61</v>
      </c>
      <c r="G36" s="32">
        <v>1299</v>
      </c>
      <c r="H36" s="27" t="s">
        <v>72</v>
      </c>
      <c r="I36" s="127">
        <v>1</v>
      </c>
      <c r="J36" s="27"/>
      <c r="K36" s="27"/>
      <c r="L36" s="27"/>
      <c r="M36" s="27"/>
      <c r="N36" s="27"/>
      <c r="O36" s="27" t="s">
        <v>309</v>
      </c>
      <c r="P36" s="6"/>
    </row>
    <row r="37" spans="1:16" s="7" customFormat="1" ht="17.25" x14ac:dyDescent="0.3">
      <c r="A37" s="27">
        <v>7</v>
      </c>
      <c r="B37" s="137" t="s">
        <v>62</v>
      </c>
      <c r="C37" s="138" t="s">
        <v>118</v>
      </c>
      <c r="D37" s="50" t="s">
        <v>115</v>
      </c>
      <c r="E37" s="51" t="s">
        <v>164</v>
      </c>
      <c r="F37" s="52" t="s">
        <v>61</v>
      </c>
      <c r="G37" s="32">
        <v>1299</v>
      </c>
      <c r="H37" s="130" t="s">
        <v>283</v>
      </c>
      <c r="I37" s="127">
        <v>1</v>
      </c>
      <c r="J37" s="27"/>
      <c r="K37" s="27"/>
      <c r="L37" s="27"/>
      <c r="M37" s="27"/>
      <c r="N37" s="27"/>
      <c r="O37" s="27" t="s">
        <v>309</v>
      </c>
      <c r="P37" s="6"/>
    </row>
    <row r="38" spans="1:16" s="7" customFormat="1" ht="18" thickBot="1" x14ac:dyDescent="0.35">
      <c r="A38" s="27"/>
      <c r="B38" s="139" t="s">
        <v>241</v>
      </c>
      <c r="C38" s="138"/>
      <c r="D38" s="50"/>
      <c r="E38" s="51"/>
      <c r="F38" s="52"/>
      <c r="G38" s="145">
        <f>SUM(G31:G37)</f>
        <v>5548</v>
      </c>
      <c r="H38" s="27"/>
      <c r="I38" s="140"/>
      <c r="J38" s="27"/>
      <c r="K38" s="27"/>
      <c r="L38" s="27"/>
      <c r="M38" s="27"/>
      <c r="N38" s="27"/>
      <c r="O38" s="27"/>
      <c r="P38" s="6"/>
    </row>
    <row r="39" spans="1:16" s="7" customFormat="1" ht="15.75" customHeight="1" thickTop="1" x14ac:dyDescent="0.3">
      <c r="A39" s="111">
        <v>424</v>
      </c>
      <c r="B39" s="103" t="s">
        <v>41</v>
      </c>
      <c r="C39" s="37"/>
      <c r="D39" s="38"/>
      <c r="E39" s="39"/>
      <c r="F39" s="31"/>
      <c r="G39" s="120"/>
      <c r="H39" s="27"/>
      <c r="I39" s="130"/>
      <c r="J39" s="27"/>
      <c r="K39" s="27"/>
      <c r="L39" s="142"/>
      <c r="M39" s="27"/>
      <c r="N39" s="27"/>
      <c r="O39" s="27"/>
      <c r="P39" s="6"/>
    </row>
    <row r="40" spans="1:16" s="7" customFormat="1" ht="17.25" x14ac:dyDescent="0.3">
      <c r="A40" s="27">
        <v>1</v>
      </c>
      <c r="B40" s="137" t="s">
        <v>208</v>
      </c>
      <c r="C40" s="138" t="s">
        <v>119</v>
      </c>
      <c r="D40" s="50" t="s">
        <v>115</v>
      </c>
      <c r="E40" s="51" t="s">
        <v>165</v>
      </c>
      <c r="F40" s="52" t="s">
        <v>61</v>
      </c>
      <c r="G40" s="32">
        <v>3990</v>
      </c>
      <c r="H40" s="27" t="s">
        <v>5</v>
      </c>
      <c r="I40" s="127"/>
      <c r="J40" s="127">
        <v>1</v>
      </c>
      <c r="K40" s="27"/>
      <c r="L40" s="290" t="s">
        <v>312</v>
      </c>
      <c r="M40" s="290"/>
      <c r="N40" s="290"/>
      <c r="O40" s="27" t="s">
        <v>243</v>
      </c>
      <c r="P40" s="6"/>
    </row>
    <row r="41" spans="1:16" s="7" customFormat="1" ht="21" thickBot="1" x14ac:dyDescent="0.35">
      <c r="A41" s="27"/>
      <c r="B41" s="139" t="s">
        <v>219</v>
      </c>
      <c r="C41" s="138"/>
      <c r="D41" s="50"/>
      <c r="E41" s="51"/>
      <c r="F41" s="52"/>
      <c r="G41" s="145">
        <v>3990</v>
      </c>
      <c r="H41" s="27"/>
      <c r="I41" s="140"/>
      <c r="J41" s="27"/>
      <c r="K41" s="27"/>
      <c r="L41" s="143"/>
      <c r="M41" s="27"/>
      <c r="N41" s="27"/>
      <c r="O41" s="27"/>
      <c r="P41" s="6"/>
    </row>
    <row r="42" spans="1:16" s="7" customFormat="1" ht="16.5" customHeight="1" thickTop="1" x14ac:dyDescent="0.3">
      <c r="A42" s="111">
        <v>432</v>
      </c>
      <c r="B42" s="103" t="s">
        <v>42</v>
      </c>
      <c r="C42" s="37"/>
      <c r="D42" s="38"/>
      <c r="E42" s="39"/>
      <c r="F42" s="31"/>
      <c r="G42" s="120"/>
      <c r="H42" s="27"/>
      <c r="I42" s="130"/>
      <c r="J42" s="27"/>
      <c r="K42" s="27"/>
      <c r="L42" s="27"/>
      <c r="M42" s="27"/>
      <c r="N42" s="27"/>
      <c r="O42" s="27"/>
      <c r="P42" s="6"/>
    </row>
    <row r="43" spans="1:16" s="7" customFormat="1" ht="17.25" x14ac:dyDescent="0.3">
      <c r="A43" s="27">
        <v>1</v>
      </c>
      <c r="B43" s="33" t="s">
        <v>63</v>
      </c>
      <c r="C43" s="86" t="s">
        <v>120</v>
      </c>
      <c r="D43" s="87" t="s">
        <v>111</v>
      </c>
      <c r="E43" s="88" t="s">
        <v>166</v>
      </c>
      <c r="F43" s="52" t="s">
        <v>167</v>
      </c>
      <c r="G43" s="47">
        <v>1700</v>
      </c>
      <c r="H43" s="27" t="s">
        <v>5</v>
      </c>
      <c r="I43" s="127">
        <v>1</v>
      </c>
      <c r="J43" s="27"/>
      <c r="K43" s="27"/>
      <c r="L43" s="27"/>
      <c r="M43" s="27"/>
      <c r="N43" s="27"/>
      <c r="O43" s="27" t="s">
        <v>282</v>
      </c>
      <c r="P43" s="6"/>
    </row>
    <row r="44" spans="1:16" s="7" customFormat="1" ht="18" thickBot="1" x14ac:dyDescent="0.35">
      <c r="A44" s="176"/>
      <c r="B44" s="155" t="s">
        <v>220</v>
      </c>
      <c r="C44" s="172"/>
      <c r="D44" s="172"/>
      <c r="E44" s="172"/>
      <c r="F44" s="173"/>
      <c r="G44" s="144">
        <v>1700</v>
      </c>
      <c r="H44" s="65"/>
      <c r="I44" s="174"/>
      <c r="J44" s="65"/>
      <c r="K44" s="65"/>
      <c r="L44" s="65"/>
      <c r="M44" s="65"/>
      <c r="N44" s="65"/>
      <c r="O44" s="175"/>
      <c r="P44" s="6"/>
    </row>
    <row r="45" spans="1:16" s="7" customFormat="1" ht="21.75" thickTop="1" x14ac:dyDescent="0.35">
      <c r="A45" s="177" t="s">
        <v>235</v>
      </c>
      <c r="B45" s="168"/>
      <c r="C45" s="167"/>
      <c r="D45" s="167"/>
      <c r="E45" s="167"/>
      <c r="F45" s="169"/>
      <c r="G45" s="169"/>
      <c r="H45" s="170"/>
      <c r="I45" s="171"/>
      <c r="J45" s="170"/>
      <c r="K45" s="170"/>
      <c r="L45" s="170"/>
      <c r="M45" s="170"/>
      <c r="N45" s="170"/>
      <c r="O45" s="181"/>
      <c r="P45" s="6"/>
    </row>
    <row r="46" spans="1:16" s="7" customFormat="1" ht="17.25" x14ac:dyDescent="0.3">
      <c r="A46" s="160">
        <v>416</v>
      </c>
      <c r="B46" s="161" t="s">
        <v>30</v>
      </c>
      <c r="C46" s="162"/>
      <c r="D46" s="163"/>
      <c r="E46" s="164"/>
      <c r="F46" s="148"/>
      <c r="G46" s="120"/>
      <c r="H46" s="150"/>
      <c r="I46" s="165"/>
      <c r="J46" s="150"/>
      <c r="K46" s="150"/>
      <c r="L46" s="150"/>
      <c r="M46" s="150"/>
      <c r="N46" s="150"/>
      <c r="O46" s="166"/>
      <c r="P46" s="6"/>
    </row>
    <row r="47" spans="1:16" s="7" customFormat="1" ht="17.25" x14ac:dyDescent="0.3">
      <c r="A47" s="27">
        <v>1</v>
      </c>
      <c r="B47" s="33" t="s">
        <v>36</v>
      </c>
      <c r="C47" s="86" t="s">
        <v>95</v>
      </c>
      <c r="D47" s="87" t="s">
        <v>113</v>
      </c>
      <c r="E47" s="18" t="s">
        <v>156</v>
      </c>
      <c r="F47" s="31" t="s">
        <v>37</v>
      </c>
      <c r="G47" s="32">
        <v>3500</v>
      </c>
      <c r="H47" s="36" t="s">
        <v>12</v>
      </c>
      <c r="I47" s="127"/>
      <c r="J47" s="127">
        <v>1</v>
      </c>
      <c r="K47" s="36"/>
      <c r="L47" s="290" t="s">
        <v>312</v>
      </c>
      <c r="M47" s="290"/>
      <c r="N47" s="290"/>
      <c r="O47" s="36" t="s">
        <v>13</v>
      </c>
      <c r="P47" s="6"/>
    </row>
    <row r="48" spans="1:16" s="7" customFormat="1" ht="17.25" x14ac:dyDescent="0.3">
      <c r="A48" s="27">
        <v>2</v>
      </c>
      <c r="B48" s="33" t="s">
        <v>38</v>
      </c>
      <c r="C48" s="86" t="s">
        <v>95</v>
      </c>
      <c r="D48" s="87" t="s">
        <v>113</v>
      </c>
      <c r="E48" s="18" t="s">
        <v>152</v>
      </c>
      <c r="F48" s="31" t="s">
        <v>77</v>
      </c>
      <c r="G48" s="32">
        <v>3350</v>
      </c>
      <c r="H48" s="27" t="s">
        <v>10</v>
      </c>
      <c r="I48" s="127">
        <v>1</v>
      </c>
      <c r="J48" s="27"/>
      <c r="K48" s="27"/>
      <c r="L48" s="27"/>
      <c r="M48" s="27"/>
      <c r="N48" s="27"/>
      <c r="O48" s="27" t="s">
        <v>269</v>
      </c>
      <c r="P48" s="6"/>
    </row>
    <row r="49" spans="1:16" s="7" customFormat="1" ht="17.25" x14ac:dyDescent="0.3">
      <c r="A49" s="150">
        <v>3</v>
      </c>
      <c r="B49" s="151" t="s">
        <v>57</v>
      </c>
      <c r="C49" s="152" t="s">
        <v>95</v>
      </c>
      <c r="D49" s="185" t="s">
        <v>111</v>
      </c>
      <c r="E49" s="186" t="s">
        <v>157</v>
      </c>
      <c r="F49" s="148" t="s">
        <v>58</v>
      </c>
      <c r="G49" s="124">
        <v>4900</v>
      </c>
      <c r="H49" s="150" t="s">
        <v>10</v>
      </c>
      <c r="I49" s="187">
        <v>1</v>
      </c>
      <c r="J49" s="150"/>
      <c r="K49" s="150"/>
      <c r="L49" s="150"/>
      <c r="M49" s="150"/>
      <c r="N49" s="150"/>
      <c r="O49" s="150" t="s">
        <v>11</v>
      </c>
      <c r="P49" s="6"/>
    </row>
    <row r="50" spans="1:16" s="7" customFormat="1" ht="18" thickBot="1" x14ac:dyDescent="0.35">
      <c r="A50" s="58"/>
      <c r="B50" s="254" t="s">
        <v>214</v>
      </c>
      <c r="C50" s="182"/>
      <c r="D50" s="56"/>
      <c r="E50" s="57"/>
      <c r="F50" s="183"/>
      <c r="G50" s="255">
        <f>SUM(G47:G49)</f>
        <v>11750</v>
      </c>
      <c r="H50" s="58"/>
      <c r="I50" s="256"/>
      <c r="J50" s="58"/>
      <c r="K50" s="58"/>
      <c r="L50" s="58"/>
      <c r="M50" s="58"/>
      <c r="N50" s="58"/>
      <c r="O50" s="58"/>
      <c r="P50" s="6"/>
    </row>
    <row r="51" spans="1:16" s="7" customFormat="1" ht="18" thickBot="1" x14ac:dyDescent="0.35">
      <c r="A51" s="257"/>
      <c r="B51" s="258" t="s">
        <v>216</v>
      </c>
      <c r="C51" s="259"/>
      <c r="D51" s="260"/>
      <c r="E51" s="261"/>
      <c r="F51" s="262"/>
      <c r="G51" s="263">
        <f>G17+G20+G29+G38+G41+G44+G50</f>
        <v>71488</v>
      </c>
      <c r="H51" s="264"/>
      <c r="I51" s="258">
        <v>28</v>
      </c>
      <c r="J51" s="258">
        <v>2</v>
      </c>
      <c r="K51" s="264"/>
      <c r="L51" s="264"/>
      <c r="M51" s="264"/>
      <c r="N51" s="264"/>
      <c r="O51" s="265"/>
      <c r="P51" s="6"/>
    </row>
    <row r="52" spans="1:16" s="7" customFormat="1" ht="17.25" x14ac:dyDescent="0.3">
      <c r="C52" s="14"/>
      <c r="D52" s="14"/>
      <c r="E52" s="14"/>
      <c r="I52" s="6"/>
      <c r="J52" s="6"/>
      <c r="K52" s="6"/>
      <c r="L52" s="6"/>
      <c r="M52" s="6"/>
      <c r="N52" s="6"/>
      <c r="O52" s="15"/>
      <c r="P52" s="6"/>
    </row>
    <row r="53" spans="1:16" s="7" customFormat="1" ht="17.25" x14ac:dyDescent="0.3">
      <c r="C53" s="14"/>
      <c r="D53" s="14"/>
      <c r="E53" s="14"/>
      <c r="I53" s="6"/>
      <c r="J53" s="6"/>
      <c r="K53" s="6"/>
      <c r="L53" s="6"/>
      <c r="M53" s="6"/>
      <c r="N53" s="6"/>
      <c r="O53" s="15"/>
      <c r="P53" s="6"/>
    </row>
  </sheetData>
  <mergeCells count="13">
    <mergeCell ref="L47:N47"/>
    <mergeCell ref="L40:N40"/>
    <mergeCell ref="A5:B5"/>
    <mergeCell ref="A1:O1"/>
    <mergeCell ref="A2:O2"/>
    <mergeCell ref="A3:A4"/>
    <mergeCell ref="F3:F4"/>
    <mergeCell ref="G3:G4"/>
    <mergeCell ref="H3:H4"/>
    <mergeCell ref="I3:N3"/>
    <mergeCell ref="O3:O4"/>
    <mergeCell ref="B3:B4"/>
    <mergeCell ref="C3:E4"/>
  </mergeCells>
  <pageMargins left="0.70866141732283472" right="0.31496062992125984" top="0.78740157480314965" bottom="0.59055118110236227" header="0.31496062992125984" footer="0.31496062992125984"/>
  <pageSetup paperSize="9" orientation="landscape" horizontalDpi="4294967294" verticalDpi="300" r:id="rId1"/>
  <headerFooter differentFirst="1">
    <oddHeader>&amp;C&amp;"TH SarabunPSK,ธรรมดา"&amp;14&amp;P&amp;R&amp;"TH SarabunPSK,ตัวหนา"&amp;10&amp;KFF0000ข้อมูล 30 ก.ย. 67</oddHeader>
    <firstHeader>&amp;R&amp;"TH SarabunPSK,ธรรมดา"&amp;10&amp;KFF0000ข้อมูล 30 ก.ย. 67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T16"/>
  <sheetViews>
    <sheetView tabSelected="1" view="pageLayout" topLeftCell="A3" zoomScale="130" zoomScaleSheetLayoutView="100" zoomScalePageLayoutView="130" workbookViewId="0">
      <selection activeCell="D23" sqref="D23"/>
    </sheetView>
  </sheetViews>
  <sheetFormatPr defaultRowHeight="19.5" x14ac:dyDescent="0.3"/>
  <cols>
    <col min="1" max="1" width="4.875" style="2" bestFit="1" customWidth="1"/>
    <col min="2" max="2" width="38.25" style="2" customWidth="1"/>
    <col min="3" max="3" width="3.875" style="4" bestFit="1" customWidth="1"/>
    <col min="4" max="4" width="2.875" style="4" bestFit="1" customWidth="1"/>
    <col min="5" max="5" width="5.75" style="4" bestFit="1" customWidth="1"/>
    <col min="6" max="6" width="9.25" style="2" bestFit="1" customWidth="1"/>
    <col min="7" max="7" width="8.125" style="2" customWidth="1"/>
    <col min="8" max="8" width="11" style="2" customWidth="1"/>
    <col min="9" max="9" width="3.625" style="1" customWidth="1"/>
    <col min="10" max="10" width="3.625" style="1" bestFit="1" customWidth="1"/>
    <col min="11" max="11" width="3.5" style="1" bestFit="1" customWidth="1"/>
    <col min="12" max="12" width="4.875" style="1" bestFit="1" customWidth="1"/>
    <col min="13" max="13" width="3.5" style="1" bestFit="1" customWidth="1"/>
    <col min="14" max="14" width="5.25" style="1" bestFit="1" customWidth="1"/>
    <col min="15" max="15" width="15.125" style="3" customWidth="1"/>
    <col min="16" max="17" width="9" style="1"/>
    <col min="18" max="16384" width="9" style="2"/>
  </cols>
  <sheetData>
    <row r="1" spans="1:20" s="1" customFormat="1" x14ac:dyDescent="0.3">
      <c r="A1" s="293" t="s">
        <v>297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</row>
    <row r="2" spans="1:20" s="1" customFormat="1" x14ac:dyDescent="0.3">
      <c r="A2" s="275" t="s">
        <v>250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</row>
    <row r="3" spans="1:20" s="5" customFormat="1" ht="23.25" customHeight="1" x14ac:dyDescent="0.3">
      <c r="A3" s="276" t="s">
        <v>69</v>
      </c>
      <c r="B3" s="276" t="s">
        <v>0</v>
      </c>
      <c r="C3" s="279" t="s">
        <v>64</v>
      </c>
      <c r="D3" s="280"/>
      <c r="E3" s="281"/>
      <c r="F3" s="276" t="s">
        <v>65</v>
      </c>
      <c r="G3" s="276" t="s">
        <v>66</v>
      </c>
      <c r="H3" s="276" t="s">
        <v>67</v>
      </c>
      <c r="I3" s="285" t="s">
        <v>68</v>
      </c>
      <c r="J3" s="286"/>
      <c r="K3" s="286"/>
      <c r="L3" s="286"/>
      <c r="M3" s="286"/>
      <c r="N3" s="287"/>
      <c r="O3" s="288" t="s">
        <v>4</v>
      </c>
    </row>
    <row r="4" spans="1:20" s="5" customFormat="1" ht="24" x14ac:dyDescent="0.3">
      <c r="A4" s="277"/>
      <c r="B4" s="278"/>
      <c r="C4" s="282"/>
      <c r="D4" s="283"/>
      <c r="E4" s="284"/>
      <c r="F4" s="278"/>
      <c r="G4" s="278"/>
      <c r="H4" s="278"/>
      <c r="I4" s="16" t="s">
        <v>1</v>
      </c>
      <c r="J4" s="16" t="s">
        <v>2</v>
      </c>
      <c r="K4" s="17" t="s">
        <v>73</v>
      </c>
      <c r="L4" s="16" t="s">
        <v>3</v>
      </c>
      <c r="M4" s="16" t="s">
        <v>75</v>
      </c>
      <c r="N4" s="16" t="s">
        <v>74</v>
      </c>
      <c r="O4" s="289"/>
    </row>
    <row r="5" spans="1:20" s="7" customFormat="1" ht="19.5" customHeight="1" x14ac:dyDescent="0.3">
      <c r="A5" s="126">
        <v>1</v>
      </c>
      <c r="B5" s="137" t="s">
        <v>208</v>
      </c>
      <c r="C5" s="138" t="s">
        <v>119</v>
      </c>
      <c r="D5" s="50" t="s">
        <v>115</v>
      </c>
      <c r="E5" s="51" t="s">
        <v>165</v>
      </c>
      <c r="F5" s="31" t="s">
        <v>310</v>
      </c>
      <c r="G5" s="32">
        <v>3990</v>
      </c>
      <c r="H5" s="27" t="s">
        <v>5</v>
      </c>
      <c r="I5" s="127"/>
      <c r="J5" s="127">
        <v>1</v>
      </c>
      <c r="K5" s="290" t="s">
        <v>312</v>
      </c>
      <c r="L5" s="290"/>
      <c r="M5" s="290"/>
      <c r="N5" s="34"/>
      <c r="O5" s="27"/>
      <c r="P5" s="6"/>
      <c r="Q5" s="6"/>
      <c r="R5" s="6"/>
      <c r="S5" s="6"/>
      <c r="T5" s="6"/>
    </row>
    <row r="6" spans="1:20" s="7" customFormat="1" ht="19.5" customHeight="1" x14ac:dyDescent="0.3">
      <c r="A6" s="269">
        <v>2</v>
      </c>
      <c r="B6" s="33" t="s">
        <v>36</v>
      </c>
      <c r="C6" s="86" t="s">
        <v>95</v>
      </c>
      <c r="D6" s="87" t="s">
        <v>113</v>
      </c>
      <c r="E6" s="18" t="s">
        <v>156</v>
      </c>
      <c r="F6" s="31" t="s">
        <v>311</v>
      </c>
      <c r="G6" s="32">
        <v>3500</v>
      </c>
      <c r="H6" s="36" t="s">
        <v>12</v>
      </c>
      <c r="I6" s="184"/>
      <c r="J6" s="127">
        <v>1</v>
      </c>
      <c r="K6" s="290" t="s">
        <v>312</v>
      </c>
      <c r="L6" s="290"/>
      <c r="M6" s="290"/>
      <c r="N6" s="270"/>
      <c r="O6" s="58"/>
      <c r="P6" s="6"/>
      <c r="Q6" s="6"/>
      <c r="R6" s="6"/>
      <c r="S6" s="6"/>
      <c r="T6" s="6"/>
    </row>
    <row r="7" spans="1:20" s="7" customFormat="1" ht="18" thickBot="1" x14ac:dyDescent="0.35">
      <c r="A7" s="19"/>
      <c r="B7" s="20" t="s">
        <v>216</v>
      </c>
      <c r="C7" s="21"/>
      <c r="D7" s="22"/>
      <c r="E7" s="23"/>
      <c r="F7" s="24"/>
      <c r="G7" s="54">
        <f>SUM(G5:G6)</f>
        <v>7490</v>
      </c>
      <c r="H7" s="19"/>
      <c r="I7" s="25"/>
      <c r="J7" s="19">
        <v>2</v>
      </c>
      <c r="K7" s="19"/>
      <c r="L7" s="19"/>
      <c r="M7" s="19"/>
      <c r="N7" s="66"/>
      <c r="O7" s="19"/>
      <c r="P7" s="6"/>
    </row>
    <row r="8" spans="1:20" ht="20.25" thickTop="1" x14ac:dyDescent="0.3"/>
    <row r="10" spans="1:20" s="60" customFormat="1" x14ac:dyDescent="0.3">
      <c r="A10" s="59"/>
      <c r="B10" s="295" t="s">
        <v>246</v>
      </c>
      <c r="C10" s="295"/>
      <c r="D10" s="295"/>
      <c r="E10" s="295"/>
      <c r="F10" s="295"/>
      <c r="G10" s="295"/>
      <c r="H10" s="295"/>
      <c r="I10" s="295"/>
      <c r="J10" s="295"/>
      <c r="K10" s="295"/>
      <c r="M10"/>
      <c r="N10"/>
      <c r="O10"/>
    </row>
    <row r="11" spans="1:20" s="60" customFormat="1" ht="23.25" customHeight="1" x14ac:dyDescent="0.3">
      <c r="A11" s="59"/>
      <c r="B11" s="294" t="s">
        <v>284</v>
      </c>
      <c r="C11" s="294"/>
      <c r="D11" s="294"/>
      <c r="E11" s="294"/>
      <c r="F11" s="294"/>
      <c r="G11" s="294"/>
      <c r="H11" s="294"/>
      <c r="I11" s="294"/>
      <c r="J11" s="294"/>
      <c r="K11" s="294"/>
      <c r="L11" s="180"/>
      <c r="M11"/>
      <c r="N11"/>
      <c r="O11"/>
    </row>
    <row r="12" spans="1:20" s="60" customFormat="1" ht="20.25" x14ac:dyDescent="0.3">
      <c r="A12" s="59"/>
      <c r="B12" s="294" t="s">
        <v>285</v>
      </c>
      <c r="C12" s="294"/>
      <c r="D12" s="294"/>
      <c r="E12" s="294"/>
      <c r="F12" s="294"/>
      <c r="G12" s="294"/>
      <c r="H12" s="294"/>
      <c r="I12" s="294"/>
      <c r="J12" s="294"/>
      <c r="K12" s="294"/>
      <c r="L12" s="178"/>
      <c r="M12"/>
      <c r="N12"/>
      <c r="O12"/>
    </row>
    <row r="13" spans="1:20" s="60" customFormat="1" x14ac:dyDescent="0.3">
      <c r="A13" s="59"/>
      <c r="C13" s="59"/>
      <c r="D13" s="59"/>
      <c r="E13" s="62"/>
      <c r="F13" s="59"/>
      <c r="G13" s="63"/>
      <c r="N13"/>
      <c r="O13"/>
    </row>
    <row r="14" spans="1:20" s="60" customFormat="1" ht="20.25" x14ac:dyDescent="0.3">
      <c r="A14" s="59"/>
      <c r="B14" s="179" t="s">
        <v>245</v>
      </c>
      <c r="C14" s="59"/>
      <c r="D14" s="59"/>
      <c r="F14" s="294" t="s">
        <v>248</v>
      </c>
      <c r="G14" s="294"/>
      <c r="H14" s="294"/>
      <c r="I14" s="294"/>
      <c r="J14" s="294"/>
      <c r="K14" s="294"/>
      <c r="L14" s="294"/>
      <c r="M14" s="178"/>
      <c r="N14"/>
    </row>
    <row r="15" spans="1:20" s="60" customFormat="1" ht="20.25" x14ac:dyDescent="0.3">
      <c r="A15" s="59"/>
      <c r="B15" s="179" t="s">
        <v>286</v>
      </c>
      <c r="C15" s="59"/>
      <c r="D15" s="59"/>
      <c r="F15" s="294" t="s">
        <v>247</v>
      </c>
      <c r="G15" s="294"/>
      <c r="H15" s="294"/>
      <c r="I15" s="294"/>
      <c r="J15" s="294"/>
      <c r="K15" s="294"/>
      <c r="M15"/>
      <c r="N15"/>
    </row>
    <row r="16" spans="1:20" s="60" customFormat="1" ht="20.25" x14ac:dyDescent="0.3">
      <c r="A16" s="59"/>
      <c r="B16" s="179" t="s">
        <v>287</v>
      </c>
      <c r="C16" s="59"/>
      <c r="D16" s="59"/>
      <c r="F16" s="294" t="s">
        <v>251</v>
      </c>
      <c r="G16" s="294"/>
      <c r="H16" s="294"/>
      <c r="I16" s="294"/>
      <c r="J16" s="294"/>
      <c r="K16" s="294"/>
    </row>
  </sheetData>
  <mergeCells count="18">
    <mergeCell ref="A1:O1"/>
    <mergeCell ref="A2:O2"/>
    <mergeCell ref="A3:A4"/>
    <mergeCell ref="B3:B4"/>
    <mergeCell ref="C3:E4"/>
    <mergeCell ref="F3:F4"/>
    <mergeCell ref="G3:G4"/>
    <mergeCell ref="H3:H4"/>
    <mergeCell ref="I3:N3"/>
    <mergeCell ref="O3:O4"/>
    <mergeCell ref="K5:M5"/>
    <mergeCell ref="F16:K16"/>
    <mergeCell ref="F14:L14"/>
    <mergeCell ref="B10:K10"/>
    <mergeCell ref="B11:K11"/>
    <mergeCell ref="B12:K12"/>
    <mergeCell ref="F15:K15"/>
    <mergeCell ref="K6:M6"/>
  </mergeCells>
  <pageMargins left="0.98425196850393704" right="0.39370078740157483" top="0.70866141732283472" bottom="0.39370078740157483" header="0.31496062992125984" footer="0.31496062992125984"/>
  <pageSetup paperSize="9" orientation="landscape" horizontalDpi="4294967294" verticalDpi="300" r:id="rId1"/>
  <headerFooter>
    <oddHeader>&amp;R&amp;"TH SarabunPSK,ตัวหนา"&amp;10&amp;KFF0000ข้อมูล 30 ก.ย. 67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O30"/>
  <sheetViews>
    <sheetView topLeftCell="A11" workbookViewId="0">
      <selection activeCell="H30" sqref="H30"/>
    </sheetView>
  </sheetViews>
  <sheetFormatPr defaultRowHeight="19.5" x14ac:dyDescent="0.3"/>
  <cols>
    <col min="1" max="1" width="5.25" style="59" customWidth="1"/>
    <col min="2" max="2" width="27.5" style="60" bestFit="1" customWidth="1"/>
    <col min="3" max="3" width="4.5" style="59" customWidth="1"/>
    <col min="4" max="4" width="10.5" style="59" customWidth="1"/>
    <col min="5" max="5" width="12.875" style="62" customWidth="1"/>
    <col min="6" max="6" width="10.375" style="59" bestFit="1" customWidth="1"/>
    <col min="7" max="7" width="13.375" style="63" customWidth="1"/>
    <col min="8" max="16384" width="9" style="60"/>
  </cols>
  <sheetData>
    <row r="1" spans="1:7" ht="23.25" x14ac:dyDescent="0.35">
      <c r="A1" s="297" t="s">
        <v>185</v>
      </c>
      <c r="B1" s="297"/>
      <c r="C1" s="297"/>
      <c r="D1" s="297"/>
      <c r="E1" s="297"/>
      <c r="F1" s="297"/>
      <c r="G1" s="297"/>
    </row>
    <row r="2" spans="1:7" ht="23.25" x14ac:dyDescent="0.35">
      <c r="A2" s="297" t="s">
        <v>253</v>
      </c>
      <c r="B2" s="297"/>
      <c r="C2" s="297"/>
      <c r="D2" s="297"/>
      <c r="E2" s="297"/>
      <c r="F2" s="297"/>
      <c r="G2" s="297"/>
    </row>
    <row r="3" spans="1:7" ht="23.25" x14ac:dyDescent="0.35">
      <c r="A3" s="297" t="s">
        <v>313</v>
      </c>
      <c r="B3" s="297"/>
      <c r="C3" s="297"/>
      <c r="D3" s="297"/>
      <c r="E3" s="297"/>
      <c r="F3" s="297"/>
      <c r="G3" s="297"/>
    </row>
    <row r="4" spans="1:7" ht="30" customHeight="1" x14ac:dyDescent="0.35">
      <c r="A4" s="61" t="s">
        <v>186</v>
      </c>
      <c r="B4" s="70" t="s">
        <v>187</v>
      </c>
      <c r="C4" s="68"/>
      <c r="D4" s="68"/>
      <c r="E4" s="69"/>
      <c r="F4" s="305" t="s">
        <v>233</v>
      </c>
      <c r="G4" s="305"/>
    </row>
    <row r="5" spans="1:7" ht="21" x14ac:dyDescent="0.35">
      <c r="A5" s="298" t="s">
        <v>188</v>
      </c>
      <c r="B5" s="299"/>
      <c r="C5" s="302" t="s">
        <v>189</v>
      </c>
      <c r="D5" s="304" t="s">
        <v>190</v>
      </c>
      <c r="E5" s="304"/>
      <c r="F5" s="304" t="s">
        <v>191</v>
      </c>
      <c r="G5" s="304"/>
    </row>
    <row r="6" spans="1:7" x14ac:dyDescent="0.3">
      <c r="A6" s="300"/>
      <c r="B6" s="301"/>
      <c r="C6" s="303"/>
      <c r="D6" s="84" t="s">
        <v>192</v>
      </c>
      <c r="E6" s="85" t="s">
        <v>193</v>
      </c>
      <c r="F6" s="84" t="s">
        <v>192</v>
      </c>
      <c r="G6" s="85" t="s">
        <v>193</v>
      </c>
    </row>
    <row r="7" spans="1:7" ht="21" x14ac:dyDescent="0.35">
      <c r="A7" s="131">
        <v>1</v>
      </c>
      <c r="B7" s="132" t="s">
        <v>183</v>
      </c>
      <c r="C7" s="133"/>
      <c r="D7" s="133"/>
      <c r="E7" s="134"/>
      <c r="F7" s="133"/>
      <c r="G7" s="135"/>
    </row>
    <row r="8" spans="1:7" ht="21" x14ac:dyDescent="0.35">
      <c r="A8" s="71"/>
      <c r="B8" s="72" t="s">
        <v>6</v>
      </c>
      <c r="C8" s="73">
        <v>400</v>
      </c>
      <c r="D8" s="73">
        <v>11</v>
      </c>
      <c r="E8" s="74">
        <v>125248</v>
      </c>
      <c r="F8" s="73"/>
      <c r="G8" s="75" t="s">
        <v>173</v>
      </c>
    </row>
    <row r="9" spans="1:7" ht="21" x14ac:dyDescent="0.35">
      <c r="A9" s="71"/>
      <c r="B9" s="72" t="s">
        <v>14</v>
      </c>
      <c r="C9" s="73">
        <v>401</v>
      </c>
      <c r="D9" s="73">
        <v>9</v>
      </c>
      <c r="E9" s="74">
        <v>14340</v>
      </c>
      <c r="F9" s="73">
        <v>10</v>
      </c>
      <c r="G9" s="75">
        <v>20900</v>
      </c>
    </row>
    <row r="10" spans="1:7" ht="21" x14ac:dyDescent="0.35">
      <c r="A10" s="71"/>
      <c r="B10" s="72" t="s">
        <v>207</v>
      </c>
      <c r="C10" s="73">
        <v>403</v>
      </c>
      <c r="D10" s="73">
        <v>1</v>
      </c>
      <c r="E10" s="74">
        <v>12000</v>
      </c>
      <c r="F10" s="73"/>
      <c r="G10" s="75"/>
    </row>
    <row r="11" spans="1:7" ht="21" x14ac:dyDescent="0.35">
      <c r="A11" s="71"/>
      <c r="B11" s="72" t="s">
        <v>15</v>
      </c>
      <c r="C11" s="73">
        <v>404</v>
      </c>
      <c r="D11" s="73" t="s">
        <v>33</v>
      </c>
      <c r="E11" s="75">
        <v>0</v>
      </c>
      <c r="F11" s="73">
        <v>1</v>
      </c>
      <c r="G11" s="75">
        <v>2000</v>
      </c>
    </row>
    <row r="12" spans="1:7" ht="21" x14ac:dyDescent="0.35">
      <c r="A12" s="71"/>
      <c r="B12" s="72" t="s">
        <v>194</v>
      </c>
      <c r="C12" s="73">
        <v>406</v>
      </c>
      <c r="D12" s="73">
        <v>7</v>
      </c>
      <c r="E12" s="74">
        <v>28340</v>
      </c>
      <c r="F12" s="73">
        <v>7</v>
      </c>
      <c r="G12" s="75">
        <v>25600</v>
      </c>
    </row>
    <row r="13" spans="1:7" ht="21" x14ac:dyDescent="0.35">
      <c r="A13" s="71"/>
      <c r="B13" s="72" t="s">
        <v>195</v>
      </c>
      <c r="C13" s="73">
        <v>407</v>
      </c>
      <c r="D13" s="73">
        <v>1</v>
      </c>
      <c r="E13" s="74">
        <v>5900</v>
      </c>
      <c r="F13" s="73"/>
      <c r="G13" s="75"/>
    </row>
    <row r="14" spans="1:7" ht="21" x14ac:dyDescent="0.35">
      <c r="A14" s="71"/>
      <c r="B14" s="72" t="s">
        <v>39</v>
      </c>
      <c r="C14" s="73">
        <v>420</v>
      </c>
      <c r="D14" s="73">
        <v>3</v>
      </c>
      <c r="E14" s="74">
        <v>88300</v>
      </c>
      <c r="F14" s="73"/>
      <c r="G14" s="75"/>
    </row>
    <row r="15" spans="1:7" ht="21" x14ac:dyDescent="0.35">
      <c r="A15" s="71"/>
      <c r="B15" s="72" t="s">
        <v>228</v>
      </c>
      <c r="C15" s="73">
        <v>423</v>
      </c>
      <c r="D15" s="75" t="s">
        <v>33</v>
      </c>
      <c r="E15" s="75">
        <v>0</v>
      </c>
      <c r="F15" s="73">
        <v>7</v>
      </c>
      <c r="G15" s="75">
        <v>5548</v>
      </c>
    </row>
    <row r="16" spans="1:7" ht="21" x14ac:dyDescent="0.35">
      <c r="A16" s="71"/>
      <c r="B16" s="72" t="s">
        <v>41</v>
      </c>
      <c r="C16" s="73">
        <v>424</v>
      </c>
      <c r="D16" s="75" t="s">
        <v>33</v>
      </c>
      <c r="E16" s="75">
        <v>0</v>
      </c>
      <c r="F16" s="73">
        <v>1</v>
      </c>
      <c r="G16" s="75">
        <v>3990</v>
      </c>
    </row>
    <row r="17" spans="1:15" ht="21" x14ac:dyDescent="0.35">
      <c r="A17" s="71"/>
      <c r="B17" s="72" t="s">
        <v>42</v>
      </c>
      <c r="C17" s="73">
        <v>432</v>
      </c>
      <c r="D17" s="73">
        <v>2</v>
      </c>
      <c r="E17" s="74">
        <v>2500</v>
      </c>
      <c r="F17" s="73">
        <v>1</v>
      </c>
      <c r="G17" s="75">
        <v>1700</v>
      </c>
    </row>
    <row r="18" spans="1:15" ht="21" x14ac:dyDescent="0.35">
      <c r="A18" s="76">
        <v>2</v>
      </c>
      <c r="B18" s="77" t="s">
        <v>184</v>
      </c>
      <c r="C18" s="73"/>
      <c r="D18" s="73"/>
      <c r="E18" s="74"/>
      <c r="F18" s="73"/>
      <c r="G18" s="75"/>
    </row>
    <row r="19" spans="1:15" ht="21" x14ac:dyDescent="0.35">
      <c r="A19" s="71"/>
      <c r="B19" s="72" t="s">
        <v>30</v>
      </c>
      <c r="C19" s="73">
        <v>416</v>
      </c>
      <c r="D19" s="73">
        <v>23</v>
      </c>
      <c r="E19" s="74">
        <v>324636</v>
      </c>
      <c r="F19" s="73">
        <v>3</v>
      </c>
      <c r="G19" s="75">
        <v>11750</v>
      </c>
    </row>
    <row r="20" spans="1:15" ht="21.75" thickBot="1" x14ac:dyDescent="0.4">
      <c r="A20" s="78"/>
      <c r="B20" s="79" t="s">
        <v>196</v>
      </c>
      <c r="C20" s="80"/>
      <c r="D20" s="81">
        <f>SUM(D8:D19)</f>
        <v>57</v>
      </c>
      <c r="E20" s="82">
        <f>SUM(E8:E19)</f>
        <v>601264</v>
      </c>
      <c r="F20" s="81">
        <f>SUM(F9:F19)</f>
        <v>30</v>
      </c>
      <c r="G20" s="83">
        <f>SUM(G9:G19)</f>
        <v>71488</v>
      </c>
      <c r="M20"/>
      <c r="N20"/>
      <c r="O20"/>
    </row>
    <row r="21" spans="1:15" ht="20.25" thickTop="1" x14ac:dyDescent="0.3">
      <c r="D21" s="59" t="s">
        <v>173</v>
      </c>
      <c r="M21"/>
      <c r="N21"/>
      <c r="O21"/>
    </row>
    <row r="22" spans="1:15" x14ac:dyDescent="0.3">
      <c r="M22"/>
      <c r="N22"/>
      <c r="O22"/>
    </row>
    <row r="23" spans="1:15" ht="21" x14ac:dyDescent="0.35">
      <c r="B23" s="296" t="s">
        <v>252</v>
      </c>
      <c r="C23" s="296"/>
      <c r="D23" s="296"/>
      <c r="E23" s="296"/>
      <c r="F23" s="296"/>
      <c r="G23" s="231"/>
      <c r="J23" s="60">
        <v>30</v>
      </c>
      <c r="M23"/>
      <c r="N23"/>
      <c r="O23"/>
    </row>
    <row r="24" spans="1:15" ht="21" x14ac:dyDescent="0.35">
      <c r="B24" s="296" t="s">
        <v>289</v>
      </c>
      <c r="C24" s="296"/>
      <c r="D24" s="296"/>
      <c r="E24" s="296"/>
      <c r="F24" s="296"/>
      <c r="G24" s="231"/>
      <c r="J24" s="60">
        <v>57</v>
      </c>
      <c r="L24" s="180"/>
      <c r="M24"/>
      <c r="N24"/>
      <c r="O24"/>
    </row>
    <row r="25" spans="1:15" ht="21" x14ac:dyDescent="0.35">
      <c r="B25" s="296" t="s">
        <v>290</v>
      </c>
      <c r="C25" s="296"/>
      <c r="D25" s="296"/>
      <c r="E25" s="296"/>
      <c r="F25" s="296"/>
      <c r="G25" s="231"/>
      <c r="J25" s="60">
        <f>SUM(J23:J24)</f>
        <v>87</v>
      </c>
      <c r="L25" s="178"/>
      <c r="M25"/>
      <c r="N25"/>
      <c r="O25"/>
    </row>
    <row r="26" spans="1:15" ht="21" x14ac:dyDescent="0.35">
      <c r="B26" s="230"/>
      <c r="C26" s="68"/>
      <c r="D26" s="68"/>
      <c r="E26" s="69"/>
      <c r="F26" s="68"/>
      <c r="G26" s="231"/>
      <c r="N26"/>
      <c r="O26"/>
    </row>
    <row r="27" spans="1:15" ht="21" x14ac:dyDescent="0.35">
      <c r="A27" s="296" t="s">
        <v>245</v>
      </c>
      <c r="B27" s="296"/>
      <c r="C27" s="296"/>
      <c r="D27" s="230" t="s">
        <v>293</v>
      </c>
      <c r="F27" s="230"/>
      <c r="G27" s="230"/>
      <c r="M27"/>
      <c r="N27"/>
    </row>
    <row r="28" spans="1:15" ht="21" x14ac:dyDescent="0.35">
      <c r="A28" s="296" t="s">
        <v>286</v>
      </c>
      <c r="B28" s="296"/>
      <c r="C28" s="296"/>
      <c r="D28" s="296" t="s">
        <v>291</v>
      </c>
      <c r="E28" s="296"/>
      <c r="F28" s="296"/>
      <c r="G28" s="230"/>
      <c r="M28"/>
      <c r="N28"/>
    </row>
    <row r="29" spans="1:15" ht="21" x14ac:dyDescent="0.35">
      <c r="A29" s="296" t="s">
        <v>287</v>
      </c>
      <c r="B29" s="296"/>
      <c r="C29" s="296"/>
      <c r="D29" s="296" t="s">
        <v>292</v>
      </c>
      <c r="E29" s="296"/>
      <c r="F29" s="296"/>
      <c r="G29" s="230"/>
    </row>
    <row r="30" spans="1:15" ht="21" x14ac:dyDescent="0.35">
      <c r="B30" s="230"/>
      <c r="C30" s="68"/>
      <c r="D30" s="68"/>
      <c r="E30" s="69"/>
      <c r="F30" s="68"/>
      <c r="G30" s="231"/>
    </row>
  </sheetData>
  <mergeCells count="16">
    <mergeCell ref="A27:C27"/>
    <mergeCell ref="A28:C28"/>
    <mergeCell ref="A29:C29"/>
    <mergeCell ref="D28:F28"/>
    <mergeCell ref="D29:F29"/>
    <mergeCell ref="B23:F23"/>
    <mergeCell ref="B24:F24"/>
    <mergeCell ref="B25:F25"/>
    <mergeCell ref="A1:G1"/>
    <mergeCell ref="A2:G2"/>
    <mergeCell ref="A3:G3"/>
    <mergeCell ref="A5:B6"/>
    <mergeCell ref="C5:C6"/>
    <mergeCell ref="D5:E5"/>
    <mergeCell ref="F5:G5"/>
    <mergeCell ref="F4:G4"/>
  </mergeCells>
  <pageMargins left="0.59055118110236227" right="0.31496062992125984" top="0.55118110236220474" bottom="0.55118110236220474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3</vt:i4>
      </vt:variant>
    </vt:vector>
  </HeadingPairs>
  <TitlesOfParts>
    <vt:vector size="7" baseType="lpstr">
      <vt:lpstr>ครุภัณฑ์ 67 ตามรหัส</vt:lpstr>
      <vt:lpstr>ครุภัณฑ์ต่ำกว่าเกณฑ์ ตามรหัส</vt:lpstr>
      <vt:lpstr>จำหน่าย</vt:lpstr>
      <vt:lpstr>งบทรัพย์สิน</vt:lpstr>
      <vt:lpstr>'ครุภัณฑ์ 67 ตามรหัส'!Print_Titles</vt:lpstr>
      <vt:lpstr>'ครุภัณฑ์ต่ำกว่าเกณฑ์ ตามรหัส'!Print_Titles</vt:lpstr>
      <vt:lpstr>จำหน่าย!Print_Titles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Lampangcity030</cp:lastModifiedBy>
  <cp:lastPrinted>2024-10-18T06:49:23Z</cp:lastPrinted>
  <dcterms:created xsi:type="dcterms:W3CDTF">2016-02-25T06:30:07Z</dcterms:created>
  <dcterms:modified xsi:type="dcterms:W3CDTF">2025-01-07T09:33:10Z</dcterms:modified>
</cp:coreProperties>
</file>