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งานธุรการ\ทะเบียนครุภัณฑ์\ปี 2568\"/>
    </mc:Choice>
  </mc:AlternateContent>
  <xr:revisionPtr revIDLastSave="0" documentId="13_ncr:1_{72E12AE2-18AB-43A3-96F9-F81587D854A3}" xr6:coauthVersionLast="47" xr6:coauthVersionMax="47" xr10:uidLastSave="{00000000-0000-0000-0000-000000000000}"/>
  <bookViews>
    <workbookView xWindow="-120" yWindow="-120" windowWidth="20730" windowHeight="11160" tabRatio="841" firstSheet="2" activeTab="6" xr2:uid="{87C22682-02A5-44D1-9025-F97C7F0FD3A6}"/>
  </bookViews>
  <sheets>
    <sheet name="ครุภัณฑ์67 (2)" sheetId="7" r:id="rId1"/>
    <sheet name="ซ่อมบำรุงครุภัณฑ์66 ต่ำเกณ" sheetId="5" r:id="rId2"/>
    <sheet name="ซ่อมบำรุงครุภัณฑ์68" sheetId="4" r:id="rId3"/>
    <sheet name="ซ่อมบำรุงต่ำเกณฑ์ 68" sheetId="6" r:id="rId4"/>
    <sheet name="งบทรัพย์สิน 67" sheetId="3" r:id="rId5"/>
    <sheet name="ต่ำกว่าเกณฑ์67" sheetId="2" r:id="rId6"/>
    <sheet name="ครุภัณฑ์67" sheetId="1" r:id="rId7"/>
  </sheets>
  <definedNames>
    <definedName name="_xlnm.Print_Titles" localSheetId="6">ครุภัณฑ์67!$3:$4</definedName>
    <definedName name="_xlnm.Print_Titles" localSheetId="0">'ครุภัณฑ์67 (2)'!$3:$4</definedName>
    <definedName name="_xlnm.Print_Titles" localSheetId="4">'งบทรัพย์สิน 67'!$5:$6</definedName>
    <definedName name="_xlnm.Print_Titles" localSheetId="1">'ซ่อมบำรุงครุภัณฑ์66 ต่ำเกณ'!$4:$6</definedName>
    <definedName name="_xlnm.Print_Titles" localSheetId="2">ซ่อมบำรุงครุภัณฑ์68!$4:$6</definedName>
    <definedName name="_xlnm.Print_Titles" localSheetId="3">'ซ่อมบำรุงต่ำเกณฑ์ 68'!$4:$5</definedName>
    <definedName name="_xlnm.Print_Titles" localSheetId="5">ต่ำกว่าเกณฑ์67!$3:$4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71" i="1" l="1"/>
  <c r="N282" i="1"/>
  <c r="K282" i="1"/>
  <c r="J282" i="1"/>
  <c r="I282" i="1"/>
  <c r="N204" i="7"/>
  <c r="M204" i="7"/>
  <c r="L204" i="7"/>
  <c r="K204" i="7"/>
  <c r="J204" i="7"/>
  <c r="I204" i="7"/>
  <c r="G203" i="7"/>
  <c r="G135" i="7"/>
  <c r="G128" i="7"/>
  <c r="G121" i="7"/>
  <c r="G116" i="7"/>
  <c r="G111" i="7"/>
  <c r="G104" i="7"/>
  <c r="G93" i="7"/>
  <c r="G204" i="7" s="1"/>
  <c r="G79" i="7"/>
  <c r="G72" i="7"/>
  <c r="G38" i="7"/>
  <c r="G58" i="1"/>
  <c r="G281" i="1"/>
  <c r="G27" i="3"/>
  <c r="F27" i="3"/>
  <c r="E27" i="3"/>
  <c r="D27" i="3"/>
  <c r="I36" i="2" l="1"/>
  <c r="G35" i="2"/>
  <c r="G30" i="2"/>
  <c r="G25" i="2"/>
  <c r="G19" i="2"/>
  <c r="G36" i="2" s="1"/>
  <c r="M282" i="1"/>
  <c r="L282" i="1"/>
  <c r="G206" i="1"/>
  <c r="G199" i="1"/>
  <c r="G192" i="1"/>
  <c r="G187" i="1"/>
  <c r="G182" i="1"/>
  <c r="G178" i="1"/>
  <c r="G168" i="1"/>
  <c r="G164" i="1"/>
  <c r="G149" i="1"/>
  <c r="G135" i="1"/>
  <c r="G94" i="1"/>
  <c r="G282" i="1" l="1"/>
</calcChain>
</file>

<file path=xl/sharedStrings.xml><?xml version="1.0" encoding="utf-8"?>
<sst xmlns="http://schemas.openxmlformats.org/spreadsheetml/2006/main" count="3656" uniqueCount="656">
  <si>
    <t>ส่วนควบคุมการก่อสร้าง สำนักช่าง เทศบาลนครลำปาง</t>
  </si>
  <si>
    <t>ที่</t>
  </si>
  <si>
    <t>ชื่อพัสดุ</t>
  </si>
  <si>
    <t>รหัสครุภัณฑ์</t>
  </si>
  <si>
    <t>วันที่ได้มา</t>
  </si>
  <si>
    <t>งบประมาณ</t>
  </si>
  <si>
    <t>สถานที่ใช้งาน</t>
  </si>
  <si>
    <t>สภาพครุภัณฑ์</t>
  </si>
  <si>
    <t>หมายเหตุ</t>
  </si>
  <si>
    <t>ใช้ได้</t>
  </si>
  <si>
    <t>ชำรุด</t>
  </si>
  <si>
    <t>เสื่อม 
สภาพ</t>
  </si>
  <si>
    <t>สูญหาย</t>
  </si>
  <si>
    <t>เก็บ
ไว้นาน</t>
  </si>
  <si>
    <t>หมดความ
จำเป็น</t>
  </si>
  <si>
    <t>ครุภัณฑ์สำนักงาน</t>
  </si>
  <si>
    <t>400</t>
  </si>
  <si>
    <t>โต๊ะ</t>
  </si>
  <si>
    <t>โต๊ะตั้งเครื่องพิมพ์ดีด ชนิดมีลูกล้อเลื่อน</t>
  </si>
  <si>
    <t>0151</t>
  </si>
  <si>
    <t xml:space="preserve"> 1 ต.ค.19</t>
  </si>
  <si>
    <t xml:space="preserve">ส่วนควบคุมการก่อสร้าง </t>
  </si>
  <si>
    <t>ช.พิสิฐ</t>
  </si>
  <si>
    <t>โต๊ะทำงาน</t>
  </si>
  <si>
    <t>2320</t>
  </si>
  <si>
    <t>11 มี.ค. 34</t>
  </si>
  <si>
    <t>ส่วนควบคุมการก่อสร้าง</t>
  </si>
  <si>
    <t>โต๊ะทำงานพร้อมเก้าอี้ ระดับ 3-6 จำนวน 1 ชุด (เก้าอี้ ฝ.ปกิต)</t>
  </si>
  <si>
    <t>2322</t>
  </si>
  <si>
    <t>25 พ.ย. 35</t>
  </si>
  <si>
    <t>โต๊ะประชุม ผิวพื้นและขากรุไม้อัดสักหนา 6 มม. โครงสร้างไม้ ขนาด 120x2.40x0.75 ม.</t>
  </si>
  <si>
    <t>2839</t>
  </si>
  <si>
    <t>5 ต.ค. 38</t>
  </si>
  <si>
    <t>โต๊ะทำงานระดับ 3-6 จำนวน 1 ชุด</t>
  </si>
  <si>
    <t>3709</t>
  </si>
  <si>
    <t>22 ธ.ค. 40</t>
  </si>
  <si>
    <t>ช.ชาลี</t>
  </si>
  <si>
    <t>3710</t>
  </si>
  <si>
    <t>ช.คมกริช</t>
  </si>
  <si>
    <t>3713</t>
  </si>
  <si>
    <t>3716</t>
  </si>
  <si>
    <t>3717</t>
  </si>
  <si>
    <t>3718</t>
  </si>
  <si>
    <t>ช.โชติ</t>
  </si>
  <si>
    <t>3742</t>
  </si>
  <si>
    <t>1 ก.ค. 42</t>
  </si>
  <si>
    <t>3743</t>
  </si>
  <si>
    <t>โต๊ะวางเครื่องคอมพิวเตอร์ จำนวน 1 ตัว</t>
  </si>
  <si>
    <t>3967</t>
  </si>
  <si>
    <t>26 มี.ค. 44</t>
  </si>
  <si>
    <t>โต๊ะวางเครื่องคอมพิวเตอร์ และเครื่องปริ้นเตอร์ จำนวน 1 ตัว</t>
  </si>
  <si>
    <t>3971</t>
  </si>
  <si>
    <t>28 มี.ค. 44</t>
  </si>
  <si>
    <t>โต๊ะทำงานพร้อมเก้าอี้ ระดับ 3-6 จำนวน 1 ชุด (เก้าอี้ท้าวแขนไม้)</t>
  </si>
  <si>
    <t>3979</t>
  </si>
  <si>
    <t>9 ก.ค. 44</t>
  </si>
  <si>
    <t xml:space="preserve">โต๊ะทำงานพร้อมเก้าอี้ ระดับ 3-6 จำนวน 1 ชุด </t>
  </si>
  <si>
    <t>4521</t>
  </si>
  <si>
    <t>5 เม.ย. 45</t>
  </si>
  <si>
    <t>หน.ธุรการ</t>
  </si>
  <si>
    <t>โต๊ะวางเครื่องคอมพิวเตอร์ และวางเครื่องปริ้นเตอร์</t>
  </si>
  <si>
    <t>4705</t>
  </si>
  <si>
    <t>30 พ.ค. 45</t>
  </si>
  <si>
    <t>5346</t>
  </si>
  <si>
    <t>10 ก.พ. 46</t>
  </si>
  <si>
    <t>สุชาติ</t>
  </si>
  <si>
    <t>โต๊ะทำงานพร้อมเก้าอี้ ระดับ 3-6 จำนวน 1 ตัว</t>
  </si>
  <si>
    <t>ช400</t>
  </si>
  <si>
    <t>5347</t>
  </si>
  <si>
    <t>5334</t>
  </si>
  <si>
    <t>5335</t>
  </si>
  <si>
    <t>5336</t>
  </si>
  <si>
    <t>โต๊ะขนาด 2.40 x 1.20 x 75 ม. (ไม้)</t>
  </si>
  <si>
    <t>6021</t>
  </si>
  <si>
    <t>12 พ.ย. 57</t>
  </si>
  <si>
    <t>รวมครุภัณฑ์โต๊ะ</t>
  </si>
  <si>
    <t>401</t>
  </si>
  <si>
    <t>เก้าอี้</t>
  </si>
  <si>
    <t xml:space="preserve">เก้าอี้เท้าแขนไม้                                                       </t>
  </si>
  <si>
    <t>3877</t>
  </si>
  <si>
    <t>14 ก.พ. 43</t>
  </si>
  <si>
    <t>หลังสุชาติ</t>
  </si>
  <si>
    <t>5193</t>
  </si>
  <si>
    <t>เก้าอี้ทำงาน ชนิดมีล้อเลื่อน แบบมีพนักพิงและที่เท้าแขน ยี่ห้อ PR 1 ตัว</t>
  </si>
  <si>
    <t>5768</t>
  </si>
  <si>
    <t>19 ส.ค. 45</t>
  </si>
  <si>
    <t>เก้าอี้โครงเหล็กเบาะนวม (ทั้งหมด 30 ตัว) ส่วนก่อสร้าง 8 ตัว</t>
  </si>
  <si>
    <t>6137</t>
  </si>
  <si>
    <t>25 เม.ย. 46</t>
  </si>
  <si>
    <t>ห้อง ผอ.ส่วน</t>
  </si>
  <si>
    <t>เก้าอี้โครงเหล็กเบาะนวม</t>
  </si>
  <si>
    <t>6139</t>
  </si>
  <si>
    <t>6150</t>
  </si>
  <si>
    <t>6141</t>
  </si>
  <si>
    <t>6143</t>
  </si>
  <si>
    <t>6146</t>
  </si>
  <si>
    <t>6149</t>
  </si>
  <si>
    <t>6151</t>
  </si>
  <si>
    <t>6145</t>
  </si>
  <si>
    <t>เก้าอี้ทำงาน</t>
  </si>
  <si>
    <t>6202</t>
  </si>
  <si>
    <t>25 มี.ค. 47</t>
  </si>
  <si>
    <t>เก้าอี้ทำงานชนิดผ้า ปรับช็คมีพนักพิง ที่ท้าวแขน</t>
  </si>
  <si>
    <t>7617</t>
  </si>
  <si>
    <t>18 พ.ค. 52</t>
  </si>
  <si>
    <t>7609</t>
  </si>
  <si>
    <t>7610</t>
  </si>
  <si>
    <t>7612</t>
  </si>
  <si>
    <t>7615</t>
  </si>
  <si>
    <t>7616</t>
  </si>
  <si>
    <t>ผอ.ส่วน</t>
  </si>
  <si>
    <t xml:space="preserve">เก้าอี้ขนาด 0.38 x 0.44 x 0.68 - 0.89 ม. </t>
  </si>
  <si>
    <t>8163</t>
  </si>
  <si>
    <t>เก้าอี้ขนาด 0.38 x 0.44 x 0.68 - 0.89 ม</t>
  </si>
  <si>
    <t>8164</t>
  </si>
  <si>
    <t>8165</t>
  </si>
  <si>
    <t>8166</t>
  </si>
  <si>
    <t>8167</t>
  </si>
  <si>
    <t xml:space="preserve">   ห้องครัว</t>
  </si>
  <si>
    <t>8168</t>
  </si>
  <si>
    <t>8169</t>
  </si>
  <si>
    <t>8170</t>
  </si>
  <si>
    <t>เก้าอี้ทำงานผู้บริหาร</t>
  </si>
  <si>
    <t>10102</t>
  </si>
  <si>
    <t>5 เม.ย. 67</t>
  </si>
  <si>
    <t>ผอ.ส่วนฯ</t>
  </si>
  <si>
    <t>เก้าอี้ทำงาน ขนาดไม่น้อยกว่า 62x63x109 ซม.</t>
  </si>
  <si>
    <t>10101</t>
  </si>
  <si>
    <t>10103</t>
  </si>
  <si>
    <t>10104</t>
  </si>
  <si>
    <t>10105</t>
  </si>
  <si>
    <t>10106</t>
  </si>
  <si>
    <t>10107</t>
  </si>
  <si>
    <t>รวมครุภัณฑ์เก้าอี้</t>
  </si>
  <si>
    <t>406</t>
  </si>
  <si>
    <t>ตู้</t>
  </si>
  <si>
    <t xml:space="preserve">ตู้เหล็กเก็บเอกสารทรงสูง                                            </t>
  </si>
  <si>
    <t>0113</t>
  </si>
  <si>
    <t>1 ม.ค.19</t>
  </si>
  <si>
    <t>หน้าห้อง ผอ.โยธา</t>
  </si>
  <si>
    <t>0112</t>
  </si>
  <si>
    <t>27 ก.พ. 22</t>
  </si>
  <si>
    <t xml:space="preserve">ตู้เหล็กเก็บเอกสาร 4 ลิ้นชัก                                         </t>
  </si>
  <si>
    <t>0206</t>
  </si>
  <si>
    <t>21 พ.ค. 24</t>
  </si>
  <si>
    <t>ช.ศุภชัย</t>
  </si>
  <si>
    <t>ตู้บานเลื่อนเก็บเอกสาร DO-216 tley 70 ยี่ห้อ Lucky 70 ขนาด 5/8" x 16 x 28 x 1/2"</t>
  </si>
  <si>
    <t>0629</t>
  </si>
  <si>
    <t>13 มี.ค. 35</t>
  </si>
  <si>
    <t>ช.สุชาติ</t>
  </si>
  <si>
    <t>0630</t>
  </si>
  <si>
    <t>0631</t>
  </si>
  <si>
    <t>ตู้เหล็กเก็บเอกสาร ขนาด 2.16 x 70 5/8"x16"x22 1/2"</t>
  </si>
  <si>
    <t>0636</t>
  </si>
  <si>
    <t>26 ม.ค. 36</t>
  </si>
  <si>
    <t>ข้างสุชาติ</t>
  </si>
  <si>
    <t xml:space="preserve">ตู้เหล็กบานเลื่อน เก็บเอกสาร (lucky)                              </t>
  </si>
  <si>
    <t>0637</t>
  </si>
  <si>
    <t>0638</t>
  </si>
  <si>
    <t>0640</t>
  </si>
  <si>
    <t>ตู้เก็บแบบแปลนชนิดแขวนแบบได้ เป็นไม้อัดผิวบุโฟเมก้าผิวบนและด้านข้างภายในทาสีน้ำมัน ขนาดลึก 0.80 ม. ยาว 2.40 ม. สูง 1.20 ม.</t>
  </si>
  <si>
    <t>0798</t>
  </si>
  <si>
    <t>3 พ.ย. 38</t>
  </si>
  <si>
    <t>0799</t>
  </si>
  <si>
    <t xml:space="preserve">ตู้ไม้ทึบบานเลื่อน/ เปิด ปิด ติดผนัง                                  </t>
  </si>
  <si>
    <t>0833</t>
  </si>
  <si>
    <t>8 ส.ค. 39</t>
  </si>
  <si>
    <t>0834</t>
  </si>
  <si>
    <t>0835</t>
  </si>
  <si>
    <t>0836</t>
  </si>
  <si>
    <t>0837</t>
  </si>
  <si>
    <t xml:space="preserve">ตู้เก็บเอกสาร 4 ลิ้นชัก   ยี่ห้อลีโก้                                     </t>
  </si>
  <si>
    <t>0804</t>
  </si>
  <si>
    <t>14 พ.ค. 39</t>
  </si>
  <si>
    <t>0806</t>
  </si>
  <si>
    <t>0807</t>
  </si>
  <si>
    <t>0809</t>
  </si>
  <si>
    <t>0810</t>
  </si>
  <si>
    <t>0811</t>
  </si>
  <si>
    <t>0812</t>
  </si>
  <si>
    <t>0813</t>
  </si>
  <si>
    <t xml:space="preserve">ตู้ไม้ทึบบานเลื่อนปรับสูงต่ำ                                           </t>
  </si>
  <si>
    <t>0887</t>
  </si>
  <si>
    <t>ตู้เหล็กเก็บเอกสาร ชนิด 15 ลิ้นชัก ยี่ห้อไทโย 1 ตู้</t>
  </si>
  <si>
    <t>0889</t>
  </si>
  <si>
    <t>ตู้เหล็กชนิดบานเลื่อนทึบ ขนาดประมาณ 40x175x57 ซม. แผ่นชั้น สามารถปรับระดับสูงต่ำได้ พร้อมกุญแจล็อค ยี่ห้อไทโย</t>
  </si>
  <si>
    <t>0891</t>
  </si>
  <si>
    <t>0892</t>
  </si>
  <si>
    <t>0893</t>
  </si>
  <si>
    <t>ตู้เหล็กเก็บเอกสาร 4 ลิ้นชัก กุญแจอัตโนมัติระบบรางลูกปืนมีตัวล็อคลิ้นชักกันหลุด ขนาด 46x61x100 ซม. ยี่ห้อ TAIYO</t>
  </si>
  <si>
    <t>0980</t>
  </si>
  <si>
    <t>23 ก.พ. 43</t>
  </si>
  <si>
    <t>0981</t>
  </si>
  <si>
    <t>ตู้เหล็กเก็บเอกสาร ชนิดบานเลื่อนทึบ ขนาด 40x175x57 ซม. ยี่ห้อลัคกี้คงด้อม</t>
  </si>
  <si>
    <t>0983</t>
  </si>
  <si>
    <t>ตู้เหล็กเก็บเอกสารบานเลื่อนทึบ ขนาด 40x175x57 ซม. แผ่นชั้นสามารถปรับระดับสูงต่ำได้พร้อมกุญแจล็อค ยี่ห้อลัคกี้พร้อมจานรอง</t>
  </si>
  <si>
    <t>0985</t>
  </si>
  <si>
    <t>ตู้เหล็กเก็บเอกสารชนิด 15 ลิ้นชัก จำนวน 1 ตู้</t>
  </si>
  <si>
    <t>0996</t>
  </si>
  <si>
    <t>ตู้เหล็กเก็บเอกสารทรงสูง ชนิด 2 บาน 1 ตู้</t>
  </si>
  <si>
    <t>0997</t>
  </si>
  <si>
    <t>ตู้เหล็กเก็บเอกสาร ขนาด 4 ลิ้นชัก จำนวน 1 ตู้</t>
  </si>
  <si>
    <t>1114</t>
  </si>
  <si>
    <t>26 เม.ย. 46</t>
  </si>
  <si>
    <t xml:space="preserve">ตู้เหล็กเก็บเอกสาร 4 ลิ้นชัก                                            </t>
  </si>
  <si>
    <t>1183</t>
  </si>
  <si>
    <t>29 ก.ย. 48</t>
  </si>
  <si>
    <t>1220</t>
  </si>
  <si>
    <t>18 มิ.ย. 52</t>
  </si>
  <si>
    <t>รวมครุภัณฑ์ตู้</t>
  </si>
  <si>
    <t>420</t>
  </si>
  <si>
    <t>เครื่องปรับอากาศ</t>
  </si>
  <si>
    <t xml:space="preserve">เครื่องปรับอากาศแบบแยกส่วนชนิดแขวน ยี่ห้อ Eminen 18000 BTU  พร้อมค่าติดตั้ง </t>
  </si>
  <si>
    <t>0190</t>
  </si>
  <si>
    <t>17 ธ.ค. 50</t>
  </si>
  <si>
    <t>ห้อง ผอ.ส่วนฯ</t>
  </si>
  <si>
    <t>เครื่องปรับอากาศแบบเยกส่วน ชนิดแขวน ขนาด 13000 BTU รุ่น WY MNVGE</t>
  </si>
  <si>
    <t>0239</t>
  </si>
  <si>
    <t>19 เม.ย. 56</t>
  </si>
  <si>
    <t>0203</t>
  </si>
  <si>
    <t>24 มิ.ย. 52</t>
  </si>
  <si>
    <t>ป้อมตำรวจ</t>
  </si>
  <si>
    <t>หน่วยบริการประชาชน</t>
  </si>
  <si>
    <t>0204</t>
  </si>
  <si>
    <t>สภ.เมือง ลป</t>
  </si>
  <si>
    <t>0205</t>
  </si>
  <si>
    <t>เครื่องปรับอากาศแบบแยกส่วน แบบติดผนัง ขนาด 36,200 BTU ยี่ห้อ Unimaster</t>
  </si>
  <si>
    <t>0404</t>
  </si>
  <si>
    <t>7 ก.ย. 64</t>
  </si>
  <si>
    <t>ห้องทำงานส่วนฯ</t>
  </si>
  <si>
    <t>0405</t>
  </si>
  <si>
    <t>0407</t>
  </si>
  <si>
    <t>0408</t>
  </si>
  <si>
    <t>0409</t>
  </si>
  <si>
    <t>รวมครุภัณฑ์เครื่องปรับอากาศ</t>
  </si>
  <si>
    <t>432</t>
  </si>
  <si>
    <t>พัดลม</t>
  </si>
  <si>
    <t>พัดลมระบายอากาศ ขนาด 10" โตชิบ้า</t>
  </si>
  <si>
    <t>0474</t>
  </si>
  <si>
    <t>9 มิ.ย. 40</t>
  </si>
  <si>
    <t>0475</t>
  </si>
  <si>
    <t>0476</t>
  </si>
  <si>
    <t>0477</t>
  </si>
  <si>
    <t xml:space="preserve">สถาปัตย์ </t>
  </si>
  <si>
    <t xml:space="preserve">พัดลมดูดอากาศ ยี่ห้อ Hatari สีขาว </t>
  </si>
  <si>
    <t>0840</t>
  </si>
  <si>
    <t>0841</t>
  </si>
  <si>
    <t>พัดลม ยี่ห้อ Hatari สีขาว จำนวน 1 ตัว</t>
  </si>
  <si>
    <t>0839</t>
  </si>
  <si>
    <t>พัดลมดูดอากาศ 8" ยี่ห้อ Mitsubishi สีขาว</t>
  </si>
  <si>
    <t>52</t>
  </si>
  <si>
    <t>0730</t>
  </si>
  <si>
    <t>0731</t>
  </si>
  <si>
    <t>0732</t>
  </si>
  <si>
    <t>พัดลมระบายอากาศ</t>
  </si>
  <si>
    <t>0737</t>
  </si>
  <si>
    <t>ร้านอาหารสวนห้าแยก</t>
  </si>
  <si>
    <t>0738</t>
  </si>
  <si>
    <t>0739</t>
  </si>
  <si>
    <t>0740</t>
  </si>
  <si>
    <t>รวมครุภัณฑ์พัดลม</t>
  </si>
  <si>
    <t>ครุภัณฑ์ก่อสร้าง</t>
  </si>
  <si>
    <t>064</t>
  </si>
  <si>
    <t>ชุดเครื่องมือทดสอบ</t>
  </si>
  <si>
    <t>ชุดเครื่องมือทดสอบหาค่ายุบตัวคอนกรีต (SLUM-TEST) พร้อมอุปกรณ์ จำนวน 1 ชุด</t>
  </si>
  <si>
    <t>44</t>
  </si>
  <si>
    <t>0001</t>
  </si>
  <si>
    <t>4 ก.ค.44</t>
  </si>
  <si>
    <t>พัสดุเคนเน็ต</t>
  </si>
  <si>
    <t>รวมครุภัณฑ์ชุดเครื่องมือทดสอบ</t>
  </si>
  <si>
    <t>ครุภัณฑ์ไฟฟ้าและวิทยุ</t>
  </si>
  <si>
    <t>464</t>
  </si>
  <si>
    <t>ครุภัณฑ์ไฟฟ้าและวิทยุ (เครื่องรับ-ส่ง วิทยุ)</t>
  </si>
  <si>
    <t>เครื่องรับ-ส่งวิทยุสื่อสาร ระบบ VHF/FM 245 MHZ ชนิดมือถือ 160 CH กำลังส่ง 5 วัตต์ ยี่ห้อ  SPENDER TC-246H plus</t>
  </si>
  <si>
    <t>0207</t>
  </si>
  <si>
    <t>11 ส.ค. 64</t>
  </si>
  <si>
    <t xml:space="preserve">งานสำรวจ  </t>
  </si>
  <si>
    <t>0208</t>
  </si>
  <si>
    <t>0209</t>
  </si>
  <si>
    <t>0210</t>
  </si>
  <si>
    <t>รวมครุภัณฑ์ไฟฟ้าและวิทยุ (เครื่องรับ-ส่ง วิทยุ)</t>
  </si>
  <si>
    <t>ครุภัณฑ์วิทยาศาสตร์หรือการแพทย์</t>
  </si>
  <si>
    <t>289</t>
  </si>
  <si>
    <t>เครื่องชั่งน้ำหนัก</t>
  </si>
  <si>
    <t>เครื่องชั่งชนิดงานหนัก ยี่ห้อ THAIMADE ขนาดไม่น้อยกว่า 20 กก. 1 เครื่อง</t>
  </si>
  <si>
    <t>0060</t>
  </si>
  <si>
    <t>รวมครุภัณฑ์เครื่องชั่งน้ำหนัก</t>
  </si>
  <si>
    <t>ครุภัณฑ์งานบ้านานครัว</t>
  </si>
  <si>
    <t>ครุภัณฑ์สำรวจ</t>
  </si>
  <si>
    <t>051</t>
  </si>
  <si>
    <t>ไม้สต๊าฟ</t>
  </si>
  <si>
    <t>ไม้สต๊าฟแบบพับขนาด 4 เมตร จำนวน 1 อัน</t>
  </si>
  <si>
    <t>0004</t>
  </si>
  <si>
    <t>1 มิ.ย.49</t>
  </si>
  <si>
    <t>ตู้งานสำรวจ</t>
  </si>
  <si>
    <t>รวมครุภัณฑ์ไม้สต๊าฟ</t>
  </si>
  <si>
    <t>077</t>
  </si>
  <si>
    <t>เทปวัดระยะ</t>
  </si>
  <si>
    <t>เทปวัดระยะดิจิตอล ระยะทาง 5-6 เมตร 1 ชุด</t>
  </si>
  <si>
    <t>0014</t>
  </si>
  <si>
    <t>16 มี.ค.52</t>
  </si>
  <si>
    <r>
      <t>เครื่องมือเช็คระดับและแนว ชนิดมือถือแบบดิจิตอล</t>
    </r>
    <r>
      <rPr>
        <sz val="12"/>
        <color rgb="FFFF0000"/>
        <rFont val="TH SarabunPSK"/>
        <family val="2"/>
      </rPr>
      <t xml:space="preserve"> </t>
    </r>
    <r>
      <rPr>
        <b/>
        <sz val="12"/>
        <color rgb="FFFF0000"/>
        <rFont val="TH SarabunPSK"/>
        <family val="2"/>
      </rPr>
      <t>(แบบเลเซอร์) ยี่ห้อ BLACK &amp; DECKER รุ่น CROSS FIRE</t>
    </r>
  </si>
  <si>
    <t>0015</t>
  </si>
  <si>
    <t>ช่างชาลี</t>
  </si>
  <si>
    <t>ล้อวัดระยะทาง ยี่ห้อ Roto-Sure รุ่น Classique</t>
  </si>
  <si>
    <t>0017</t>
  </si>
  <si>
    <t>13 ม.ค. 63</t>
  </si>
  <si>
    <t>รวมครุภัณฑ์เทปวัดระยะ</t>
  </si>
  <si>
    <t>078</t>
  </si>
  <si>
    <t>กล้องระดับ</t>
  </si>
  <si>
    <t>กล้องระดับ WILD NAK 1</t>
  </si>
  <si>
    <t>9 ต.ค.18</t>
  </si>
  <si>
    <t>ตู้สำรวจ</t>
  </si>
  <si>
    <t>กล้องระดับ ยี่ห้อ CARL ZEISS JENA MODEL NI-005A ผลิตภัณฑ์ของประเทศเยอรมันนี</t>
  </si>
  <si>
    <t>0002</t>
  </si>
  <si>
    <t>25 ก.ย.34</t>
  </si>
  <si>
    <r>
      <t xml:space="preserve">กล้องระดับระบบออโตโฟกัส พร้อมอุปกรณ์ ยี่ห้อ Penter </t>
    </r>
    <r>
      <rPr>
        <b/>
        <sz val="12"/>
        <color rgb="FFFF0000"/>
        <rFont val="TH SarabunPSK"/>
        <family val="2"/>
      </rPr>
      <t>(PENTEX)</t>
    </r>
    <r>
      <rPr>
        <sz val="12"/>
        <rFont val="TH SarabunPSK"/>
        <family val="2"/>
      </rPr>
      <t xml:space="preserve">รุ่น AF </t>
    </r>
    <r>
      <rPr>
        <b/>
        <sz val="12"/>
        <color rgb="FFFF0000"/>
        <rFont val="TH SarabunPSK"/>
        <family val="2"/>
      </rPr>
      <t>(AFL)</t>
    </r>
    <r>
      <rPr>
        <sz val="12"/>
        <rFont val="TH SarabunPSK"/>
        <family val="2"/>
      </rPr>
      <t>-320 จำนวน 1 ชุด</t>
    </r>
  </si>
  <si>
    <t>20 พ.ค.45</t>
  </si>
  <si>
    <t xml:space="preserve">กล้องระดับอัตโนมัติ กำลังขยาย 32 เท่า รุ่น AT-B2 จำนวน 1 ชุด ยี่ห้อ TOPCON </t>
  </si>
  <si>
    <t>0005</t>
  </si>
  <si>
    <t>21 ก.พ.56</t>
  </si>
  <si>
    <t>กล้องสำรวจประมวลผล (Total Station) ยี่ห้อ TOPCON รุ่น GM series สีเหลือง จำนวน 1 ชุด</t>
  </si>
  <si>
    <t>0006</t>
  </si>
  <si>
    <t>18 ก.ค. 62</t>
  </si>
  <si>
    <t>รวมครุภัณฑ์กล้องระดับ</t>
  </si>
  <si>
    <t>079</t>
  </si>
  <si>
    <t>กล้องวัดมุม</t>
  </si>
  <si>
    <t>กล้องสำรวจระดับวัดมุม พร้อมขาตั้ง ยี่ห้อ CARL SEISS JENA โทเดิล THEO C 020</t>
  </si>
  <si>
    <t>5 ก.พ.28</t>
  </si>
  <si>
    <t>ตู้สำรวจ ส่วนฯ</t>
  </si>
  <si>
    <t>กล้องวัดมุมชีโอไคไลท์ ยี่ห้อ PENTAX รุ่น TH-60S</t>
  </si>
  <si>
    <t>0003</t>
  </si>
  <si>
    <t>25 ส.ค. 32</t>
  </si>
  <si>
    <t>กล้องวัดมุมแบบประมวลผลรวม พร้อมอุปกรณ์ยี่ห้อ PENTEX รุ่น R-115 จำนวน 1 ชุด</t>
  </si>
  <si>
    <t>20 พ.ค. 45</t>
  </si>
  <si>
    <t>เครื่องมือหาพิกัดด้วยสัญญาณดาวเทียม GPS แบบมือถือ พร้อมอุปกรณ์ ยี่ห้อ CARMIN
รุ่น E-MAP จำนวน 1 ชุด</t>
  </si>
  <si>
    <t>กล้องวัดมุมแบบประมวลผลรวม Total Staion เป็นกล้องสำรวจแบบประมวลผลรวม 
มีระบบการวัดมุม และวัดระยะอยู่ในเครื่องเดียวกัน มีอุปกรณ์ประกอบพร้อมยี่ห้อ TOPCON 
รุ่น GPT 305</t>
  </si>
  <si>
    <t>1 มิ.ย. 49</t>
  </si>
  <si>
    <t>รวมครุภัณฑ์กล้อง</t>
  </si>
  <si>
    <t>ครุภัณฑ์คอมพิวเตอร์</t>
  </si>
  <si>
    <t>416</t>
  </si>
  <si>
    <t>คอมพิวเตอร์</t>
  </si>
  <si>
    <t>Computer NCC Pentium III 5500 จำนวน 1 ชุด (จอภาพ/CPU/UPS) Xenith 500 VA 1 ตัว</t>
  </si>
  <si>
    <t>0062</t>
  </si>
  <si>
    <t>12 เม.ย. 43</t>
  </si>
  <si>
    <t>วราพร</t>
  </si>
  <si>
    <r>
      <t>เครื่องคอมพิวเตอร์1ชุด</t>
    </r>
    <r>
      <rPr>
        <sz val="12"/>
        <color rgb="FFFF0000"/>
        <rFont val="TH SarabunPSK"/>
        <family val="2"/>
      </rPr>
      <t>(</t>
    </r>
    <r>
      <rPr>
        <sz val="12"/>
        <color theme="1"/>
        <rFont val="TH SarabunPSK"/>
        <family val="2"/>
      </rPr>
      <t>CPU (ผอ.ส่วนฯ)</t>
    </r>
  </si>
  <si>
    <t>0073</t>
  </si>
  <si>
    <t>22 ส.ค. 44</t>
  </si>
  <si>
    <r>
      <t>เครื่องคอมพิวเตอร์1ชุด</t>
    </r>
    <r>
      <rPr>
        <sz val="12"/>
        <color rgb="FFFF0000"/>
        <rFont val="TH SarabunPSK"/>
        <family val="2"/>
      </rPr>
      <t>(</t>
    </r>
    <r>
      <rPr>
        <sz val="12"/>
        <color theme="1"/>
        <rFont val="TH SarabunPSK"/>
        <family val="2"/>
      </rPr>
      <t>CPU ช.ศุภชัย),</t>
    </r>
    <r>
      <rPr>
        <sz val="12"/>
        <color rgb="FFFF0000"/>
        <rFont val="TH SarabunPSK"/>
        <family val="2"/>
      </rPr>
      <t xml:space="preserve"> </t>
    </r>
    <r>
      <rPr>
        <sz val="12"/>
        <color theme="1"/>
        <rFont val="TH SarabunPSK"/>
        <family val="2"/>
      </rPr>
      <t xml:space="preserve"> </t>
    </r>
  </si>
  <si>
    <t>0074</t>
  </si>
  <si>
    <t>ณรงค์</t>
  </si>
  <si>
    <t>เครื่องสำรองไฟ จำนวน 1 ชุด</t>
  </si>
  <si>
    <t>0173</t>
  </si>
  <si>
    <t>0174</t>
  </si>
  <si>
    <t>เจษฎาพร</t>
  </si>
  <si>
    <t>CPU คอมพิวเตอร์</t>
  </si>
  <si>
    <t>28 ต.ค. 46</t>
  </si>
  <si>
    <t>โชติ</t>
  </si>
  <si>
    <t>เมธาสิทธิ์</t>
  </si>
  <si>
    <t>0391</t>
  </si>
  <si>
    <t>29 พ.ค. 51</t>
  </si>
  <si>
    <t>จอคอม</t>
  </si>
  <si>
    <t>0494</t>
  </si>
  <si>
    <t>เครื่องสำรองไฟ</t>
  </si>
  <si>
    <t>0429</t>
  </si>
  <si>
    <t>0518</t>
  </si>
  <si>
    <t>11 ส.ค. 51</t>
  </si>
  <si>
    <t>เมธาวี</t>
  </si>
  <si>
    <t>0519</t>
  </si>
  <si>
    <t>0522</t>
  </si>
  <si>
    <t>0523</t>
  </si>
  <si>
    <t>0524</t>
  </si>
  <si>
    <t>คุณากร</t>
  </si>
  <si>
    <t>คอมพิวเตอร์ Notebook ยี่ห้อ HP รุ่น Pavition dv 7-2006Tx 1 ชุด</t>
  </si>
  <si>
    <t>0611</t>
  </si>
  <si>
    <t>3 ก.ค. 52</t>
  </si>
  <si>
    <t>ชาลี</t>
  </si>
  <si>
    <t>เครื่องคอมพิวเตอร์ Lemet รุ่น extreme Seris</t>
  </si>
  <si>
    <t>0615</t>
  </si>
  <si>
    <t>จอคอมพิวเตอร์ ยี่ห้อ LG รุ่น N 2452V-PF S/N</t>
  </si>
  <si>
    <t>0616</t>
  </si>
  <si>
    <t>เครื่องคอมพิวเตอร์ Lemet รุ่น extreme Seris CPU</t>
  </si>
  <si>
    <t>0619</t>
  </si>
  <si>
    <t>มานพ</t>
  </si>
  <si>
    <t>0620</t>
  </si>
  <si>
    <t>0621</t>
  </si>
  <si>
    <t>พิสิฐ</t>
  </si>
  <si>
    <t xml:space="preserve">จอคอมพิวเตอร์ ยี่ห้อ LG </t>
  </si>
  <si>
    <t>0623</t>
  </si>
  <si>
    <t>0624</t>
  </si>
  <si>
    <t>เครื่องสำรองไฟฟ้า ยี่ห้อ ZIRCOM รุ่น LCD 1500VA</t>
  </si>
  <si>
    <t>0627</t>
  </si>
  <si>
    <t>เครื่องสำรองไฟฟ้า ยี่ห้อ ZIRCOM รุ่น LCD 1500VA/900w</t>
  </si>
  <si>
    <t>เครื่องสำรองไฟ Syndome จำนวน 1 เครื่อง</t>
  </si>
  <si>
    <t>0710</t>
  </si>
  <si>
    <t>10 ส.ค. 55</t>
  </si>
  <si>
    <t>1. Etltsoro 2520706B322400 (จอคอม Acer จอ 23" รุ่น S203HLA bd)</t>
  </si>
  <si>
    <t>0722</t>
  </si>
  <si>
    <t>2. Etltsoro 2521306B932400 (จอคอม Acer จอ 23" รุ่น S203HLA bd)</t>
  </si>
  <si>
    <t>0723</t>
  </si>
  <si>
    <t>3. Etltsoro 252130675C2400 (จอคอม Acer จอ 23" รุ่น S203HLA bd)</t>
  </si>
  <si>
    <t>0724</t>
  </si>
  <si>
    <t>4. Etltsoro 252130680D2400 (จอคอม Acer จอ 23" รุ่น S203HLA bd)</t>
  </si>
  <si>
    <t>0725</t>
  </si>
  <si>
    <t>ศุภชัย</t>
  </si>
  <si>
    <t>5. Etltsoro 2520407D662400 (จอคอม Acer จอ 23" รุ่น S203HLA bd)</t>
  </si>
  <si>
    <t>0726</t>
  </si>
  <si>
    <t>11 เม.ย. 55</t>
  </si>
  <si>
    <t>คมกริช</t>
  </si>
  <si>
    <t>(จอคอม) ขนาด 21.5 นิ้ว LCD HP ZR 2240 W</t>
  </si>
  <si>
    <t>0741</t>
  </si>
  <si>
    <t>เครื่องพิมพ์ (Printer) สำหรับงานสำนักงาน และงานพิมพ์แบบแปลนจำนวน 1 
ยี่ห้อเครื่องพิมพ์ HP T520</t>
  </si>
  <si>
    <t>0745</t>
  </si>
  <si>
    <t>9 พ.ค. 56</t>
  </si>
  <si>
    <t>Note book SAMSUNG</t>
  </si>
  <si>
    <t>0746</t>
  </si>
  <si>
    <t>27 พ.ค. 56</t>
  </si>
  <si>
    <t>เครื่องคอมพิวเตอร์ CPU   เครื่องคอมพิวเตอร์สำหรับประมวลผล แบบที่ (1)</t>
  </si>
  <si>
    <t>0919</t>
  </si>
  <si>
    <t>19 เม.ย. 59</t>
  </si>
  <si>
    <t>สุนิสา</t>
  </si>
  <si>
    <t>จอคอมพิวเตอร์ LCD ยี่ห้อ BENQ</t>
  </si>
  <si>
    <t>0920</t>
  </si>
  <si>
    <t>0921</t>
  </si>
  <si>
    <t>เครื่องสแกนเนอร์ CONTEX รุ่น SD ONE PLUS 24</t>
  </si>
  <si>
    <t>1315</t>
  </si>
  <si>
    <t>12 ก.ค. 61</t>
  </si>
  <si>
    <t>เครื่องพิมพ์ Multifunction แบบฉีดหมึก (Ink tank printer) ยี่ห้อ Epson รุ่น 5190</t>
  </si>
  <si>
    <t>1721</t>
  </si>
  <si>
    <t>25 มิ.ย 63</t>
  </si>
  <si>
    <t>ปรียากมล</t>
  </si>
  <si>
    <t>เครื่องพิมพ์แบบฉีดหมึก (Ink tank) ยี่ห้อ Epson รุ่น L3310</t>
  </si>
  <si>
    <t>1708</t>
  </si>
  <si>
    <t>25 มิ.ย. 63</t>
  </si>
  <si>
    <t>เครื่องคอมพิวเตอร์ สำหรับงานประมวลผล แบบที่ 2 ยี่ห้อ Acer รุ่น ES2740g Core 17-10700</t>
  </si>
  <si>
    <t>2027</t>
  </si>
  <si>
    <t>6 มิ.ย. 65</t>
  </si>
  <si>
    <t>งานสถาปัตยกรรม</t>
  </si>
  <si>
    <t>จอคอมพิวเตอร์ (จอแสดงภาพไม่น้อยกว่า 19 นิ้ว) ขนาด 19.5 นิ้ว V206HQL</t>
  </si>
  <si>
    <t>2028</t>
  </si>
  <si>
    <t>2029</t>
  </si>
  <si>
    <t>อินทมาต</t>
  </si>
  <si>
    <t>2030</t>
  </si>
  <si>
    <t>2031</t>
  </si>
  <si>
    <t>2032</t>
  </si>
  <si>
    <t>2033</t>
  </si>
  <si>
    <t>งานวิศวกรรมโยธา</t>
  </si>
  <si>
    <t>2034</t>
  </si>
  <si>
    <t>2035</t>
  </si>
  <si>
    <t>ปกิต</t>
  </si>
  <si>
    <t>2036</t>
  </si>
  <si>
    <t>เครื่องพิมพ์แบบฉีดหมึก (Ink Printer) สำหรับกระดาษ A3 ยี่ห้อ HP รุ่น OfficeJet Pro 7720 Wide Format All-in-One Printer</t>
  </si>
  <si>
    <t>2041</t>
  </si>
  <si>
    <t>เครื่องสำรองไฟฟ้า ขนาด 1kVA ยี่ห้อ ZIRCON รุ่น EMPOW 1200VA720W</t>
  </si>
  <si>
    <t>2044</t>
  </si>
  <si>
    <t>2045</t>
  </si>
  <si>
    <t>2046</t>
  </si>
  <si>
    <t>2047</t>
  </si>
  <si>
    <t>2048</t>
  </si>
  <si>
    <t>เครื่องพิมพ์แบบฉีดหมึก ยี่ห้อ Epson รุ่น L1300</t>
  </si>
  <si>
    <t>2226</t>
  </si>
  <si>
    <t>21 มิ.ย. 66</t>
  </si>
  <si>
    <t>เครื่องพิมพ์หน้ากว้าง ขนาด 36 นิ้ว ยี่ห้อ Canon รุ่น TM-5300</t>
  </si>
  <si>
    <t>2227</t>
  </si>
  <si>
    <t>รวมครุภัณฑ์คอมพิวเตอร์</t>
  </si>
  <si>
    <t>รวมทั้งสิ้น</t>
  </si>
  <si>
    <t>ทะเบียนรายงานผลการตรวจนับครุภัณฑ์ ประจำปีงบประมาณ พ.ศ. 2567</t>
  </si>
  <si>
    <t>วีระชัย</t>
  </si>
  <si>
    <t>ชำรุด 67</t>
  </si>
  <si>
    <t>สวาท</t>
  </si>
  <si>
    <t>นัฎฐพล</t>
  </si>
  <si>
    <t>วิโรจน์</t>
  </si>
  <si>
    <t>ภีควัฒน์</t>
  </si>
  <si>
    <t>ประมวลผล แบบที่ 2</t>
  </si>
  <si>
    <t>จอแสดงภาพ</t>
  </si>
  <si>
    <t>หัวฉีดพร้อมติดตั้งถังหมึก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</si>
  <si>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</si>
  <si>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</si>
  <si>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</si>
  <si>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</si>
  <si>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</si>
  <si>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</si>
  <si>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</si>
  <si>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</si>
  <si>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</si>
  <si>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</si>
  <si>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</si>
  <si>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</si>
  <si>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</si>
  <si>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15 พ.ย. 66</t>
  </si>
  <si>
    <t>สรัตถชัย</t>
  </si>
  <si>
    <t>รายการ</t>
  </si>
  <si>
    <t>เก้าอี้สำนักงาน พนักพิงสูง ชนิดปรับเอนได้ ปรับสูงต่ำด้วยโช้คไฮดรอลิค จำนวน 1 ตัว</t>
  </si>
  <si>
    <t>0017(ต)</t>
  </si>
  <si>
    <t>9 ธ.ค. 54</t>
  </si>
  <si>
    <t>เก้าอี้สำนักงานใหญ่ (ชนิดหนัง) จำนวน 1 ตัว</t>
  </si>
  <si>
    <t>0343(ต)</t>
  </si>
  <si>
    <t>27 ส.ค. 55</t>
  </si>
  <si>
    <t>เก้าอี้สำนักงาน</t>
  </si>
  <si>
    <t>0351(ต)</t>
  </si>
  <si>
    <t>11 ก.ย. 55</t>
  </si>
  <si>
    <t>0352(ต)</t>
  </si>
  <si>
    <t>เก้าอี้สำนักงานพนักพิงสูงปานกลาง บุหนังเทียม แบบมีเท้าแขนปรับสูงต่ำโช้คไฮโดรลิค</t>
  </si>
  <si>
    <t>0496(ต)</t>
  </si>
  <si>
    <t>12 มี.ค. 56</t>
  </si>
  <si>
    <t>0497(ต)</t>
  </si>
  <si>
    <t>เก้าอี้สำนักงาน มีโช้คปรับระดับได้</t>
  </si>
  <si>
    <t>0825(ต)</t>
  </si>
  <si>
    <t>4 ก.ย. 57</t>
  </si>
  <si>
    <t>เก้าอี้สำนักงานพนักพิงสูงปานกลาง ชนิดเบาะหนังมีเท้าแขนปรับสูง-ต่ำ ปรับด้วยโช้คไฮโดรลิคมีล้อเลื่อน</t>
  </si>
  <si>
    <t>0826(ต)</t>
  </si>
  <si>
    <t>8 ก.ย. 57</t>
  </si>
  <si>
    <t>0827(ต)</t>
  </si>
  <si>
    <t>0828(ต)</t>
  </si>
  <si>
    <t>0829(ต)</t>
  </si>
  <si>
    <t>เก้าอี้สำนักงานชนิดเบาะหนังมีวางแขนปรับสูง-ต่ำ ด้วยโช้คไฮโดรลิคมีล้อเลื่อน</t>
  </si>
  <si>
    <t>0848(ต)</t>
  </si>
  <si>
    <t>16 มี.ค. 58</t>
  </si>
  <si>
    <t>ตู้บานเลื่อนกระจก รุ่น R-025 ขนาด (ย) 1491 (ล) 408 (ส) 878 มม. ยี่ห้อ TAIYO จำนวน 1 ตู้</t>
  </si>
  <si>
    <t>54</t>
  </si>
  <si>
    <t>0001(ต)</t>
  </si>
  <si>
    <t>ตู้บานเลื่อนกระจก รุ่น SGD-120 ขนาด (ย) 1185 (ล) 407 (ส) 1220 มม. ยี่ห้อ KIOSK จำนวน 1 ตู้</t>
  </si>
  <si>
    <t>0002(ต)</t>
  </si>
  <si>
    <t>ตู้บานเลื่อนกระจก 4 ฟุต จำนวน 1 ตู้</t>
  </si>
  <si>
    <t>58</t>
  </si>
  <si>
    <t>0111(ต)</t>
  </si>
  <si>
    <t>10 ส.ค. 58</t>
  </si>
  <si>
    <t>0112(ต)</t>
  </si>
  <si>
    <t>พัดลมตั้งพื้น 16 นิ้ว ยี่ย้อมมิตซูมิชิ รุ่น LV16-GO   สีฟ้า</t>
  </si>
  <si>
    <t>0041(ต)</t>
  </si>
  <si>
    <t>23 ส.ค. 56</t>
  </si>
  <si>
    <t>ธุรการ</t>
  </si>
  <si>
    <t>พัดลมตั้งพื้น 16 นิ้ว ยี่ย้อมมิตซูมิชิ รุ่น LV16-GO   สีแดง</t>
  </si>
  <si>
    <t>0042(ต)</t>
  </si>
  <si>
    <t>งานสถาปัตย์</t>
  </si>
  <si>
    <t>พัดลมตั้งพื้น 16 นิ้ว ยี่ย้อมมิตซูมิชิ รุ่น LV16-GO   สีเทา</t>
  </si>
  <si>
    <t>0043(ต)</t>
  </si>
  <si>
    <t>ช.มานพ</t>
  </si>
  <si>
    <t>จอคอม LED 20 นิ้ว VIEW SONIC จำนวน 1 เครื่อง</t>
  </si>
  <si>
    <t>0053(ต)</t>
  </si>
  <si>
    <t>27 ธ.ค. 54</t>
  </si>
  <si>
    <t>Printer Inkjet ยี่ห้อ Epson รุ่น L210 จำนวน 1 เครื่องๆ ละ 4,990 บาท</t>
  </si>
  <si>
    <t>56</t>
  </si>
  <si>
    <t>0134(ต)</t>
  </si>
  <si>
    <t>งบทรัพย์สินเทศบาลนครลำปาง</t>
  </si>
  <si>
    <t>ข สังหาริมทรัพย์</t>
  </si>
  <si>
    <t>ประเภททรัพย์สิน</t>
  </si>
  <si>
    <t>รหัส</t>
  </si>
  <si>
    <t>ครุภัณฑ์</t>
  </si>
  <si>
    <t>ครุภัณฑ์ต่ำกว่าเกณฑ์</t>
  </si>
  <si>
    <t>จำนวนรายการ</t>
  </si>
  <si>
    <t>จำนวนเงินที่ได้มา</t>
  </si>
  <si>
    <t>เครื่องสั่นคอนกรีต, เครื่องทดสอบคอนกรีต</t>
  </si>
  <si>
    <t>วิทยุรับ-ส่งแบบมือถือ สะพายติดรถยนต์</t>
  </si>
  <si>
    <t>เครื่องชั่งขนาดกลาง, เครื่องชั่งน้ำหนัก</t>
  </si>
  <si>
    <t>ไม้สตาฟ</t>
  </si>
  <si>
    <t>รวมสังหาริมทรัพย์</t>
  </si>
  <si>
    <t>ณ  วันที่  30  กันยายน  2567</t>
  </si>
  <si>
    <t>ทะเบียนรายงานผลการตรวจนับครุภัณฑ์ต่ำกว่าเกณฑ์ ประจำปีงบประมาณ พ.ศ. 2567</t>
  </si>
  <si>
    <t>ซากไม้</t>
  </si>
  <si>
    <t>0487</t>
  </si>
  <si>
    <t>24 มิ.ย. 67</t>
  </si>
  <si>
    <t>เครื่องปรับอากาศแบบแยกส่วน แบบติดผนัง Inverter รุ่น 42 เบอร์ 5 -ขนาด 25,200 BTU ยี่ห้อ Carriier</t>
  </si>
  <si>
    <t>ณ 15 ตค 67</t>
  </si>
  <si>
    <t>ห้องประชุมส่วนฯ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</si>
  <si>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</si>
  <si>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</si>
  <si>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</si>
  <si>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</si>
  <si>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</si>
  <si>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</si>
  <si>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</si>
  <si>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</si>
  <si>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</si>
  <si>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</si>
  <si>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</si>
  <si>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</si>
  <si>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</si>
  <si>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</si>
  <si>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</si>
  <si>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</si>
  <si>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</si>
  <si>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</si>
  <si>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</si>
  <si>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</si>
  <si>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</si>
  <si>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</si>
  <si>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</si>
  <si>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</si>
  <si>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</si>
  <si>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</si>
  <si>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</si>
  <si>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</si>
  <si>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โต๊ะทำงานแบบมี 2 ที่นั่ง</t>
  </si>
  <si>
    <t>โต๊ะทำงานแบบมีตู้ข้างเตี้ย 1 ที่นั่ง</t>
  </si>
  <si>
    <t>ห้องครัว</t>
  </si>
  <si>
    <t>ฝ.ปกิต</t>
  </si>
  <si>
    <t>คมสัน</t>
  </si>
  <si>
    <t>ว่าง</t>
  </si>
  <si>
    <t>พลอย</t>
  </si>
  <si>
    <t>ณัฎฐพล</t>
  </si>
  <si>
    <t>เจษาพร</t>
  </si>
  <si>
    <t>โต๊ะทำงานมีตู้ข้าง 1 ที่นั่ง</t>
  </si>
  <si>
    <t>แผนการซ่อมบำรุงพัสดุ (ตามหมายเลขครุภัณฑ์)</t>
  </si>
  <si>
    <t>ส่วนควบคุมการก่อสร้าง   สำนักช่าง  เทศบาลนครลำปาง</t>
  </si>
  <si>
    <t>ลำดับ</t>
  </si>
  <si>
    <t>หมายเลข
ครุภัณฑ์</t>
  </si>
  <si>
    <t>แผนการปฏิบัติงานซ่อมบำรุง</t>
  </si>
  <si>
    <t>ผู้ครอบครอง
พัสดุ</t>
  </si>
  <si>
    <t>ต.ค.</t>
  </si>
  <si>
    <t>พ.ย.</t>
  </si>
  <si>
    <t>ธ.ค.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</si>
  <si>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</si>
  <si>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</si>
  <si>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</si>
  <si>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</si>
  <si>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</si>
  <si>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</si>
  <si>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</si>
  <si>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</si>
  <si>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</si>
  <si>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ช.ชูสิทธิ์</t>
  </si>
  <si>
    <t>งานสำรวจ</t>
  </si>
  <si>
    <t>*** ถ้ามีการชำรุดและสามารถซ่อมแซมได้ ***</t>
  </si>
  <si>
    <t>หน้าคอมอินทมาต</t>
  </si>
  <si>
    <t>ช.อินทมาต</t>
  </si>
  <si>
    <t>หน้าห้องประชุมส่วนฯ</t>
  </si>
  <si>
    <t>ข้าง ช.โชติ</t>
  </si>
  <si>
    <t>ข้างศุภชัย</t>
  </si>
  <si>
    <r>
      <t>เครื่องมือเช็คระดับและแนว ชนิดมือถือแบบดิจิตอล</t>
    </r>
    <r>
      <rPr>
        <sz val="16"/>
        <color rgb="FFFF0000"/>
        <rFont val="TH SarabunPSK"/>
        <family val="2"/>
      </rPr>
      <t xml:space="preserve"> </t>
    </r>
    <r>
      <rPr>
        <b/>
        <sz val="16"/>
        <color rgb="FFFF0000"/>
        <rFont val="TH SarabunPSK"/>
        <family val="2"/>
      </rPr>
      <t>(แบบเลเซอร์) ยี่ห้อ BLACK &amp; DECKER รุ่น CROSS FIRE</t>
    </r>
  </si>
  <si>
    <r>
      <t xml:space="preserve">กล้องระดับระบบออโตโฟกัส พร้อมอุปกรณ์ ยี่ห้อ Penter </t>
    </r>
    <r>
      <rPr>
        <b/>
        <sz val="16"/>
        <color rgb="FFFF0000"/>
        <rFont val="TH SarabunPSK"/>
        <family val="2"/>
      </rPr>
      <t>(PENTEX)</t>
    </r>
    <r>
      <rPr>
        <sz val="16"/>
        <rFont val="TH SarabunPSK"/>
        <family val="2"/>
      </rPr>
      <t xml:space="preserve">รุ่น AF </t>
    </r>
    <r>
      <rPr>
        <b/>
        <sz val="16"/>
        <color rgb="FFFF0000"/>
        <rFont val="TH SarabunPSK"/>
        <family val="2"/>
      </rPr>
      <t>(AFL)</t>
    </r>
    <r>
      <rPr>
        <sz val="16"/>
        <rFont val="TH SarabunPSK"/>
        <family val="2"/>
      </rPr>
      <t>-320 จำนวน 1 ชุด</t>
    </r>
  </si>
  <si>
    <t xml:space="preserve">ตู้สำรวจ </t>
  </si>
  <si>
    <r>
      <t>เครื่องคอมพิวเตอร์1ชุด</t>
    </r>
    <r>
      <rPr>
        <sz val="16"/>
        <color rgb="FFFF0000"/>
        <rFont val="TH SarabunPSK"/>
        <family val="2"/>
      </rPr>
      <t>(</t>
    </r>
    <r>
      <rPr>
        <sz val="16"/>
        <color theme="1"/>
        <rFont val="TH SarabunPSK"/>
        <family val="2"/>
      </rPr>
      <t>CPU (ผอ.ส่วนฯ)</t>
    </r>
  </si>
  <si>
    <r>
      <t>เครื่องคอมพิวเตอร์1ชุด</t>
    </r>
    <r>
      <rPr>
        <sz val="16"/>
        <color rgb="FFFF0000"/>
        <rFont val="TH SarabunPSK"/>
        <family val="2"/>
      </rPr>
      <t>(</t>
    </r>
    <r>
      <rPr>
        <sz val="16"/>
        <color theme="1"/>
        <rFont val="TH SarabunPSK"/>
        <family val="2"/>
      </rPr>
      <t>CPU ช.ศุภชัย),</t>
    </r>
    <r>
      <rPr>
        <sz val="16"/>
        <color rgb="FFFF0000"/>
        <rFont val="TH SarabunPSK"/>
        <family val="2"/>
      </rPr>
      <t xml:space="preserve"> </t>
    </r>
    <r>
      <rPr>
        <sz val="16"/>
        <color theme="1"/>
        <rFont val="TH SarabunPSK"/>
        <family val="2"/>
      </rPr>
      <t xml:space="preserve"> </t>
    </r>
  </si>
  <si>
    <t>สุชาติ(โชติ)</t>
  </si>
  <si>
    <t>เคนเน็ต</t>
  </si>
  <si>
    <t>สำรวจ</t>
  </si>
  <si>
    <t>วิศวกรรม</t>
  </si>
  <si>
    <t>เครื่องคอมพิวเตอร์ CPU  เครื่องคอมพิวเตอร์สำหรับประมวลผล แบบที่ (1)</t>
  </si>
  <si>
    <t>หน้าโต๊ะ ช.คมกริช</t>
  </si>
  <si>
    <t>งานธุรการ</t>
  </si>
  <si>
    <t>แผนการซ่อมบำรุงพัสดุ (ครุภัณฑ์ต่ำกว่าเกณฑ์)</t>
  </si>
  <si>
    <t>ประจำงบประมาณ พ.ศ. 2568</t>
  </si>
  <si>
    <t>ปี พ.ศ. 2568</t>
  </si>
  <si>
    <r>
      <t>เครื่องมือเช็คระดับและแนว ชนิดมือถือแบบดิจิตอล</t>
    </r>
    <r>
      <rPr>
        <sz val="12"/>
        <rFont val="TH SarabunPSK"/>
        <family val="2"/>
      </rPr>
      <t xml:space="preserve"> </t>
    </r>
    <r>
      <rPr>
        <b/>
        <sz val="12"/>
        <rFont val="TH SarabunPSK"/>
        <family val="2"/>
      </rPr>
      <t>(แบบเลเซอร์) ยี่ห้อ BLACK &amp; DECKER รุ่น CROSS FIRE</t>
    </r>
  </si>
  <si>
    <r>
      <t xml:space="preserve">กล้องระดับระบบออโตโฟกัส พร้อมอุปกรณ์ ยี่ห้อ Penter </t>
    </r>
    <r>
      <rPr>
        <b/>
        <sz val="12"/>
        <rFont val="TH SarabunPSK"/>
        <family val="2"/>
      </rPr>
      <t>(PENTEX)</t>
    </r>
    <r>
      <rPr>
        <sz val="12"/>
        <rFont val="TH SarabunPSK"/>
        <family val="2"/>
      </rPr>
      <t xml:space="preserve">รุ่น AF </t>
    </r>
    <r>
      <rPr>
        <b/>
        <sz val="12"/>
        <rFont val="TH SarabunPSK"/>
        <family val="2"/>
      </rPr>
      <t>(AFL)</t>
    </r>
    <r>
      <rPr>
        <sz val="12"/>
        <rFont val="TH SarabunPSK"/>
        <family val="2"/>
      </rPr>
      <t>-320 จำนวน 1 ชุด</t>
    </r>
  </si>
  <si>
    <r>
      <t>เครื่องคอมพิวเตอร์1ชุด</t>
    </r>
    <r>
      <rPr>
        <sz val="12"/>
        <rFont val="TH SarabunPSK"/>
        <family val="2"/>
      </rPr>
      <t>(CPU (ผอ.ส่วนฯ)</t>
    </r>
  </si>
  <si>
    <r>
      <t>เครื่องคอมพิวเตอร์1ชุด</t>
    </r>
    <r>
      <rPr>
        <sz val="12"/>
        <rFont val="TH SarabunPSK"/>
        <family val="2"/>
      </rPr>
      <t xml:space="preserve">(CPU ช.ศุภชัย),  </t>
    </r>
  </si>
  <si>
    <t>แผนการซ่อมบำรุงพัสดุครุภัณฑ์ต่ำกว่าเกณฑ์ (ตามหมายเลขครุภัณฑ์)</t>
  </si>
  <si>
    <t>เครื่องเจาะคอนกรีต</t>
  </si>
  <si>
    <t>058</t>
  </si>
  <si>
    <t>67</t>
  </si>
  <si>
    <t>0007</t>
  </si>
  <si>
    <t>24 ม.ค. 67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</si>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</sst>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6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6"/>
      <color theme="1"/>
      <name val="TH SarabunPSK"/>
      <family val="2"/>
    </font>
    <font>
      <sz val="12"/>
      <color theme="1"/>
      <name val="TH SarabunPSK"/>
      <family val="2"/>
    </font>
    <font>
      <b/>
      <sz val="12"/>
      <color theme="1"/>
      <name val="TH SarabunPSK"/>
      <family val="2"/>
    </font>
    <font>
      <sz val="12"/>
      <name val="TH SarabunPSK"/>
      <family val="2"/>
    </font>
    <font>
      <b/>
      <u/>
      <sz val="12"/>
      <color theme="1"/>
      <name val="TH SarabunPSK"/>
      <family val="2"/>
    </font>
    <font>
      <sz val="12"/>
      <color rgb="FF0070C0"/>
      <name val="TH SarabunPSK"/>
      <family val="2"/>
    </font>
    <font>
      <sz val="10"/>
      <color theme="1"/>
      <name val="TH SarabunPSK"/>
      <family val="2"/>
    </font>
    <font>
      <sz val="14"/>
      <name val="Cordia New"/>
      <family val="2"/>
    </font>
    <font>
      <i/>
      <sz val="10"/>
      <name val="Bauhaus 93"/>
      <family val="5"/>
    </font>
    <font>
      <b/>
      <sz val="12"/>
      <name val="TH SarabunPSK"/>
      <family val="2"/>
    </font>
    <font>
      <sz val="12"/>
      <name val="TH KoHo"/>
    </font>
    <font>
      <sz val="12"/>
      <color rgb="FFFF0000"/>
      <name val="TH SarabunPSK"/>
      <family val="2"/>
      <charset val="222"/>
    </font>
    <font>
      <sz val="10"/>
      <color rgb="FFFF0000"/>
      <name val="TH SarabunPSK"/>
      <family val="2"/>
      <charset val="222"/>
    </font>
    <font>
      <i/>
      <sz val="10"/>
      <color rgb="FFFF0000"/>
      <name val="Bauhaus 93"/>
      <family val="5"/>
      <charset val="222"/>
    </font>
    <font>
      <sz val="10"/>
      <name val="TH SarabunPSK"/>
      <family val="2"/>
    </font>
    <font>
      <sz val="8"/>
      <name val="TH SarabunPSK"/>
      <family val="2"/>
    </font>
    <font>
      <b/>
      <sz val="10"/>
      <color theme="1"/>
      <name val="TH SarabunPSK"/>
      <family val="2"/>
    </font>
    <font>
      <sz val="12"/>
      <color rgb="FFFF0000"/>
      <name val="TH SarabunPSK"/>
      <family val="2"/>
    </font>
    <font>
      <b/>
      <sz val="12"/>
      <color rgb="FFFF0000"/>
      <name val="TH SarabunPSK"/>
      <family val="2"/>
    </font>
    <font>
      <sz val="11"/>
      <name val="TH SarabunPSK"/>
      <family val="2"/>
    </font>
    <font>
      <sz val="13"/>
      <name val="Arial"/>
      <family val="2"/>
    </font>
    <font>
      <b/>
      <sz val="13"/>
      <name val="TH SarabunPSK"/>
      <family val="2"/>
    </font>
    <font>
      <sz val="8"/>
      <name val="Tahoma"/>
      <family val="2"/>
      <charset val="222"/>
      <scheme val="minor"/>
    </font>
    <font>
      <sz val="12"/>
      <color rgb="FFC00000"/>
      <name val="TH SarabunPSK"/>
      <family val="2"/>
      <charset val="222"/>
    </font>
    <font>
      <sz val="10"/>
      <color rgb="FFC00000"/>
      <name val="TH SarabunPSK"/>
      <family val="2"/>
      <charset val="222"/>
    </font>
    <font>
      <i/>
      <sz val="10"/>
      <color rgb="FFC00000"/>
      <name val="Bauhaus 93"/>
      <family val="5"/>
      <charset val="222"/>
    </font>
    <font>
      <sz val="14"/>
      <color theme="1"/>
      <name val="TH SarabunPSK"/>
      <family val="2"/>
    </font>
    <font>
      <b/>
      <sz val="18"/>
      <color theme="1"/>
      <name val="TH SarabunPSK"/>
      <family val="2"/>
    </font>
    <font>
      <b/>
      <sz val="18"/>
      <color rgb="FFFF0000"/>
      <name val="TH SarabunPSK"/>
      <family val="2"/>
    </font>
    <font>
      <sz val="16"/>
      <color theme="1"/>
      <name val="TH SarabunPSK"/>
      <family val="2"/>
    </font>
    <font>
      <sz val="11"/>
      <color theme="0" tint="-0.14999847407452621"/>
      <name val="TH SarabunPSK"/>
      <family val="2"/>
    </font>
    <font>
      <sz val="12"/>
      <name val="TH SarabunPSK"/>
      <family val="2"/>
      <charset val="222"/>
    </font>
    <font>
      <sz val="10"/>
      <name val="TH SarabunPSK"/>
      <family val="2"/>
      <charset val="222"/>
    </font>
    <font>
      <i/>
      <sz val="10"/>
      <name val="Bauhaus 93"/>
      <family val="5"/>
      <charset val="222"/>
    </font>
    <font>
      <b/>
      <sz val="18"/>
      <name val="TH SarabunPSK"/>
      <family val="2"/>
      <charset val="222"/>
    </font>
    <font>
      <b/>
      <sz val="14"/>
      <name val="TH SarabunPSK"/>
      <family val="2"/>
      <charset val="222"/>
    </font>
    <font>
      <b/>
      <sz val="16"/>
      <name val="TH SarabunPSK"/>
      <family val="2"/>
      <charset val="222"/>
    </font>
    <font>
      <b/>
      <sz val="16"/>
      <name val="TH SarabunPSK"/>
      <family val="2"/>
    </font>
    <font>
      <b/>
      <sz val="16"/>
      <color theme="1"/>
      <name val="TH SarabunPSK"/>
      <family val="2"/>
      <charset val="222"/>
    </font>
    <font>
      <b/>
      <u/>
      <sz val="16"/>
      <color theme="1"/>
      <name val="TH SarabunPSK"/>
      <family val="2"/>
      <charset val="222"/>
    </font>
    <font>
      <sz val="16"/>
      <color theme="1"/>
      <name val="TH SarabunPSK"/>
      <family val="2"/>
      <charset val="222"/>
    </font>
    <font>
      <sz val="16"/>
      <name val="TH SarabunPSK"/>
      <family val="2"/>
      <charset val="222"/>
    </font>
    <font>
      <sz val="16"/>
      <name val="Arial"/>
      <family val="2"/>
      <charset val="222"/>
    </font>
    <font>
      <sz val="14"/>
      <color theme="1"/>
      <name val="TH SarabunPSK"/>
      <family val="2"/>
      <charset val="222"/>
    </font>
    <font>
      <sz val="12"/>
      <color theme="1"/>
      <name val="TH SarabunPSK"/>
      <family val="2"/>
      <charset val="222"/>
    </font>
    <font>
      <sz val="11"/>
      <color theme="1"/>
      <name val="TH SarabunPSK"/>
      <family val="2"/>
      <charset val="222"/>
    </font>
    <font>
      <sz val="11"/>
      <name val="TH SarabunPSK"/>
      <family val="2"/>
      <charset val="222"/>
    </font>
    <font>
      <sz val="16"/>
      <color rgb="FFFF0000"/>
      <name val="TH SarabunPSK"/>
      <family val="2"/>
    </font>
    <font>
      <b/>
      <sz val="16"/>
      <color rgb="FFFF0000"/>
      <name val="TH SarabunPSK"/>
      <family val="2"/>
    </font>
    <font>
      <sz val="16"/>
      <name val="TH SarabunPSK"/>
      <family val="2"/>
    </font>
    <font>
      <b/>
      <u/>
      <sz val="16"/>
      <color theme="1"/>
      <name val="TH SarabunPSK"/>
      <family val="2"/>
    </font>
    <font>
      <b/>
      <u/>
      <sz val="12"/>
      <name val="TH SarabunPSK"/>
      <family val="2"/>
      <charset val="222"/>
    </font>
    <font>
      <b/>
      <sz val="12"/>
      <name val="TH SarabunPSK"/>
      <family val="2"/>
      <charset val="222"/>
    </font>
    <font>
      <sz val="8"/>
      <name val="TH SarabunPSK"/>
      <family val="2"/>
      <charset val="222"/>
    </font>
    <font>
      <b/>
      <sz val="10"/>
      <name val="TH SarabunPSK"/>
      <family val="2"/>
      <charset val="222"/>
    </font>
    <font>
      <sz val="13"/>
      <name val="Arial"/>
      <family val="2"/>
      <charset val="222"/>
    </font>
    <font>
      <b/>
      <sz val="13"/>
      <name val="TH SarabunPSK"/>
      <family val="2"/>
      <charset val="222"/>
    </font>
    <font>
      <sz val="16"/>
      <color rgb="FF0070C0"/>
      <name val="TH SarabunPSK"/>
      <family val="2"/>
      <charset val="222"/>
    </font>
    <font>
      <i/>
      <sz val="16"/>
      <name val="Bauhaus 93"/>
      <family val="5"/>
      <charset val="22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/>
      </left>
      <right style="thin">
        <color theme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/>
      </left>
      <right style="thin">
        <color theme="1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theme="0" tint="-0.24994659260841701"/>
      </bottom>
      <diagonal/>
    </border>
    <border>
      <left/>
      <right/>
      <top style="thin">
        <color theme="0" tint="-0.34998626667073579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34998626667073579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theme="0" tint="-0.34998626667073579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indexed="64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/>
      <diagonal/>
    </border>
    <border>
      <left style="thin">
        <color indexed="64"/>
      </left>
      <right/>
      <top style="thin">
        <color theme="0" tint="-0.149967955565050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theme="0" tint="-0.34998626667073579"/>
      </bottom>
      <diagonal/>
    </border>
    <border>
      <left style="thin">
        <color indexed="64"/>
      </left>
      <right style="thin">
        <color indexed="64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indexed="64"/>
      </bottom>
      <diagonal/>
    </border>
    <border>
      <left/>
      <right/>
      <top style="thin">
        <color theme="0" tint="-0.1499679555650502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9" fillId="0" borderId="0"/>
  </cellStyleXfs>
  <cellXfs count="579">
    <xf numFmtId="0" fontId="0" fillId="0" borderId="0" xfId="0"/>
    <xf numFmtId="0" fontId="3" fillId="0" borderId="0" xfId="0" applyFont="1"/>
    <xf numFmtId="43" fontId="5" fillId="2" borderId="6" xfId="1" applyFont="1" applyFill="1" applyBorder="1" applyAlignment="1">
      <alignment horizontal="center" vertical="top" wrapText="1"/>
    </xf>
    <xf numFmtId="187" fontId="5" fillId="2" borderId="6" xfId="1" applyNumberFormat="1" applyFont="1" applyFill="1" applyBorder="1" applyAlignment="1">
      <alignment horizontal="center" vertical="top" wrapText="1"/>
    </xf>
    <xf numFmtId="0" fontId="4" fillId="2" borderId="10" xfId="0" applyFont="1" applyFill="1" applyBorder="1" applyAlignment="1">
      <alignment horizontal="center" vertical="center"/>
    </xf>
    <xf numFmtId="0" fontId="4" fillId="0" borderId="11" xfId="0" applyFont="1" applyBorder="1" applyAlignment="1">
      <alignment vertical="top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49" fontId="4" fillId="2" borderId="14" xfId="0" applyNumberFormat="1" applyFont="1" applyFill="1" applyBorder="1" applyAlignment="1">
      <alignment horizontal="center" vertical="center"/>
    </xf>
    <xf numFmtId="187" fontId="4" fillId="2" borderId="14" xfId="1" applyNumberFormat="1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43" fontId="5" fillId="2" borderId="14" xfId="1" applyFont="1" applyFill="1" applyBorder="1" applyAlignment="1">
      <alignment horizontal="center" vertical="top" wrapText="1"/>
    </xf>
    <xf numFmtId="187" fontId="5" fillId="2" borderId="14" xfId="1" applyNumberFormat="1" applyFont="1" applyFill="1" applyBorder="1" applyAlignment="1">
      <alignment horizontal="center" vertical="top" wrapText="1"/>
    </xf>
    <xf numFmtId="49" fontId="6" fillId="3" borderId="15" xfId="0" applyNumberFormat="1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/>
    </xf>
    <xf numFmtId="49" fontId="3" fillId="2" borderId="16" xfId="0" applyNumberFormat="1" applyFont="1" applyFill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49" fontId="3" fillId="0" borderId="15" xfId="0" applyNumberFormat="1" applyFont="1" applyBorder="1" applyAlignment="1">
      <alignment horizontal="center"/>
    </xf>
    <xf numFmtId="43" fontId="3" fillId="0" borderId="19" xfId="1" applyFont="1" applyFill="1" applyBorder="1" applyAlignment="1">
      <alignment horizontal="right"/>
    </xf>
    <xf numFmtId="0" fontId="3" fillId="0" borderId="15" xfId="0" applyFont="1" applyBorder="1" applyAlignment="1">
      <alignment horizontal="left"/>
    </xf>
    <xf numFmtId="187" fontId="3" fillId="0" borderId="15" xfId="1" applyNumberFormat="1" applyFont="1" applyFill="1" applyBorder="1" applyAlignment="1">
      <alignment horizontal="right"/>
    </xf>
    <xf numFmtId="187" fontId="3" fillId="2" borderId="15" xfId="1" applyNumberFormat="1" applyFont="1" applyFill="1" applyBorder="1" applyAlignment="1">
      <alignment horizontal="right"/>
    </xf>
    <xf numFmtId="187" fontId="7" fillId="2" borderId="15" xfId="1" applyNumberFormat="1" applyFont="1" applyFill="1" applyBorder="1" applyAlignment="1">
      <alignment horizontal="right"/>
    </xf>
    <xf numFmtId="0" fontId="8" fillId="2" borderId="15" xfId="0" applyFont="1" applyFill="1" applyBorder="1"/>
    <xf numFmtId="0" fontId="3" fillId="2" borderId="15" xfId="0" applyFont="1" applyFill="1" applyBorder="1" applyAlignment="1">
      <alignment horizont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/>
    </xf>
    <xf numFmtId="49" fontId="3" fillId="0" borderId="15" xfId="0" applyNumberFormat="1" applyFont="1" applyBorder="1" applyAlignment="1">
      <alignment horizontal="center" vertical="center"/>
    </xf>
    <xf numFmtId="43" fontId="3" fillId="0" borderId="15" xfId="1" applyFont="1" applyFill="1" applyBorder="1" applyAlignment="1">
      <alignment horizontal="center" vertical="center"/>
    </xf>
    <xf numFmtId="0" fontId="8" fillId="0" borderId="15" xfId="0" applyFont="1" applyBorder="1"/>
    <xf numFmtId="0" fontId="10" fillId="4" borderId="20" xfId="2" applyFont="1" applyFill="1" applyBorder="1" applyAlignment="1">
      <alignment horizontal="center" vertical="top" wrapText="1"/>
    </xf>
    <xf numFmtId="0" fontId="3" fillId="0" borderId="15" xfId="0" applyFont="1" applyBorder="1"/>
    <xf numFmtId="49" fontId="3" fillId="0" borderId="16" xfId="0" applyNumberFormat="1" applyFont="1" applyBorder="1" applyAlignment="1">
      <alignment horizontal="center"/>
    </xf>
    <xf numFmtId="43" fontId="3" fillId="0" borderId="15" xfId="1" applyFont="1" applyFill="1" applyBorder="1" applyAlignment="1">
      <alignment horizontal="right"/>
    </xf>
    <xf numFmtId="0" fontId="3" fillId="2" borderId="15" xfId="0" applyFont="1" applyFill="1" applyBorder="1"/>
    <xf numFmtId="43" fontId="3" fillId="0" borderId="21" xfId="1" applyFont="1" applyFill="1" applyBorder="1" applyAlignment="1">
      <alignment horizontal="right"/>
    </xf>
    <xf numFmtId="0" fontId="11" fillId="2" borderId="15" xfId="0" applyFont="1" applyFill="1" applyBorder="1" applyAlignment="1">
      <alignment horizontal="center" vertical="top" wrapText="1"/>
    </xf>
    <xf numFmtId="43" fontId="4" fillId="0" borderId="22" xfId="1" applyFont="1" applyFill="1" applyBorder="1" applyAlignment="1">
      <alignment horizontal="right"/>
    </xf>
    <xf numFmtId="0" fontId="12" fillId="0" borderId="15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left" vertical="top" wrapText="1"/>
    </xf>
    <xf numFmtId="0" fontId="3" fillId="2" borderId="15" xfId="0" applyFont="1" applyFill="1" applyBorder="1" applyAlignment="1">
      <alignment vertical="top"/>
    </xf>
    <xf numFmtId="49" fontId="3" fillId="2" borderId="16" xfId="0" applyNumberFormat="1" applyFont="1" applyFill="1" applyBorder="1" applyAlignment="1">
      <alignment horizontal="center" vertical="top"/>
    </xf>
    <xf numFmtId="0" fontId="3" fillId="0" borderId="17" xfId="0" applyFont="1" applyBorder="1" applyAlignment="1">
      <alignment horizontal="center" vertical="top"/>
    </xf>
    <xf numFmtId="49" fontId="3" fillId="0" borderId="18" xfId="0" applyNumberFormat="1" applyFont="1" applyBorder="1" applyAlignment="1">
      <alignment horizontal="center" vertical="top"/>
    </xf>
    <xf numFmtId="49" fontId="3" fillId="0" borderId="15" xfId="0" applyNumberFormat="1" applyFont="1" applyBorder="1" applyAlignment="1">
      <alignment horizontal="center" vertical="top"/>
    </xf>
    <xf numFmtId="43" fontId="3" fillId="0" borderId="15" xfId="1" applyFont="1" applyFill="1" applyBorder="1" applyAlignment="1">
      <alignment horizontal="right" vertical="top"/>
    </xf>
    <xf numFmtId="0" fontId="8" fillId="0" borderId="15" xfId="0" applyFont="1" applyBorder="1" applyAlignment="1">
      <alignment vertical="top"/>
    </xf>
    <xf numFmtId="187" fontId="3" fillId="2" borderId="15" xfId="1" applyNumberFormat="1" applyFont="1" applyFill="1" applyBorder="1" applyAlignment="1">
      <alignment horizontal="right" vertical="top"/>
    </xf>
    <xf numFmtId="43" fontId="4" fillId="0" borderId="22" xfId="1" applyFont="1" applyFill="1" applyBorder="1" applyAlignment="1">
      <alignment horizontal="right" vertical="top"/>
    </xf>
    <xf numFmtId="49" fontId="6" fillId="3" borderId="15" xfId="0" applyNumberFormat="1" applyFont="1" applyFill="1" applyBorder="1" applyAlignment="1">
      <alignment horizontal="center" vertical="top"/>
    </xf>
    <xf numFmtId="0" fontId="6" fillId="3" borderId="15" xfId="0" applyFont="1" applyFill="1" applyBorder="1" applyAlignment="1">
      <alignment horizontal="center" vertical="top"/>
    </xf>
    <xf numFmtId="43" fontId="3" fillId="0" borderId="19" xfId="1" applyFont="1" applyFill="1" applyBorder="1" applyAlignment="1">
      <alignment horizontal="right" vertical="top"/>
    </xf>
    <xf numFmtId="0" fontId="3" fillId="2" borderId="15" xfId="0" applyFont="1" applyFill="1" applyBorder="1" applyAlignment="1">
      <alignment vertical="top" wrapText="1"/>
    </xf>
    <xf numFmtId="0" fontId="8" fillId="2" borderId="15" xfId="0" applyFont="1" applyFill="1" applyBorder="1" applyAlignment="1">
      <alignment vertical="top"/>
    </xf>
    <xf numFmtId="43" fontId="3" fillId="0" borderId="21" xfId="1" applyFont="1" applyFill="1" applyBorder="1" applyAlignment="1">
      <alignment horizontal="right" vertical="top"/>
    </xf>
    <xf numFmtId="0" fontId="3" fillId="2" borderId="15" xfId="0" applyFont="1" applyFill="1" applyBorder="1" applyAlignment="1">
      <alignment horizontal="center" vertical="top"/>
    </xf>
    <xf numFmtId="0" fontId="5" fillId="2" borderId="15" xfId="0" applyFont="1" applyFill="1" applyBorder="1" applyAlignment="1">
      <alignment horizontal="left"/>
    </xf>
    <xf numFmtId="43" fontId="3" fillId="0" borderId="15" xfId="1" applyFont="1" applyFill="1" applyBorder="1" applyAlignment="1">
      <alignment horizontal="center"/>
    </xf>
    <xf numFmtId="0" fontId="8" fillId="0" borderId="15" xfId="0" applyFont="1" applyBorder="1" applyAlignment="1">
      <alignment horizontal="left"/>
    </xf>
    <xf numFmtId="187" fontId="3" fillId="2" borderId="15" xfId="1" applyNumberFormat="1" applyFont="1" applyFill="1" applyBorder="1" applyAlignment="1">
      <alignment horizontal="center"/>
    </xf>
    <xf numFmtId="43" fontId="3" fillId="0" borderId="21" xfId="1" applyFont="1" applyFill="1" applyBorder="1" applyAlignment="1">
      <alignment horizontal="center"/>
    </xf>
    <xf numFmtId="43" fontId="4" fillId="0" borderId="22" xfId="1" applyFont="1" applyFill="1" applyBorder="1" applyAlignment="1">
      <alignment horizontal="center"/>
    </xf>
    <xf numFmtId="0" fontId="5" fillId="2" borderId="15" xfId="0" applyFont="1" applyFill="1" applyBorder="1" applyAlignment="1">
      <alignment horizontal="left" vertical="top" wrapText="1"/>
    </xf>
    <xf numFmtId="49" fontId="5" fillId="2" borderId="16" xfId="0" applyNumberFormat="1" applyFont="1" applyFill="1" applyBorder="1" applyAlignment="1">
      <alignment horizontal="center" vertical="top"/>
    </xf>
    <xf numFmtId="49" fontId="5" fillId="0" borderId="17" xfId="0" applyNumberFormat="1" applyFont="1" applyBorder="1" applyAlignment="1">
      <alignment horizontal="center" vertical="top"/>
    </xf>
    <xf numFmtId="49" fontId="5" fillId="0" borderId="18" xfId="0" applyNumberFormat="1" applyFont="1" applyBorder="1" applyAlignment="1">
      <alignment horizontal="center" vertical="top"/>
    </xf>
    <xf numFmtId="43" fontId="5" fillId="0" borderId="15" xfId="1" applyFont="1" applyFill="1" applyBorder="1" applyAlignment="1">
      <alignment horizontal="center" vertical="top"/>
    </xf>
    <xf numFmtId="187" fontId="5" fillId="2" borderId="15" xfId="1" applyNumberFormat="1" applyFont="1" applyFill="1" applyBorder="1" applyAlignment="1">
      <alignment horizontal="center" vertical="top"/>
    </xf>
    <xf numFmtId="0" fontId="16" fillId="2" borderId="15" xfId="0" applyFont="1" applyFill="1" applyBorder="1" applyAlignment="1">
      <alignment vertical="top"/>
    </xf>
    <xf numFmtId="43" fontId="5" fillId="0" borderId="21" xfId="1" applyFont="1" applyFill="1" applyBorder="1" applyAlignment="1">
      <alignment horizontal="center" vertical="top"/>
    </xf>
    <xf numFmtId="0" fontId="17" fillId="2" borderId="15" xfId="0" applyFont="1" applyFill="1" applyBorder="1" applyAlignment="1">
      <alignment vertical="top"/>
    </xf>
    <xf numFmtId="43" fontId="11" fillId="0" borderId="22" xfId="1" applyFont="1" applyFill="1" applyBorder="1" applyAlignment="1">
      <alignment horizontal="center" vertical="top"/>
    </xf>
    <xf numFmtId="0" fontId="16" fillId="0" borderId="15" xfId="0" applyFont="1" applyBorder="1" applyAlignment="1">
      <alignment horizontal="left" vertical="top"/>
    </xf>
    <xf numFmtId="0" fontId="11" fillId="0" borderId="20" xfId="0" applyFont="1" applyBorder="1" applyAlignment="1">
      <alignment horizontal="center"/>
    </xf>
    <xf numFmtId="0" fontId="11" fillId="0" borderId="23" xfId="0" applyFont="1" applyBorder="1"/>
    <xf numFmtId="49" fontId="3" fillId="0" borderId="17" xfId="0" applyNumberFormat="1" applyFont="1" applyBorder="1" applyAlignment="1">
      <alignment horizontal="center"/>
    </xf>
    <xf numFmtId="187" fontId="3" fillId="0" borderId="19" xfId="1" applyNumberFormat="1" applyFont="1" applyFill="1" applyBorder="1" applyAlignment="1">
      <alignment horizontal="right"/>
    </xf>
    <xf numFmtId="43" fontId="3" fillId="0" borderId="15" xfId="0" applyNumberFormat="1" applyFont="1" applyBorder="1"/>
    <xf numFmtId="0" fontId="16" fillId="0" borderId="15" xfId="0" applyFont="1" applyBorder="1" applyAlignment="1">
      <alignment horizontal="left" vertical="top" wrapText="1"/>
    </xf>
    <xf numFmtId="0" fontId="4" fillId="2" borderId="24" xfId="0" applyFont="1" applyFill="1" applyBorder="1" applyAlignment="1">
      <alignment horizontal="center" vertical="center"/>
    </xf>
    <xf numFmtId="43" fontId="3" fillId="0" borderId="19" xfId="1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 vertical="top"/>
    </xf>
    <xf numFmtId="49" fontId="5" fillId="0" borderId="15" xfId="0" applyNumberFormat="1" applyFont="1" applyBorder="1" applyAlignment="1">
      <alignment horizontal="center" vertical="top"/>
    </xf>
    <xf numFmtId="0" fontId="11" fillId="0" borderId="25" xfId="0" applyFont="1" applyBorder="1" applyAlignment="1">
      <alignment horizontal="center"/>
    </xf>
    <xf numFmtId="0" fontId="4" fillId="0" borderId="23" xfId="0" applyFont="1" applyBorder="1"/>
    <xf numFmtId="0" fontId="3" fillId="0" borderId="15" xfId="0" applyFont="1" applyBorder="1" applyAlignment="1">
      <alignment vertical="top" wrapText="1"/>
    </xf>
    <xf numFmtId="0" fontId="3" fillId="0" borderId="16" xfId="0" applyFont="1" applyBorder="1" applyAlignment="1">
      <alignment horizontal="center" vertical="top"/>
    </xf>
    <xf numFmtId="0" fontId="3" fillId="2" borderId="26" xfId="0" applyFont="1" applyFill="1" applyBorder="1" applyAlignment="1">
      <alignment horizontal="center" vertical="top"/>
    </xf>
    <xf numFmtId="0" fontId="3" fillId="2" borderId="26" xfId="0" applyFont="1" applyFill="1" applyBorder="1" applyAlignment="1">
      <alignment horizontal="left" vertical="top" wrapText="1"/>
    </xf>
    <xf numFmtId="49" fontId="3" fillId="2" borderId="27" xfId="0" applyNumberFormat="1" applyFont="1" applyFill="1" applyBorder="1" applyAlignment="1">
      <alignment horizontal="center" vertical="top"/>
    </xf>
    <xf numFmtId="49" fontId="3" fillId="0" borderId="28" xfId="0" applyNumberFormat="1" applyFont="1" applyBorder="1" applyAlignment="1">
      <alignment horizontal="center" vertical="top"/>
    </xf>
    <xf numFmtId="49" fontId="3" fillId="0" borderId="26" xfId="0" applyNumberFormat="1" applyFont="1" applyBorder="1" applyAlignment="1">
      <alignment horizontal="center" vertical="top"/>
    </xf>
    <xf numFmtId="43" fontId="3" fillId="0" borderId="29" xfId="1" applyFont="1" applyFill="1" applyBorder="1" applyAlignment="1">
      <alignment horizontal="right" vertical="top"/>
    </xf>
    <xf numFmtId="0" fontId="8" fillId="0" borderId="26" xfId="0" applyFont="1" applyBorder="1" applyAlignment="1">
      <alignment horizontal="left" vertical="top"/>
    </xf>
    <xf numFmtId="0" fontId="5" fillId="2" borderId="26" xfId="0" applyFont="1" applyFill="1" applyBorder="1" applyAlignment="1">
      <alignment horizontal="left" vertical="top" wrapText="1"/>
    </xf>
    <xf numFmtId="187" fontId="3" fillId="2" borderId="26" xfId="1" applyNumberFormat="1" applyFont="1" applyFill="1" applyBorder="1" applyAlignment="1">
      <alignment horizontal="right" vertical="top"/>
    </xf>
    <xf numFmtId="43" fontId="3" fillId="2" borderId="26" xfId="1" applyFont="1" applyFill="1" applyBorder="1" applyAlignment="1">
      <alignment horizontal="right" vertical="top"/>
    </xf>
    <xf numFmtId="187" fontId="7" fillId="2" borderId="26" xfId="1" applyNumberFormat="1" applyFont="1" applyFill="1" applyBorder="1" applyAlignment="1">
      <alignment horizontal="right" vertical="top"/>
    </xf>
    <xf numFmtId="187" fontId="8" fillId="2" borderId="26" xfId="1" applyNumberFormat="1" applyFont="1" applyFill="1" applyBorder="1" applyAlignment="1">
      <alignment horizontal="left" vertical="top"/>
    </xf>
    <xf numFmtId="49" fontId="3" fillId="2" borderId="17" xfId="0" applyNumberFormat="1" applyFont="1" applyFill="1" applyBorder="1" applyAlignment="1">
      <alignment horizontal="center" vertical="top"/>
    </xf>
    <xf numFmtId="0" fontId="8" fillId="0" borderId="17" xfId="0" applyFont="1" applyBorder="1" applyAlignment="1">
      <alignment horizontal="left" vertical="top"/>
    </xf>
    <xf numFmtId="187" fontId="8" fillId="2" borderId="26" xfId="1" applyNumberFormat="1" applyFont="1" applyFill="1" applyBorder="1" applyAlignment="1">
      <alignment horizontal="right" vertical="top"/>
    </xf>
    <xf numFmtId="0" fontId="4" fillId="2" borderId="17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left"/>
    </xf>
    <xf numFmtId="43" fontId="4" fillId="0" borderId="19" xfId="0" applyNumberFormat="1" applyFont="1" applyBorder="1" applyAlignment="1">
      <alignment horizontal="center" vertical="center"/>
    </xf>
    <xf numFmtId="43" fontId="16" fillId="0" borderId="15" xfId="1" applyFont="1" applyFill="1" applyBorder="1" applyAlignment="1">
      <alignment horizontal="center" vertical="top" wrapText="1"/>
    </xf>
    <xf numFmtId="187" fontId="4" fillId="0" borderId="15" xfId="1" applyNumberFormat="1" applyFont="1" applyFill="1" applyBorder="1" applyAlignment="1">
      <alignment horizontal="center" vertical="center"/>
    </xf>
    <xf numFmtId="43" fontId="5" fillId="2" borderId="15" xfId="1" applyFont="1" applyFill="1" applyBorder="1" applyAlignment="1">
      <alignment horizontal="center" vertical="top" wrapText="1"/>
    </xf>
    <xf numFmtId="187" fontId="5" fillId="2" borderId="15" xfId="1" applyNumberFormat="1" applyFont="1" applyFill="1" applyBorder="1" applyAlignment="1">
      <alignment horizontal="center" vertical="top" wrapText="1"/>
    </xf>
    <xf numFmtId="0" fontId="18" fillId="2" borderId="18" xfId="0" applyFont="1" applyFill="1" applyBorder="1" applyAlignment="1">
      <alignment horizontal="center" vertical="center"/>
    </xf>
    <xf numFmtId="49" fontId="5" fillId="2" borderId="16" xfId="0" applyNumberFormat="1" applyFont="1" applyFill="1" applyBorder="1" applyAlignment="1">
      <alignment horizontal="center"/>
    </xf>
    <xf numFmtId="49" fontId="5" fillId="0" borderId="17" xfId="0" applyNumberFormat="1" applyFont="1" applyBorder="1" applyAlignment="1">
      <alignment horizontal="center"/>
    </xf>
    <xf numFmtId="49" fontId="5" fillId="0" borderId="18" xfId="0" applyNumberFormat="1" applyFont="1" applyBorder="1" applyAlignment="1">
      <alignment horizontal="center"/>
    </xf>
    <xf numFmtId="49" fontId="5" fillId="0" borderId="15" xfId="0" applyNumberFormat="1" applyFont="1" applyBorder="1" applyAlignment="1">
      <alignment horizontal="center"/>
    </xf>
    <xf numFmtId="43" fontId="5" fillId="0" borderId="19" xfId="1" applyFont="1" applyFill="1" applyBorder="1" applyAlignment="1">
      <alignment horizontal="center"/>
    </xf>
    <xf numFmtId="187" fontId="5" fillId="2" borderId="15" xfId="1" applyNumberFormat="1" applyFont="1" applyFill="1" applyBorder="1" applyAlignment="1">
      <alignment horizontal="center"/>
    </xf>
    <xf numFmtId="0" fontId="16" fillId="2" borderId="15" xfId="0" applyFont="1" applyFill="1" applyBorder="1"/>
    <xf numFmtId="0" fontId="3" fillId="2" borderId="15" xfId="0" applyFont="1" applyFill="1" applyBorder="1" applyAlignment="1">
      <alignment wrapText="1"/>
    </xf>
    <xf numFmtId="0" fontId="5" fillId="2" borderId="15" xfId="0" applyFont="1" applyFill="1" applyBorder="1" applyAlignment="1">
      <alignment vertical="top" wrapText="1"/>
    </xf>
    <xf numFmtId="0" fontId="8" fillId="0" borderId="15" xfId="0" applyFont="1" applyBorder="1" applyAlignment="1">
      <alignment horizontal="left" vertical="top"/>
    </xf>
    <xf numFmtId="0" fontId="3" fillId="0" borderId="15" xfId="0" applyFont="1" applyBorder="1" applyAlignment="1">
      <alignment horizontal="left" wrapText="1"/>
    </xf>
    <xf numFmtId="0" fontId="5" fillId="0" borderId="17" xfId="0" applyFont="1" applyBorder="1" applyAlignment="1">
      <alignment horizontal="center"/>
    </xf>
    <xf numFmtId="0" fontId="16" fillId="0" borderId="15" xfId="0" applyFont="1" applyBorder="1" applyAlignment="1">
      <alignment horizontal="left" vertical="center"/>
    </xf>
    <xf numFmtId="187" fontId="3" fillId="2" borderId="15" xfId="1" applyNumberFormat="1" applyFont="1" applyFill="1" applyBorder="1" applyAlignment="1">
      <alignment horizontal="left"/>
    </xf>
    <xf numFmtId="0" fontId="5" fillId="0" borderId="15" xfId="0" applyFont="1" applyBorder="1" applyAlignment="1">
      <alignment horizontal="left"/>
    </xf>
    <xf numFmtId="0" fontId="8" fillId="2" borderId="15" xfId="0" applyFont="1" applyFill="1" applyBorder="1" applyAlignment="1">
      <alignment horizontal="left"/>
    </xf>
    <xf numFmtId="0" fontId="13" fillId="0" borderId="15" xfId="0" applyFont="1" applyBorder="1" applyAlignment="1">
      <alignment horizontal="left"/>
    </xf>
    <xf numFmtId="49" fontId="13" fillId="2" borderId="16" xfId="0" applyNumberFormat="1" applyFont="1" applyFill="1" applyBorder="1" applyAlignment="1">
      <alignment horizontal="center"/>
    </xf>
    <xf numFmtId="0" fontId="13" fillId="0" borderId="17" xfId="0" applyFont="1" applyBorder="1" applyAlignment="1">
      <alignment horizontal="center"/>
    </xf>
    <xf numFmtId="49" fontId="13" fillId="0" borderId="18" xfId="0" applyNumberFormat="1" applyFont="1" applyBorder="1" applyAlignment="1">
      <alignment horizontal="center"/>
    </xf>
    <xf numFmtId="49" fontId="13" fillId="0" borderId="15" xfId="0" applyNumberFormat="1" applyFont="1" applyBorder="1" applyAlignment="1">
      <alignment horizontal="center"/>
    </xf>
    <xf numFmtId="43" fontId="13" fillId="0" borderId="15" xfId="1" applyFont="1" applyFill="1" applyBorder="1" applyAlignment="1">
      <alignment horizontal="right"/>
    </xf>
    <xf numFmtId="0" fontId="14" fillId="0" borderId="15" xfId="0" applyFont="1" applyBorder="1" applyAlignment="1">
      <alignment horizontal="left" vertical="center"/>
    </xf>
    <xf numFmtId="0" fontId="15" fillId="4" borderId="20" xfId="2" applyFont="1" applyFill="1" applyBorder="1" applyAlignment="1">
      <alignment horizontal="center" vertical="top" wrapText="1"/>
    </xf>
    <xf numFmtId="187" fontId="13" fillId="2" borderId="15" xfId="1" applyNumberFormat="1" applyFont="1" applyFill="1" applyBorder="1" applyAlignment="1">
      <alignment horizontal="right"/>
    </xf>
    <xf numFmtId="0" fontId="14" fillId="2" borderId="15" xfId="0" applyFont="1" applyFill="1" applyBorder="1" applyAlignment="1">
      <alignment horizontal="left"/>
    </xf>
    <xf numFmtId="43" fontId="13" fillId="0" borderId="21" xfId="1" applyFont="1" applyFill="1" applyBorder="1" applyAlignment="1">
      <alignment horizontal="right"/>
    </xf>
    <xf numFmtId="43" fontId="4" fillId="0" borderId="30" xfId="1" applyFont="1" applyFill="1" applyBorder="1" applyAlignment="1">
      <alignment horizontal="right"/>
    </xf>
    <xf numFmtId="0" fontId="21" fillId="0" borderId="15" xfId="0" applyFont="1" applyBorder="1" applyAlignment="1">
      <alignment horizontal="left" vertical="center"/>
    </xf>
    <xf numFmtId="0" fontId="22" fillId="0" borderId="6" xfId="0" applyFont="1" applyBorder="1"/>
    <xf numFmtId="0" fontId="23" fillId="0" borderId="6" xfId="0" applyFont="1" applyBorder="1" applyAlignment="1">
      <alignment horizontal="center"/>
    </xf>
    <xf numFmtId="49" fontId="22" fillId="0" borderId="31" xfId="0" applyNumberFormat="1" applyFont="1" applyBorder="1" applyAlignment="1">
      <alignment horizontal="center"/>
    </xf>
    <xf numFmtId="49" fontId="22" fillId="0" borderId="32" xfId="0" applyNumberFormat="1" applyFont="1" applyBorder="1" applyAlignment="1">
      <alignment horizontal="center"/>
    </xf>
    <xf numFmtId="49" fontId="22" fillId="0" borderId="33" xfId="0" applyNumberFormat="1" applyFont="1" applyBorder="1" applyAlignment="1">
      <alignment horizontal="center"/>
    </xf>
    <xf numFmtId="0" fontId="22" fillId="0" borderId="6" xfId="0" applyFont="1" applyBorder="1" applyAlignment="1">
      <alignment horizontal="center"/>
    </xf>
    <xf numFmtId="43" fontId="23" fillId="0" borderId="34" xfId="0" applyNumberFormat="1" applyFont="1" applyBorder="1"/>
    <xf numFmtId="187" fontId="23" fillId="0" borderId="6" xfId="0" applyNumberFormat="1" applyFont="1" applyBorder="1" applyAlignment="1">
      <alignment horizontal="center"/>
    </xf>
    <xf numFmtId="0" fontId="25" fillId="0" borderId="15" xfId="0" applyFont="1" applyBorder="1" applyAlignment="1">
      <alignment horizontal="left"/>
    </xf>
    <xf numFmtId="49" fontId="25" fillId="2" borderId="16" xfId="0" applyNumberFormat="1" applyFont="1" applyFill="1" applyBorder="1" applyAlignment="1">
      <alignment horizontal="center"/>
    </xf>
    <xf numFmtId="0" fontId="25" fillId="0" borderId="17" xfId="0" applyFont="1" applyBorder="1" applyAlignment="1">
      <alignment horizontal="center"/>
    </xf>
    <xf numFmtId="49" fontId="25" fillId="0" borderId="18" xfId="0" applyNumberFormat="1" applyFont="1" applyBorder="1" applyAlignment="1">
      <alignment horizontal="center"/>
    </xf>
    <xf numFmtId="49" fontId="25" fillId="0" borderId="15" xfId="0" applyNumberFormat="1" applyFont="1" applyBorder="1" applyAlignment="1">
      <alignment horizontal="center"/>
    </xf>
    <xf numFmtId="43" fontId="25" fillId="0" borderId="15" xfId="1" applyFont="1" applyFill="1" applyBorder="1" applyAlignment="1">
      <alignment horizontal="right"/>
    </xf>
    <xf numFmtId="0" fontId="26" fillId="0" borderId="15" xfId="0" applyFont="1" applyBorder="1" applyAlignment="1">
      <alignment horizontal="left" vertical="center"/>
    </xf>
    <xf numFmtId="0" fontId="27" fillId="4" borderId="20" xfId="2" applyFont="1" applyFill="1" applyBorder="1" applyAlignment="1">
      <alignment horizontal="center" vertical="top" wrapText="1"/>
    </xf>
    <xf numFmtId="187" fontId="25" fillId="2" borderId="15" xfId="1" applyNumberFormat="1" applyFont="1" applyFill="1" applyBorder="1" applyAlignment="1">
      <alignment horizontal="right"/>
    </xf>
    <xf numFmtId="0" fontId="26" fillId="2" borderId="15" xfId="0" applyFont="1" applyFill="1" applyBorder="1" applyAlignment="1">
      <alignment horizontal="left"/>
    </xf>
    <xf numFmtId="0" fontId="25" fillId="0" borderId="0" xfId="0" applyFont="1"/>
    <xf numFmtId="187" fontId="25" fillId="2" borderId="15" xfId="1" applyNumberFormat="1" applyFont="1" applyFill="1" applyBorder="1" applyAlignment="1">
      <alignment horizontal="left"/>
    </xf>
    <xf numFmtId="0" fontId="26" fillId="2" borderId="15" xfId="0" applyFont="1" applyFill="1" applyBorder="1"/>
    <xf numFmtId="43" fontId="25" fillId="0" borderId="21" xfId="1" applyFont="1" applyFill="1" applyBorder="1" applyAlignment="1">
      <alignment horizontal="right"/>
    </xf>
    <xf numFmtId="0" fontId="26" fillId="0" borderId="15" xfId="0" applyFont="1" applyBorder="1"/>
    <xf numFmtId="0" fontId="8" fillId="3" borderId="15" xfId="0" applyFont="1" applyFill="1" applyBorder="1"/>
    <xf numFmtId="43" fontId="21" fillId="2" borderId="6" xfId="1" applyFont="1" applyFill="1" applyBorder="1" applyAlignment="1">
      <alignment horizontal="center" vertical="top" wrapText="1"/>
    </xf>
    <xf numFmtId="187" fontId="21" fillId="2" borderId="6" xfId="1" applyNumberFormat="1" applyFont="1" applyFill="1" applyBorder="1" applyAlignment="1">
      <alignment horizontal="center" vertical="top" wrapText="1"/>
    </xf>
    <xf numFmtId="0" fontId="4" fillId="2" borderId="35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49" fontId="3" fillId="2" borderId="35" xfId="0" applyNumberFormat="1" applyFont="1" applyFill="1" applyBorder="1" applyAlignment="1">
      <alignment horizontal="center" vertical="center"/>
    </xf>
    <xf numFmtId="187" fontId="3" fillId="2" borderId="35" xfId="1" applyNumberFormat="1" applyFont="1" applyFill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43" fontId="5" fillId="2" borderId="35" xfId="1" applyFont="1" applyFill="1" applyBorder="1" applyAlignment="1">
      <alignment horizontal="center" vertical="top" wrapText="1"/>
    </xf>
    <xf numFmtId="187" fontId="5" fillId="2" borderId="35" xfId="1" applyNumberFormat="1" applyFont="1" applyFill="1" applyBorder="1" applyAlignment="1">
      <alignment horizontal="center" vertical="top" wrapText="1"/>
    </xf>
    <xf numFmtId="49" fontId="6" fillId="3" borderId="37" xfId="0" applyNumberFormat="1" applyFont="1" applyFill="1" applyBorder="1" applyAlignment="1">
      <alignment horizontal="center" vertical="center"/>
    </xf>
    <xf numFmtId="0" fontId="6" fillId="3" borderId="37" xfId="0" applyFont="1" applyFill="1" applyBorder="1" applyAlignment="1">
      <alignment horizontal="center"/>
    </xf>
    <xf numFmtId="0" fontId="4" fillId="2" borderId="38" xfId="0" applyFont="1" applyFill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49" fontId="4" fillId="0" borderId="37" xfId="0" applyNumberFormat="1" applyFont="1" applyBorder="1" applyAlignment="1">
      <alignment horizontal="left"/>
    </xf>
    <xf numFmtId="49" fontId="4" fillId="0" borderId="37" xfId="0" applyNumberFormat="1" applyFont="1" applyBorder="1" applyAlignment="1">
      <alignment horizontal="center" vertical="center"/>
    </xf>
    <xf numFmtId="43" fontId="5" fillId="0" borderId="37" xfId="1" applyFont="1" applyFill="1" applyBorder="1" applyAlignment="1">
      <alignment horizontal="center" vertical="top" wrapText="1"/>
    </xf>
    <xf numFmtId="187" fontId="4" fillId="0" borderId="37" xfId="1" applyNumberFormat="1" applyFont="1" applyFill="1" applyBorder="1" applyAlignment="1">
      <alignment horizontal="center" vertical="center"/>
    </xf>
    <xf numFmtId="43" fontId="5" fillId="2" borderId="37" xfId="1" applyFont="1" applyFill="1" applyBorder="1" applyAlignment="1">
      <alignment horizontal="center" vertical="top" wrapText="1"/>
    </xf>
    <xf numFmtId="187" fontId="5" fillId="2" borderId="37" xfId="1" applyNumberFormat="1" applyFont="1" applyFill="1" applyBorder="1" applyAlignment="1">
      <alignment horizontal="center" vertical="top" wrapText="1"/>
    </xf>
    <xf numFmtId="0" fontId="4" fillId="2" borderId="39" xfId="0" applyFont="1" applyFill="1" applyBorder="1" applyAlignment="1">
      <alignment horizontal="center" vertical="center"/>
    </xf>
    <xf numFmtId="187" fontId="3" fillId="0" borderId="15" xfId="1" applyNumberFormat="1" applyFont="1" applyFill="1" applyBorder="1" applyAlignment="1">
      <alignment horizontal="center"/>
    </xf>
    <xf numFmtId="187" fontId="3" fillId="0" borderId="21" xfId="1" applyNumberFormat="1" applyFont="1" applyFill="1" applyBorder="1" applyAlignment="1">
      <alignment horizontal="center"/>
    </xf>
    <xf numFmtId="187" fontId="4" fillId="0" borderId="22" xfId="1" applyNumberFormat="1" applyFont="1" applyFill="1" applyBorder="1" applyAlignment="1">
      <alignment horizontal="center"/>
    </xf>
    <xf numFmtId="0" fontId="5" fillId="0" borderId="15" xfId="0" applyFont="1" applyBorder="1" applyAlignment="1">
      <alignment horizontal="center" vertical="top" wrapText="1"/>
    </xf>
    <xf numFmtId="187" fontId="3" fillId="0" borderId="19" xfId="1" applyNumberFormat="1" applyFont="1" applyFill="1" applyBorder="1" applyAlignment="1">
      <alignment horizontal="center"/>
    </xf>
    <xf numFmtId="187" fontId="5" fillId="0" borderId="15" xfId="1" applyNumberFormat="1" applyFont="1" applyFill="1" applyBorder="1" applyAlignment="1">
      <alignment horizontal="center" vertical="top"/>
    </xf>
    <xf numFmtId="0" fontId="5" fillId="0" borderId="15" xfId="0" applyFont="1" applyBorder="1" applyAlignment="1">
      <alignment horizontal="left" vertical="top"/>
    </xf>
    <xf numFmtId="0" fontId="5" fillId="2" borderId="15" xfId="0" applyFont="1" applyFill="1" applyBorder="1" applyAlignment="1">
      <alignment vertical="top"/>
    </xf>
    <xf numFmtId="187" fontId="5" fillId="0" borderId="21" xfId="1" applyNumberFormat="1" applyFont="1" applyFill="1" applyBorder="1" applyAlignment="1">
      <alignment horizontal="center" vertical="top"/>
    </xf>
    <xf numFmtId="187" fontId="11" fillId="0" borderId="22" xfId="1" applyNumberFormat="1" applyFont="1" applyFill="1" applyBorder="1" applyAlignment="1">
      <alignment horizontal="center" vertical="top"/>
    </xf>
    <xf numFmtId="187" fontId="5" fillId="0" borderId="19" xfId="1" applyNumberFormat="1" applyFont="1" applyFill="1" applyBorder="1" applyAlignment="1">
      <alignment horizontal="center"/>
    </xf>
    <xf numFmtId="0" fontId="5" fillId="2" borderId="15" xfId="0" applyFont="1" applyFill="1" applyBorder="1"/>
    <xf numFmtId="187" fontId="3" fillId="0" borderId="21" xfId="1" applyNumberFormat="1" applyFont="1" applyFill="1" applyBorder="1" applyAlignment="1">
      <alignment horizontal="right"/>
    </xf>
    <xf numFmtId="187" fontId="4" fillId="0" borderId="22" xfId="1" applyNumberFormat="1" applyFont="1" applyFill="1" applyBorder="1" applyAlignment="1">
      <alignment horizontal="right"/>
    </xf>
    <xf numFmtId="187" fontId="5" fillId="0" borderId="19" xfId="1" applyNumberFormat="1" applyFont="1" applyFill="1" applyBorder="1" applyAlignment="1">
      <alignment horizontal="center" vertical="top"/>
    </xf>
    <xf numFmtId="0" fontId="5" fillId="2" borderId="15" xfId="0" applyFont="1" applyFill="1" applyBorder="1" applyAlignment="1">
      <alignment horizontal="center"/>
    </xf>
    <xf numFmtId="187" fontId="5" fillId="0" borderId="15" xfId="1" applyNumberFormat="1" applyFont="1" applyFill="1" applyBorder="1" applyAlignment="1">
      <alignment horizontal="center"/>
    </xf>
    <xf numFmtId="187" fontId="5" fillId="0" borderId="21" xfId="1" applyNumberFormat="1" applyFont="1" applyFill="1" applyBorder="1" applyAlignment="1">
      <alignment horizontal="center"/>
    </xf>
    <xf numFmtId="187" fontId="11" fillId="0" borderId="22" xfId="1" applyNumberFormat="1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 vertical="top" wrapText="1"/>
    </xf>
    <xf numFmtId="49" fontId="3" fillId="2" borderId="31" xfId="0" applyNumberFormat="1" applyFont="1" applyFill="1" applyBorder="1" applyAlignment="1">
      <alignment horizontal="center"/>
    </xf>
    <xf numFmtId="0" fontId="3" fillId="0" borderId="32" xfId="0" applyFont="1" applyBorder="1" applyAlignment="1">
      <alignment horizontal="center"/>
    </xf>
    <xf numFmtId="49" fontId="3" fillId="0" borderId="33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187" fontId="4" fillId="0" borderId="40" xfId="1" applyNumberFormat="1" applyFont="1" applyFill="1" applyBorder="1" applyAlignment="1">
      <alignment horizontal="right"/>
    </xf>
    <xf numFmtId="0" fontId="3" fillId="0" borderId="6" xfId="0" applyFont="1" applyBorder="1" applyAlignment="1">
      <alignment horizontal="left"/>
    </xf>
    <xf numFmtId="0" fontId="11" fillId="0" borderId="6" xfId="0" applyFont="1" applyBorder="1" applyAlignment="1">
      <alignment horizontal="center" vertical="top" wrapText="1"/>
    </xf>
    <xf numFmtId="0" fontId="3" fillId="2" borderId="6" xfId="0" applyFont="1" applyFill="1" applyBorder="1"/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8" fillId="0" borderId="0" xfId="0" applyFont="1"/>
    <xf numFmtId="0" fontId="2" fillId="0" borderId="0" xfId="0" applyFont="1" applyAlignment="1">
      <alignment horizontal="left"/>
    </xf>
    <xf numFmtId="0" fontId="31" fillId="0" borderId="6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11" xfId="0" applyFont="1" applyBorder="1"/>
    <xf numFmtId="0" fontId="31" fillId="0" borderId="35" xfId="0" applyFont="1" applyBorder="1" applyAlignment="1">
      <alignment horizontal="center"/>
    </xf>
    <xf numFmtId="187" fontId="31" fillId="0" borderId="35" xfId="1" applyNumberFormat="1" applyFont="1" applyBorder="1"/>
    <xf numFmtId="0" fontId="31" fillId="0" borderId="25" xfId="0" applyFont="1" applyBorder="1" applyAlignment="1">
      <alignment horizontal="center"/>
    </xf>
    <xf numFmtId="0" fontId="31" fillId="0" borderId="23" xfId="0" applyFont="1" applyBorder="1"/>
    <xf numFmtId="0" fontId="31" fillId="0" borderId="20" xfId="0" applyFont="1" applyBorder="1" applyAlignment="1">
      <alignment horizontal="center"/>
    </xf>
    <xf numFmtId="43" fontId="31" fillId="0" borderId="20" xfId="1" applyFont="1" applyBorder="1"/>
    <xf numFmtId="0" fontId="2" fillId="0" borderId="25" xfId="0" applyFont="1" applyBorder="1" applyAlignment="1">
      <alignment horizontal="center"/>
    </xf>
    <xf numFmtId="0" fontId="2" fillId="0" borderId="23" xfId="0" applyFont="1" applyBorder="1"/>
    <xf numFmtId="49" fontId="31" fillId="0" borderId="20" xfId="0" applyNumberFormat="1" applyFont="1" applyBorder="1" applyAlignment="1">
      <alignment horizontal="center"/>
    </xf>
    <xf numFmtId="0" fontId="28" fillId="0" borderId="42" xfId="0" applyFont="1" applyBorder="1"/>
    <xf numFmtId="0" fontId="31" fillId="0" borderId="43" xfId="0" applyFont="1" applyBorder="1" applyAlignment="1">
      <alignment horizontal="center"/>
    </xf>
    <xf numFmtId="0" fontId="31" fillId="0" borderId="44" xfId="0" applyFont="1" applyBorder="1"/>
    <xf numFmtId="49" fontId="31" fillId="0" borderId="45" xfId="0" applyNumberFormat="1" applyFont="1" applyBorder="1" applyAlignment="1">
      <alignment horizontal="center"/>
    </xf>
    <xf numFmtId="0" fontId="31" fillId="0" borderId="45" xfId="0" applyFont="1" applyBorder="1" applyAlignment="1">
      <alignment horizontal="center"/>
    </xf>
    <xf numFmtId="43" fontId="31" fillId="0" borderId="45" xfId="1" applyFont="1" applyBorder="1"/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43" fontId="2" fillId="0" borderId="6" xfId="1" applyFont="1" applyBorder="1"/>
    <xf numFmtId="0" fontId="32" fillId="0" borderId="0" xfId="0" applyFont="1" applyAlignment="1">
      <alignment horizontal="right"/>
    </xf>
    <xf numFmtId="0" fontId="10" fillId="4" borderId="46" xfId="2" applyFont="1" applyFill="1" applyBorder="1" applyAlignment="1">
      <alignment horizontal="center" vertical="top" wrapText="1"/>
    </xf>
    <xf numFmtId="0" fontId="12" fillId="0" borderId="47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left" vertical="top" wrapText="1"/>
    </xf>
    <xf numFmtId="49" fontId="3" fillId="0" borderId="16" xfId="0" applyNumberFormat="1" applyFont="1" applyBorder="1" applyAlignment="1">
      <alignment horizontal="center" vertical="top"/>
    </xf>
    <xf numFmtId="187" fontId="3" fillId="2" borderId="15" xfId="1" applyNumberFormat="1" applyFont="1" applyFill="1" applyBorder="1" applyAlignment="1">
      <alignment horizontal="center" vertical="top"/>
    </xf>
    <xf numFmtId="43" fontId="4" fillId="0" borderId="10" xfId="1" applyFont="1" applyFill="1" applyBorder="1" applyAlignment="1">
      <alignment horizontal="right" vertical="top"/>
    </xf>
    <xf numFmtId="0" fontId="33" fillId="0" borderId="15" xfId="0" applyFont="1" applyBorder="1" applyAlignment="1">
      <alignment horizontal="left" vertical="center"/>
    </xf>
    <xf numFmtId="0" fontId="33" fillId="0" borderId="16" xfId="0" applyFont="1" applyBorder="1" applyAlignment="1">
      <alignment horizontal="center" vertical="center"/>
    </xf>
    <xf numFmtId="0" fontId="33" fillId="0" borderId="17" xfId="0" applyFont="1" applyBorder="1" applyAlignment="1">
      <alignment horizontal="center" vertical="center"/>
    </xf>
    <xf numFmtId="49" fontId="33" fillId="0" borderId="18" xfId="0" applyNumberFormat="1" applyFont="1" applyBorder="1" applyAlignment="1">
      <alignment horizontal="center"/>
    </xf>
    <xf numFmtId="49" fontId="33" fillId="0" borderId="15" xfId="0" applyNumberFormat="1" applyFont="1" applyBorder="1" applyAlignment="1">
      <alignment horizontal="center" vertical="center"/>
    </xf>
    <xf numFmtId="43" fontId="33" fillId="0" borderId="15" xfId="1" applyFont="1" applyFill="1" applyBorder="1" applyAlignment="1">
      <alignment horizontal="center" vertical="center"/>
    </xf>
    <xf numFmtId="0" fontId="34" fillId="0" borderId="15" xfId="0" applyFont="1" applyBorder="1"/>
    <xf numFmtId="0" fontId="35" fillId="0" borderId="20" xfId="2" applyFont="1" applyBorder="1" applyAlignment="1">
      <alignment horizontal="center" vertical="top" wrapText="1"/>
    </xf>
    <xf numFmtId="187" fontId="33" fillId="0" borderId="15" xfId="1" applyNumberFormat="1" applyFont="1" applyFill="1" applyBorder="1" applyAlignment="1">
      <alignment horizontal="right"/>
    </xf>
    <xf numFmtId="49" fontId="33" fillId="0" borderId="15" xfId="0" applyNumberFormat="1" applyFont="1" applyBorder="1" applyAlignment="1">
      <alignment horizontal="center"/>
    </xf>
    <xf numFmtId="0" fontId="33" fillId="0" borderId="0" xfId="0" applyFont="1"/>
    <xf numFmtId="0" fontId="33" fillId="0" borderId="15" xfId="0" applyFont="1" applyBorder="1"/>
    <xf numFmtId="43" fontId="33" fillId="0" borderId="15" xfId="1" applyFont="1" applyFill="1" applyBorder="1" applyAlignment="1">
      <alignment horizontal="right"/>
    </xf>
    <xf numFmtId="43" fontId="33" fillId="0" borderId="21" xfId="1" applyFont="1" applyFill="1" applyBorder="1" applyAlignment="1">
      <alignment horizontal="right"/>
    </xf>
    <xf numFmtId="0" fontId="33" fillId="2" borderId="15" xfId="0" applyFont="1" applyFill="1" applyBorder="1" applyAlignment="1">
      <alignment horizontal="center"/>
    </xf>
    <xf numFmtId="0" fontId="33" fillId="2" borderId="15" xfId="0" applyFont="1" applyFill="1" applyBorder="1" applyAlignment="1">
      <alignment vertical="top"/>
    </xf>
    <xf numFmtId="49" fontId="33" fillId="2" borderId="16" xfId="0" applyNumberFormat="1" applyFont="1" applyFill="1" applyBorder="1" applyAlignment="1">
      <alignment horizontal="center" vertical="top"/>
    </xf>
    <xf numFmtId="0" fontId="33" fillId="0" borderId="17" xfId="0" applyFont="1" applyBorder="1" applyAlignment="1">
      <alignment horizontal="center" vertical="top"/>
    </xf>
    <xf numFmtId="49" fontId="33" fillId="0" borderId="18" xfId="0" applyNumberFormat="1" applyFont="1" applyBorder="1" applyAlignment="1">
      <alignment horizontal="center" vertical="top"/>
    </xf>
    <xf numFmtId="49" fontId="33" fillId="0" borderId="15" xfId="0" applyNumberFormat="1" applyFont="1" applyBorder="1" applyAlignment="1">
      <alignment horizontal="center" vertical="top"/>
    </xf>
    <xf numFmtId="43" fontId="33" fillId="0" borderId="10" xfId="1" applyFont="1" applyFill="1" applyBorder="1" applyAlignment="1">
      <alignment horizontal="right" vertical="top"/>
    </xf>
    <xf numFmtId="0" fontId="34" fillId="0" borderId="15" xfId="0" applyFont="1" applyBorder="1" applyAlignment="1">
      <alignment vertical="top"/>
    </xf>
    <xf numFmtId="0" fontId="35" fillId="4" borderId="20" xfId="2" applyFont="1" applyFill="1" applyBorder="1" applyAlignment="1">
      <alignment horizontal="center" vertical="top" wrapText="1"/>
    </xf>
    <xf numFmtId="187" fontId="33" fillId="2" borderId="15" xfId="1" applyNumberFormat="1" applyFont="1" applyFill="1" applyBorder="1" applyAlignment="1">
      <alignment horizontal="right" vertical="top"/>
    </xf>
    <xf numFmtId="0" fontId="35" fillId="4" borderId="46" xfId="2" applyFont="1" applyFill="1" applyBorder="1" applyAlignment="1">
      <alignment horizontal="center" vertical="top" wrapText="1"/>
    </xf>
    <xf numFmtId="0" fontId="39" fillId="0" borderId="6" xfId="0" applyFont="1" applyBorder="1" applyAlignment="1">
      <alignment horizontal="center" vertical="center"/>
    </xf>
    <xf numFmtId="0" fontId="40" fillId="2" borderId="10" xfId="0" applyFont="1" applyFill="1" applyBorder="1" applyAlignment="1">
      <alignment horizontal="center" vertical="center"/>
    </xf>
    <xf numFmtId="0" fontId="40" fillId="0" borderId="50" xfId="0" applyFont="1" applyBorder="1" applyAlignment="1">
      <alignment vertical="top"/>
    </xf>
    <xf numFmtId="0" fontId="40" fillId="2" borderId="51" xfId="0" applyFont="1" applyFill="1" applyBorder="1" applyAlignment="1">
      <alignment horizontal="center" vertical="center"/>
    </xf>
    <xf numFmtId="0" fontId="40" fillId="2" borderId="52" xfId="0" applyFont="1" applyFill="1" applyBorder="1" applyAlignment="1">
      <alignment horizontal="center" vertical="center"/>
    </xf>
    <xf numFmtId="49" fontId="41" fillId="3" borderId="15" xfId="0" applyNumberFormat="1" applyFont="1" applyFill="1" applyBorder="1" applyAlignment="1">
      <alignment horizontal="center" vertical="center"/>
    </xf>
    <xf numFmtId="0" fontId="41" fillId="3" borderId="15" xfId="0" applyFont="1" applyFill="1" applyBorder="1" applyAlignment="1">
      <alignment horizontal="center"/>
    </xf>
    <xf numFmtId="49" fontId="42" fillId="2" borderId="16" xfId="0" applyNumberFormat="1" applyFont="1" applyFill="1" applyBorder="1" applyAlignment="1">
      <alignment horizontal="center"/>
    </xf>
    <xf numFmtId="0" fontId="42" fillId="0" borderId="17" xfId="0" applyFont="1" applyBorder="1" applyAlignment="1">
      <alignment horizontal="center"/>
    </xf>
    <xf numFmtId="0" fontId="42" fillId="0" borderId="18" xfId="0" applyFont="1" applyBorder="1" applyAlignment="1">
      <alignment horizontal="center"/>
    </xf>
    <xf numFmtId="0" fontId="42" fillId="2" borderId="15" xfId="0" applyFont="1" applyFill="1" applyBorder="1"/>
    <xf numFmtId="0" fontId="42" fillId="2" borderId="15" xfId="0" applyFont="1" applyFill="1" applyBorder="1" applyAlignment="1">
      <alignment horizontal="center"/>
    </xf>
    <xf numFmtId="0" fontId="42" fillId="0" borderId="15" xfId="0" applyFont="1" applyBorder="1" applyAlignment="1">
      <alignment horizontal="left" vertical="top" wrapText="1"/>
    </xf>
    <xf numFmtId="0" fontId="42" fillId="0" borderId="16" xfId="0" applyFont="1" applyBorder="1" applyAlignment="1">
      <alignment horizontal="center" vertical="center"/>
    </xf>
    <xf numFmtId="0" fontId="42" fillId="0" borderId="17" xfId="0" applyFont="1" applyBorder="1" applyAlignment="1">
      <alignment horizontal="center" vertical="center"/>
    </xf>
    <xf numFmtId="49" fontId="42" fillId="0" borderId="18" xfId="0" applyNumberFormat="1" applyFont="1" applyBorder="1" applyAlignment="1">
      <alignment horizontal="center"/>
    </xf>
    <xf numFmtId="0" fontId="43" fillId="0" borderId="53" xfId="0" applyFont="1" applyBorder="1"/>
    <xf numFmtId="0" fontId="44" fillId="0" borderId="53" xfId="0" applyFont="1" applyBorder="1"/>
    <xf numFmtId="0" fontId="44" fillId="0" borderId="54" xfId="0" applyFont="1" applyBorder="1"/>
    <xf numFmtId="0" fontId="42" fillId="0" borderId="15" xfId="0" applyFont="1" applyBorder="1" applyAlignment="1">
      <alignment vertical="top" wrapText="1"/>
    </xf>
    <xf numFmtId="49" fontId="42" fillId="0" borderId="16" xfId="0" applyNumberFormat="1" applyFont="1" applyBorder="1" applyAlignment="1">
      <alignment horizontal="center"/>
    </xf>
    <xf numFmtId="0" fontId="43" fillId="0" borderId="53" xfId="0" applyFont="1" applyBorder="1" applyAlignment="1">
      <alignment vertical="top" wrapText="1"/>
    </xf>
    <xf numFmtId="0" fontId="44" fillId="0" borderId="53" xfId="0" applyFont="1" applyBorder="1" applyAlignment="1">
      <alignment vertical="top" wrapText="1"/>
    </xf>
    <xf numFmtId="0" fontId="44" fillId="0" borderId="54" xfId="0" applyFont="1" applyBorder="1" applyAlignment="1">
      <alignment vertical="top" wrapText="1"/>
    </xf>
    <xf numFmtId="0" fontId="42" fillId="2" borderId="15" xfId="0" applyFont="1" applyFill="1" applyBorder="1" applyAlignment="1">
      <alignment horizontal="center" vertical="top"/>
    </xf>
    <xf numFmtId="49" fontId="42" fillId="0" borderId="16" xfId="0" applyNumberFormat="1" applyFont="1" applyBorder="1" applyAlignment="1">
      <alignment horizontal="center" vertical="top"/>
    </xf>
    <xf numFmtId="0" fontId="42" fillId="0" borderId="17" xfId="0" applyFont="1" applyBorder="1" applyAlignment="1">
      <alignment horizontal="center" vertical="top"/>
    </xf>
    <xf numFmtId="49" fontId="42" fillId="0" borderId="18" xfId="0" applyNumberFormat="1" applyFont="1" applyBorder="1" applyAlignment="1">
      <alignment horizontal="center" vertical="top"/>
    </xf>
    <xf numFmtId="0" fontId="42" fillId="2" borderId="15" xfId="0" applyFont="1" applyFill="1" applyBorder="1" applyAlignment="1">
      <alignment vertical="top" wrapText="1"/>
    </xf>
    <xf numFmtId="0" fontId="43" fillId="0" borderId="54" xfId="0" applyFont="1" applyBorder="1" applyAlignment="1">
      <alignment vertical="top" wrapText="1"/>
    </xf>
    <xf numFmtId="0" fontId="38" fillId="2" borderId="15" xfId="0" applyFont="1" applyFill="1" applyBorder="1" applyAlignment="1">
      <alignment horizontal="center" vertical="top" wrapText="1"/>
    </xf>
    <xf numFmtId="0" fontId="41" fillId="3" borderId="15" xfId="0" applyFont="1" applyFill="1" applyBorder="1" applyAlignment="1">
      <alignment horizontal="center" vertical="top" wrapText="1"/>
    </xf>
    <xf numFmtId="49" fontId="42" fillId="2" borderId="16" xfId="0" applyNumberFormat="1" applyFont="1" applyFill="1" applyBorder="1" applyAlignment="1">
      <alignment horizontal="center" vertical="top"/>
    </xf>
    <xf numFmtId="0" fontId="42" fillId="2" borderId="15" xfId="0" applyFont="1" applyFill="1" applyBorder="1" applyAlignment="1">
      <alignment vertical="top"/>
    </xf>
    <xf numFmtId="0" fontId="45" fillId="2" borderId="15" xfId="0" applyFont="1" applyFill="1" applyBorder="1" applyAlignment="1">
      <alignment vertical="top"/>
    </xf>
    <xf numFmtId="49" fontId="41" fillId="3" borderId="15" xfId="0" applyNumberFormat="1" applyFont="1" applyFill="1" applyBorder="1" applyAlignment="1">
      <alignment horizontal="center" vertical="top"/>
    </xf>
    <xf numFmtId="0" fontId="46" fillId="2" borderId="15" xfId="0" applyFont="1" applyFill="1" applyBorder="1" applyAlignment="1">
      <alignment vertical="top"/>
    </xf>
    <xf numFmtId="49" fontId="42" fillId="0" borderId="15" xfId="0" applyNumberFormat="1" applyFont="1" applyBorder="1" applyAlignment="1">
      <alignment horizontal="center" vertical="top"/>
    </xf>
    <xf numFmtId="0" fontId="43" fillId="2" borderId="15" xfId="0" applyFont="1" applyFill="1" applyBorder="1" applyAlignment="1">
      <alignment horizontal="left" vertical="top" wrapText="1"/>
    </xf>
    <xf numFmtId="0" fontId="47" fillId="2" borderId="15" xfId="0" applyFont="1" applyFill="1" applyBorder="1"/>
    <xf numFmtId="0" fontId="45" fillId="2" borderId="15" xfId="0" applyFont="1" applyFill="1" applyBorder="1"/>
    <xf numFmtId="49" fontId="43" fillId="2" borderId="16" xfId="0" applyNumberFormat="1" applyFont="1" applyFill="1" applyBorder="1" applyAlignment="1">
      <alignment horizontal="center" vertical="top"/>
    </xf>
    <xf numFmtId="49" fontId="43" fillId="0" borderId="17" xfId="0" applyNumberFormat="1" applyFont="1" applyBorder="1" applyAlignment="1">
      <alignment horizontal="center" vertical="top"/>
    </xf>
    <xf numFmtId="49" fontId="43" fillId="0" borderId="18" xfId="0" applyNumberFormat="1" applyFont="1" applyBorder="1" applyAlignment="1">
      <alignment horizontal="center" vertical="top"/>
    </xf>
    <xf numFmtId="0" fontId="48" fillId="2" borderId="15" xfId="0" applyFont="1" applyFill="1" applyBorder="1" applyAlignment="1">
      <alignment vertical="top"/>
    </xf>
    <xf numFmtId="0" fontId="38" fillId="0" borderId="20" xfId="0" applyFont="1" applyBorder="1" applyAlignment="1">
      <alignment horizontal="center"/>
    </xf>
    <xf numFmtId="0" fontId="38" fillId="0" borderId="23" xfId="0" applyFont="1" applyBorder="1" applyAlignment="1">
      <alignment vertical="top" wrapText="1"/>
    </xf>
    <xf numFmtId="49" fontId="42" fillId="0" borderId="17" xfId="0" applyNumberFormat="1" applyFont="1" applyBorder="1" applyAlignment="1">
      <alignment horizontal="center"/>
    </xf>
    <xf numFmtId="0" fontId="40" fillId="2" borderId="24" xfId="0" applyFont="1" applyFill="1" applyBorder="1" applyAlignment="1">
      <alignment horizontal="center" vertical="center"/>
    </xf>
    <xf numFmtId="0" fontId="43" fillId="2" borderId="15" xfId="0" applyFont="1" applyFill="1" applyBorder="1" applyAlignment="1">
      <alignment horizontal="center" vertical="top"/>
    </xf>
    <xf numFmtId="0" fontId="43" fillId="2" borderId="15" xfId="0" applyFont="1" applyFill="1" applyBorder="1" applyAlignment="1">
      <alignment vertical="top"/>
    </xf>
    <xf numFmtId="0" fontId="38" fillId="0" borderId="25" xfId="0" applyFont="1" applyBorder="1" applyAlignment="1">
      <alignment horizontal="center"/>
    </xf>
    <xf numFmtId="0" fontId="40" fillId="0" borderId="23" xfId="0" applyFont="1" applyBorder="1" applyAlignment="1">
      <alignment vertical="top" wrapText="1"/>
    </xf>
    <xf numFmtId="0" fontId="42" fillId="0" borderId="16" xfId="0" applyFont="1" applyBorder="1" applyAlignment="1">
      <alignment horizontal="center" vertical="top"/>
    </xf>
    <xf numFmtId="0" fontId="42" fillId="2" borderId="26" xfId="0" applyFont="1" applyFill="1" applyBorder="1" applyAlignment="1">
      <alignment horizontal="center" vertical="top"/>
    </xf>
    <xf numFmtId="0" fontId="42" fillId="2" borderId="26" xfId="0" applyFont="1" applyFill="1" applyBorder="1" applyAlignment="1">
      <alignment horizontal="left" vertical="top" wrapText="1"/>
    </xf>
    <xf numFmtId="49" fontId="42" fillId="2" borderId="27" xfId="0" applyNumberFormat="1" applyFont="1" applyFill="1" applyBorder="1" applyAlignment="1">
      <alignment horizontal="center" vertical="top"/>
    </xf>
    <xf numFmtId="49" fontId="42" fillId="0" borderId="28" xfId="0" applyNumberFormat="1" applyFont="1" applyBorder="1" applyAlignment="1">
      <alignment horizontal="center" vertical="top"/>
    </xf>
    <xf numFmtId="187" fontId="42" fillId="2" borderId="26" xfId="1" applyNumberFormat="1" applyFont="1" applyFill="1" applyBorder="1" applyAlignment="1">
      <alignment horizontal="left" vertical="top"/>
    </xf>
    <xf numFmtId="49" fontId="42" fillId="2" borderId="17" xfId="0" applyNumberFormat="1" applyFont="1" applyFill="1" applyBorder="1" applyAlignment="1">
      <alignment horizontal="center" vertical="top"/>
    </xf>
    <xf numFmtId="187" fontId="42" fillId="2" borderId="26" xfId="1" applyNumberFormat="1" applyFont="1" applyFill="1" applyBorder="1" applyAlignment="1">
      <alignment horizontal="right" vertical="top"/>
    </xf>
    <xf numFmtId="0" fontId="40" fillId="2" borderId="17" xfId="0" applyFont="1" applyFill="1" applyBorder="1" applyAlignment="1">
      <alignment horizontal="center" vertical="center"/>
    </xf>
    <xf numFmtId="0" fontId="40" fillId="0" borderId="17" xfId="0" applyFont="1" applyBorder="1" applyAlignment="1">
      <alignment horizontal="center" vertical="center"/>
    </xf>
    <xf numFmtId="0" fontId="40" fillId="0" borderId="18" xfId="0" applyFont="1" applyBorder="1" applyAlignment="1">
      <alignment horizontal="center" vertical="center"/>
    </xf>
    <xf numFmtId="0" fontId="40" fillId="2" borderId="18" xfId="0" applyFont="1" applyFill="1" applyBorder="1" applyAlignment="1">
      <alignment horizontal="center" vertical="center"/>
    </xf>
    <xf numFmtId="49" fontId="43" fillId="2" borderId="16" xfId="0" applyNumberFormat="1" applyFont="1" applyFill="1" applyBorder="1" applyAlignment="1">
      <alignment horizontal="center"/>
    </xf>
    <xf numFmtId="49" fontId="43" fillId="0" borderId="17" xfId="0" applyNumberFormat="1" applyFont="1" applyBorder="1" applyAlignment="1">
      <alignment horizontal="center"/>
    </xf>
    <xf numFmtId="49" fontId="43" fillId="0" borderId="18" xfId="0" applyNumberFormat="1" applyFont="1" applyBorder="1" applyAlignment="1">
      <alignment horizontal="center"/>
    </xf>
    <xf numFmtId="0" fontId="43" fillId="2" borderId="15" xfId="0" applyFont="1" applyFill="1" applyBorder="1"/>
    <xf numFmtId="0" fontId="43" fillId="2" borderId="15" xfId="0" applyFont="1" applyFill="1" applyBorder="1" applyAlignment="1">
      <alignment vertical="top" wrapText="1"/>
    </xf>
    <xf numFmtId="0" fontId="43" fillId="0" borderId="17" xfId="0" applyFont="1" applyBorder="1" applyAlignment="1">
      <alignment horizontal="center"/>
    </xf>
    <xf numFmtId="0" fontId="42" fillId="0" borderId="15" xfId="0" applyFont="1" applyBorder="1"/>
    <xf numFmtId="0" fontId="43" fillId="0" borderId="15" xfId="0" applyFont="1" applyBorder="1" applyAlignment="1">
      <alignment horizontal="left" vertical="top" wrapText="1"/>
    </xf>
    <xf numFmtId="0" fontId="42" fillId="2" borderId="15" xfId="0" applyFont="1" applyFill="1" applyBorder="1" applyAlignment="1">
      <alignment horizontal="left"/>
    </xf>
    <xf numFmtId="0" fontId="45" fillId="2" borderId="15" xfId="0" applyFont="1" applyFill="1" applyBorder="1" applyAlignment="1">
      <alignment horizontal="left"/>
    </xf>
    <xf numFmtId="0" fontId="43" fillId="0" borderId="21" xfId="0" applyFont="1" applyBorder="1" applyAlignment="1">
      <alignment horizontal="left" vertical="top" wrapText="1"/>
    </xf>
    <xf numFmtId="49" fontId="42" fillId="2" borderId="57" xfId="0" applyNumberFormat="1" applyFont="1" applyFill="1" applyBorder="1" applyAlignment="1">
      <alignment horizontal="center"/>
    </xf>
    <xf numFmtId="0" fontId="42" fillId="0" borderId="58" xfId="0" applyFont="1" applyBorder="1" applyAlignment="1">
      <alignment horizontal="center"/>
    </xf>
    <xf numFmtId="49" fontId="42" fillId="0" borderId="59" xfId="0" applyNumberFormat="1" applyFont="1" applyBorder="1" applyAlignment="1">
      <alignment horizontal="center"/>
    </xf>
    <xf numFmtId="0" fontId="43" fillId="0" borderId="60" xfId="0" applyFont="1" applyBorder="1" applyAlignment="1">
      <alignment vertical="top" wrapText="1"/>
    </xf>
    <xf numFmtId="0" fontId="44" fillId="0" borderId="60" xfId="0" applyFont="1" applyBorder="1" applyAlignment="1">
      <alignment vertical="top" wrapText="1"/>
    </xf>
    <xf numFmtId="0" fontId="44" fillId="0" borderId="61" xfId="0" applyFont="1" applyBorder="1" applyAlignment="1">
      <alignment vertical="top" wrapText="1"/>
    </xf>
    <xf numFmtId="0" fontId="42" fillId="2" borderId="21" xfId="0" applyFont="1" applyFill="1" applyBorder="1" applyAlignment="1">
      <alignment horizontal="left"/>
    </xf>
    <xf numFmtId="49" fontId="42" fillId="0" borderId="6" xfId="0" applyNumberFormat="1" applyFont="1" applyBorder="1" applyAlignment="1">
      <alignment horizontal="center" vertical="center"/>
    </xf>
    <xf numFmtId="0" fontId="38" fillId="2" borderId="6" xfId="0" applyFont="1" applyFill="1" applyBorder="1" applyAlignment="1">
      <alignment horizontal="center" vertical="top" wrapText="1"/>
    </xf>
    <xf numFmtId="49" fontId="42" fillId="2" borderId="31" xfId="0" applyNumberFormat="1" applyFont="1" applyFill="1" applyBorder="1" applyAlignment="1">
      <alignment horizontal="center"/>
    </xf>
    <xf numFmtId="0" fontId="42" fillId="0" borderId="32" xfId="0" applyFont="1" applyBorder="1" applyAlignment="1">
      <alignment horizontal="center"/>
    </xf>
    <xf numFmtId="49" fontId="42" fillId="0" borderId="33" xfId="0" applyNumberFormat="1" applyFont="1" applyBorder="1" applyAlignment="1">
      <alignment horizontal="center"/>
    </xf>
    <xf numFmtId="0" fontId="42" fillId="2" borderId="6" xfId="0" applyFont="1" applyFill="1" applyBorder="1" applyAlignment="1">
      <alignment horizontal="right"/>
    </xf>
    <xf numFmtId="0" fontId="2" fillId="2" borderId="35" xfId="0" applyFont="1" applyFill="1" applyBorder="1" applyAlignment="1">
      <alignment horizontal="center" vertical="center"/>
    </xf>
    <xf numFmtId="0" fontId="2" fillId="0" borderId="11" xfId="0" applyFont="1" applyBorder="1" applyAlignment="1">
      <alignment vertical="top"/>
    </xf>
    <xf numFmtId="49" fontId="52" fillId="3" borderId="37" xfId="0" applyNumberFormat="1" applyFont="1" applyFill="1" applyBorder="1" applyAlignment="1">
      <alignment horizontal="center" vertical="center"/>
    </xf>
    <xf numFmtId="0" fontId="52" fillId="3" borderId="37" xfId="0" applyFont="1" applyFill="1" applyBorder="1" applyAlignment="1">
      <alignment horizontal="center"/>
    </xf>
    <xf numFmtId="0" fontId="31" fillId="2" borderId="15" xfId="0" applyFont="1" applyFill="1" applyBorder="1" applyAlignment="1">
      <alignment horizontal="center"/>
    </xf>
    <xf numFmtId="0" fontId="51" fillId="2" borderId="15" xfId="0" applyFont="1" applyFill="1" applyBorder="1" applyAlignment="1">
      <alignment horizontal="left" vertical="top" wrapText="1"/>
    </xf>
    <xf numFmtId="0" fontId="39" fillId="2" borderId="15" xfId="0" applyFont="1" applyFill="1" applyBorder="1" applyAlignment="1">
      <alignment horizontal="center" vertical="top" wrapText="1"/>
    </xf>
    <xf numFmtId="49" fontId="52" fillId="3" borderId="15" xfId="0" applyNumberFormat="1" applyFont="1" applyFill="1" applyBorder="1" applyAlignment="1">
      <alignment horizontal="center" vertical="center"/>
    </xf>
    <xf numFmtId="0" fontId="52" fillId="3" borderId="15" xfId="0" applyFont="1" applyFill="1" applyBorder="1" applyAlignment="1">
      <alignment horizontal="center"/>
    </xf>
    <xf numFmtId="0" fontId="51" fillId="2" borderId="15" xfId="0" applyFont="1" applyFill="1" applyBorder="1" applyAlignment="1">
      <alignment horizontal="center" vertical="top"/>
    </xf>
    <xf numFmtId="0" fontId="31" fillId="2" borderId="15" xfId="0" applyFont="1" applyFill="1" applyBorder="1"/>
    <xf numFmtId="0" fontId="51" fillId="2" borderId="15" xfId="0" applyFont="1" applyFill="1" applyBorder="1" applyAlignment="1">
      <alignment horizontal="center"/>
    </xf>
    <xf numFmtId="0" fontId="51" fillId="2" borderId="15" xfId="0" applyFont="1" applyFill="1" applyBorder="1" applyAlignment="1">
      <alignment horizontal="left"/>
    </xf>
    <xf numFmtId="49" fontId="33" fillId="0" borderId="17" xfId="0" applyNumberFormat="1" applyFont="1" applyBorder="1" applyAlignment="1">
      <alignment horizontal="center"/>
    </xf>
    <xf numFmtId="49" fontId="33" fillId="0" borderId="17" xfId="0" applyNumberFormat="1" applyFont="1" applyBorder="1" applyAlignment="1">
      <alignment horizontal="center" vertical="top"/>
    </xf>
    <xf numFmtId="49" fontId="53" fillId="3" borderId="15" xfId="0" applyNumberFormat="1" applyFont="1" applyFill="1" applyBorder="1" applyAlignment="1">
      <alignment horizontal="center" vertical="center"/>
    </xf>
    <xf numFmtId="0" fontId="53" fillId="3" borderId="15" xfId="0" applyFont="1" applyFill="1" applyBorder="1" applyAlignment="1">
      <alignment horizontal="center"/>
    </xf>
    <xf numFmtId="49" fontId="33" fillId="2" borderId="16" xfId="0" applyNumberFormat="1" applyFont="1" applyFill="1" applyBorder="1" applyAlignment="1">
      <alignment horizontal="center"/>
    </xf>
    <xf numFmtId="0" fontId="33" fillId="0" borderId="17" xfId="0" applyFont="1" applyBorder="1" applyAlignment="1">
      <alignment horizontal="center"/>
    </xf>
    <xf numFmtId="43" fontId="33" fillId="0" borderId="19" xfId="1" applyFont="1" applyFill="1" applyBorder="1" applyAlignment="1">
      <alignment horizontal="right"/>
    </xf>
    <xf numFmtId="0" fontId="33" fillId="0" borderId="15" xfId="0" applyFont="1" applyBorder="1" applyAlignment="1">
      <alignment horizontal="left" vertical="top" wrapText="1"/>
    </xf>
    <xf numFmtId="187" fontId="33" fillId="2" borderId="15" xfId="1" applyNumberFormat="1" applyFont="1" applyFill="1" applyBorder="1" applyAlignment="1">
      <alignment horizontal="right"/>
    </xf>
    <xf numFmtId="0" fontId="34" fillId="2" borderId="15" xfId="0" applyFont="1" applyFill="1" applyBorder="1"/>
    <xf numFmtId="0" fontId="33" fillId="0" borderId="15" xfId="0" applyFont="1" applyBorder="1" applyAlignment="1">
      <alignment horizontal="left"/>
    </xf>
    <xf numFmtId="0" fontId="33" fillId="2" borderId="15" xfId="0" applyFont="1" applyFill="1" applyBorder="1" applyAlignment="1">
      <alignment horizontal="left"/>
    </xf>
    <xf numFmtId="43" fontId="33" fillId="0" borderId="15" xfId="1" applyFont="1" applyFill="1" applyBorder="1" applyAlignment="1">
      <alignment horizontal="center"/>
    </xf>
    <xf numFmtId="0" fontId="34" fillId="0" borderId="15" xfId="0" applyFont="1" applyBorder="1" applyAlignment="1">
      <alignment horizontal="left"/>
    </xf>
    <xf numFmtId="187" fontId="33" fillId="2" borderId="15" xfId="1" applyNumberFormat="1" applyFont="1" applyFill="1" applyBorder="1" applyAlignment="1">
      <alignment horizontal="center"/>
    </xf>
    <xf numFmtId="43" fontId="33" fillId="0" borderId="21" xfId="1" applyFont="1" applyFill="1" applyBorder="1" applyAlignment="1">
      <alignment horizontal="center"/>
    </xf>
    <xf numFmtId="49" fontId="33" fillId="0" borderId="16" xfId="0" applyNumberFormat="1" applyFont="1" applyBorder="1" applyAlignment="1">
      <alignment horizontal="center"/>
    </xf>
    <xf numFmtId="0" fontId="33" fillId="2" borderId="15" xfId="0" applyFont="1" applyFill="1" applyBorder="1" applyAlignment="1">
      <alignment horizontal="center" vertical="top"/>
    </xf>
    <xf numFmtId="49" fontId="33" fillId="0" borderId="16" xfId="0" applyNumberFormat="1" applyFont="1" applyBorder="1" applyAlignment="1">
      <alignment horizontal="center" vertical="top"/>
    </xf>
    <xf numFmtId="43" fontId="33" fillId="0" borderId="15" xfId="1" applyFont="1" applyFill="1" applyBorder="1" applyAlignment="1">
      <alignment horizontal="right" vertical="top"/>
    </xf>
    <xf numFmtId="187" fontId="33" fillId="2" borderId="15" xfId="1" applyNumberFormat="1" applyFont="1" applyFill="1" applyBorder="1" applyAlignment="1">
      <alignment horizontal="center" vertical="top"/>
    </xf>
    <xf numFmtId="0" fontId="34" fillId="2" borderId="15" xfId="0" applyFont="1" applyFill="1" applyBorder="1" applyAlignment="1">
      <alignment vertical="top"/>
    </xf>
    <xf numFmtId="0" fontId="54" fillId="2" borderId="15" xfId="0" applyFont="1" applyFill="1" applyBorder="1" applyAlignment="1">
      <alignment horizontal="center" vertical="top" wrapText="1"/>
    </xf>
    <xf numFmtId="43" fontId="54" fillId="0" borderId="22" xfId="1" applyFont="1" applyFill="1" applyBorder="1" applyAlignment="1">
      <alignment horizontal="center"/>
    </xf>
    <xf numFmtId="0" fontId="33" fillId="2" borderId="15" xfId="0" applyFont="1" applyFill="1" applyBorder="1" applyAlignment="1">
      <alignment horizontal="left" vertical="top" wrapText="1"/>
    </xf>
    <xf numFmtId="43" fontId="33" fillId="0" borderId="15" xfId="1" applyFont="1" applyFill="1" applyBorder="1" applyAlignment="1">
      <alignment horizontal="center" vertical="top"/>
    </xf>
    <xf numFmtId="43" fontId="54" fillId="0" borderId="22" xfId="1" applyFont="1" applyFill="1" applyBorder="1" applyAlignment="1">
      <alignment horizontal="center" vertical="top"/>
    </xf>
    <xf numFmtId="0" fontId="55" fillId="2" borderId="15" xfId="0" applyFont="1" applyFill="1" applyBorder="1" applyAlignment="1">
      <alignment vertical="top"/>
    </xf>
    <xf numFmtId="0" fontId="54" fillId="0" borderId="25" xfId="0" applyFont="1" applyBorder="1" applyAlignment="1">
      <alignment horizontal="center"/>
    </xf>
    <xf numFmtId="0" fontId="54" fillId="0" borderId="23" xfId="0" applyFont="1" applyBorder="1"/>
    <xf numFmtId="187" fontId="33" fillId="0" borderId="19" xfId="1" applyNumberFormat="1" applyFont="1" applyFill="1" applyBorder="1" applyAlignment="1">
      <alignment horizontal="right"/>
    </xf>
    <xf numFmtId="43" fontId="33" fillId="0" borderId="15" xfId="0" applyNumberFormat="1" applyFont="1" applyBorder="1"/>
    <xf numFmtId="0" fontId="34" fillId="0" borderId="15" xfId="0" applyFont="1" applyBorder="1" applyAlignment="1">
      <alignment horizontal="left" vertical="top" wrapText="1"/>
    </xf>
    <xf numFmtId="0" fontId="33" fillId="2" borderId="15" xfId="0" applyFont="1" applyFill="1" applyBorder="1"/>
    <xf numFmtId="0" fontId="54" fillId="2" borderId="24" xfId="0" applyFont="1" applyFill="1" applyBorder="1" applyAlignment="1">
      <alignment horizontal="center" vertical="center"/>
    </xf>
    <xf numFmtId="0" fontId="33" fillId="0" borderId="15" xfId="0" applyFont="1" applyBorder="1" applyAlignment="1">
      <alignment vertical="top" wrapText="1"/>
    </xf>
    <xf numFmtId="0" fontId="33" fillId="0" borderId="16" xfId="0" applyFont="1" applyBorder="1" applyAlignment="1">
      <alignment horizontal="center" vertical="top"/>
    </xf>
    <xf numFmtId="0" fontId="34" fillId="0" borderId="15" xfId="0" applyFont="1" applyBorder="1" applyAlignment="1">
      <alignment horizontal="left" vertical="top"/>
    </xf>
    <xf numFmtId="43" fontId="54" fillId="0" borderId="22" xfId="1" applyFont="1" applyFill="1" applyBorder="1" applyAlignment="1">
      <alignment horizontal="right" vertical="top"/>
    </xf>
    <xf numFmtId="0" fontId="54" fillId="0" borderId="20" xfId="0" applyFont="1" applyBorder="1" applyAlignment="1">
      <alignment horizontal="center"/>
    </xf>
    <xf numFmtId="0" fontId="54" fillId="2" borderId="17" xfId="0" applyFont="1" applyFill="1" applyBorder="1" applyAlignment="1">
      <alignment horizontal="center" vertical="center"/>
    </xf>
    <xf numFmtId="0" fontId="54" fillId="0" borderId="17" xfId="0" applyFont="1" applyBorder="1" applyAlignment="1">
      <alignment horizontal="center" vertical="center"/>
    </xf>
    <xf numFmtId="0" fontId="54" fillId="0" borderId="18" xfId="0" applyFont="1" applyBorder="1" applyAlignment="1">
      <alignment horizontal="center" vertical="center"/>
    </xf>
    <xf numFmtId="49" fontId="54" fillId="0" borderId="15" xfId="0" applyNumberFormat="1" applyFont="1" applyBorder="1" applyAlignment="1">
      <alignment horizontal="left"/>
    </xf>
    <xf numFmtId="43" fontId="54" fillId="0" borderId="19" xfId="0" applyNumberFormat="1" applyFont="1" applyBorder="1" applyAlignment="1">
      <alignment horizontal="center" vertical="center"/>
    </xf>
    <xf numFmtId="43" fontId="34" fillId="0" borderId="15" xfId="1" applyFont="1" applyFill="1" applyBorder="1" applyAlignment="1">
      <alignment horizontal="center" vertical="top" wrapText="1"/>
    </xf>
    <xf numFmtId="187" fontId="54" fillId="0" borderId="15" xfId="1" applyNumberFormat="1" applyFont="1" applyFill="1" applyBorder="1" applyAlignment="1">
      <alignment horizontal="center" vertical="center"/>
    </xf>
    <xf numFmtId="43" fontId="33" fillId="2" borderId="15" xfId="1" applyFont="1" applyFill="1" applyBorder="1" applyAlignment="1">
      <alignment horizontal="center" vertical="top" wrapText="1"/>
    </xf>
    <xf numFmtId="187" fontId="33" fillId="2" borderId="15" xfId="1" applyNumberFormat="1" applyFont="1" applyFill="1" applyBorder="1" applyAlignment="1">
      <alignment horizontal="center" vertical="top" wrapText="1"/>
    </xf>
    <xf numFmtId="0" fontId="56" fillId="2" borderId="18" xfId="0" applyFont="1" applyFill="1" applyBorder="1" applyAlignment="1">
      <alignment horizontal="center" vertical="center"/>
    </xf>
    <xf numFmtId="43" fontId="33" fillId="0" borderId="19" xfId="1" applyFont="1" applyFill="1" applyBorder="1" applyAlignment="1">
      <alignment horizontal="center"/>
    </xf>
    <xf numFmtId="0" fontId="33" fillId="2" borderId="15" xfId="0" applyFont="1" applyFill="1" applyBorder="1" applyAlignment="1">
      <alignment wrapText="1"/>
    </xf>
    <xf numFmtId="43" fontId="54" fillId="0" borderId="22" xfId="1" applyFont="1" applyFill="1" applyBorder="1" applyAlignment="1">
      <alignment horizontal="right"/>
    </xf>
    <xf numFmtId="0" fontId="33" fillId="2" borderId="15" xfId="0" applyFont="1" applyFill="1" applyBorder="1" applyAlignment="1">
      <alignment vertical="top" wrapText="1"/>
    </xf>
    <xf numFmtId="43" fontId="33" fillId="0" borderId="21" xfId="1" applyFont="1" applyFill="1" applyBorder="1" applyAlignment="1">
      <alignment horizontal="right" vertical="top"/>
    </xf>
    <xf numFmtId="43" fontId="33" fillId="0" borderId="19" xfId="1" applyFont="1" applyFill="1" applyBorder="1" applyAlignment="1">
      <alignment horizontal="right" vertical="top"/>
    </xf>
    <xf numFmtId="0" fontId="33" fillId="0" borderId="15" xfId="0" applyFont="1" applyBorder="1" applyAlignment="1">
      <alignment horizontal="left" wrapText="1"/>
    </xf>
    <xf numFmtId="0" fontId="34" fillId="0" borderId="15" xfId="0" applyFont="1" applyBorder="1" applyAlignment="1">
      <alignment horizontal="left" vertical="center"/>
    </xf>
    <xf numFmtId="187" fontId="33" fillId="2" borderId="15" xfId="1" applyNumberFormat="1" applyFont="1" applyFill="1" applyBorder="1" applyAlignment="1">
      <alignment horizontal="left"/>
    </xf>
    <xf numFmtId="0" fontId="34" fillId="2" borderId="15" xfId="0" applyFont="1" applyFill="1" applyBorder="1" applyAlignment="1">
      <alignment horizontal="left"/>
    </xf>
    <xf numFmtId="43" fontId="54" fillId="0" borderId="30" xfId="1" applyFont="1" applyFill="1" applyBorder="1" applyAlignment="1">
      <alignment horizontal="right"/>
    </xf>
    <xf numFmtId="0" fontId="48" fillId="0" borderId="15" xfId="0" applyFont="1" applyBorder="1" applyAlignment="1">
      <alignment horizontal="left" vertical="center"/>
    </xf>
    <xf numFmtId="0" fontId="57" fillId="0" borderId="6" xfId="0" applyFont="1" applyBorder="1"/>
    <xf numFmtId="0" fontId="58" fillId="0" borderId="6" xfId="0" applyFont="1" applyBorder="1" applyAlignment="1">
      <alignment horizontal="center"/>
    </xf>
    <xf numFmtId="49" fontId="57" fillId="0" borderId="31" xfId="0" applyNumberFormat="1" applyFont="1" applyBorder="1" applyAlignment="1">
      <alignment horizontal="center"/>
    </xf>
    <xf numFmtId="49" fontId="57" fillId="0" borderId="32" xfId="0" applyNumberFormat="1" applyFont="1" applyBorder="1" applyAlignment="1">
      <alignment horizontal="center"/>
    </xf>
    <xf numFmtId="49" fontId="57" fillId="0" borderId="33" xfId="0" applyNumberFormat="1" applyFont="1" applyBorder="1" applyAlignment="1">
      <alignment horizontal="center"/>
    </xf>
    <xf numFmtId="0" fontId="57" fillId="0" borderId="6" xfId="0" applyFont="1" applyBorder="1" applyAlignment="1">
      <alignment horizontal="center"/>
    </xf>
    <xf numFmtId="43" fontId="58" fillId="0" borderId="34" xfId="0" applyNumberFormat="1" applyFont="1" applyBorder="1"/>
    <xf numFmtId="187" fontId="58" fillId="0" borderId="6" xfId="0" applyNumberFormat="1" applyFont="1" applyBorder="1" applyAlignment="1">
      <alignment horizontal="center"/>
    </xf>
    <xf numFmtId="0" fontId="45" fillId="0" borderId="0" xfId="0" applyFont="1"/>
    <xf numFmtId="0" fontId="42" fillId="0" borderId="0" xfId="0" applyFont="1"/>
    <xf numFmtId="0" fontId="38" fillId="0" borderId="6" xfId="0" applyFont="1" applyBorder="1" applyAlignment="1">
      <alignment horizontal="center" vertical="center"/>
    </xf>
    <xf numFmtId="0" fontId="40" fillId="0" borderId="11" xfId="0" applyFont="1" applyBorder="1" applyAlignment="1">
      <alignment vertical="top"/>
    </xf>
    <xf numFmtId="0" fontId="42" fillId="2" borderId="36" xfId="0" applyFont="1" applyFill="1" applyBorder="1" applyAlignment="1">
      <alignment horizontal="center" vertical="center"/>
    </xf>
    <xf numFmtId="0" fontId="42" fillId="2" borderId="11" xfId="0" applyFont="1" applyFill="1" applyBorder="1" applyAlignment="1">
      <alignment horizontal="center" vertical="center"/>
    </xf>
    <xf numFmtId="0" fontId="41" fillId="3" borderId="37" xfId="0" applyFont="1" applyFill="1" applyBorder="1" applyAlignment="1">
      <alignment horizontal="center"/>
    </xf>
    <xf numFmtId="0" fontId="40" fillId="2" borderId="38" xfId="0" applyFont="1" applyFill="1" applyBorder="1" applyAlignment="1">
      <alignment horizontal="center" vertical="center"/>
    </xf>
    <xf numFmtId="0" fontId="40" fillId="0" borderId="38" xfId="0" applyFont="1" applyBorder="1" applyAlignment="1">
      <alignment horizontal="center" vertical="center"/>
    </xf>
    <xf numFmtId="0" fontId="40" fillId="0" borderId="39" xfId="0" applyFont="1" applyBorder="1" applyAlignment="1">
      <alignment horizontal="center" vertical="center"/>
    </xf>
    <xf numFmtId="187" fontId="42" fillId="0" borderId="62" xfId="1" applyNumberFormat="1" applyFont="1" applyFill="1" applyBorder="1" applyAlignment="1">
      <alignment horizontal="right"/>
    </xf>
    <xf numFmtId="187" fontId="42" fillId="2" borderId="62" xfId="1" applyNumberFormat="1" applyFont="1" applyFill="1" applyBorder="1" applyAlignment="1">
      <alignment horizontal="right"/>
    </xf>
    <xf numFmtId="187" fontId="59" fillId="2" borderId="62" xfId="1" applyNumberFormat="1" applyFont="1" applyFill="1" applyBorder="1" applyAlignment="1">
      <alignment horizontal="right"/>
    </xf>
    <xf numFmtId="0" fontId="42" fillId="2" borderId="62" xfId="0" applyFont="1" applyFill="1" applyBorder="1"/>
    <xf numFmtId="0" fontId="42" fillId="0" borderId="62" xfId="0" applyFont="1" applyBorder="1"/>
    <xf numFmtId="0" fontId="40" fillId="2" borderId="39" xfId="0" applyFont="1" applyFill="1" applyBorder="1" applyAlignment="1">
      <alignment horizontal="center" vertical="center"/>
    </xf>
    <xf numFmtId="0" fontId="43" fillId="2" borderId="15" xfId="0" applyFont="1" applyFill="1" applyBorder="1" applyAlignment="1">
      <alignment horizontal="left"/>
    </xf>
    <xf numFmtId="0" fontId="60" fillId="4" borderId="63" xfId="2" applyFont="1" applyFill="1" applyBorder="1" applyAlignment="1">
      <alignment horizontal="center" vertical="top" wrapText="1"/>
    </xf>
    <xf numFmtId="187" fontId="42" fillId="2" borderId="63" xfId="1" applyNumberFormat="1" applyFont="1" applyFill="1" applyBorder="1" applyAlignment="1">
      <alignment horizontal="right"/>
    </xf>
    <xf numFmtId="0" fontId="42" fillId="0" borderId="63" xfId="0" applyFont="1" applyBorder="1"/>
    <xf numFmtId="0" fontId="60" fillId="0" borderId="63" xfId="2" applyFont="1" applyBorder="1" applyAlignment="1">
      <alignment horizontal="center" vertical="top" wrapText="1"/>
    </xf>
    <xf numFmtId="187" fontId="43" fillId="0" borderId="63" xfId="1" applyNumberFormat="1" applyFont="1" applyFill="1" applyBorder="1" applyAlignment="1">
      <alignment horizontal="right"/>
    </xf>
    <xf numFmtId="0" fontId="43" fillId="0" borderId="63" xfId="0" applyFont="1" applyBorder="1"/>
    <xf numFmtId="0" fontId="42" fillId="2" borderId="67" xfId="0" applyFont="1" applyFill="1" applyBorder="1" applyAlignment="1">
      <alignment horizontal="center"/>
    </xf>
    <xf numFmtId="0" fontId="38" fillId="2" borderId="67" xfId="0" applyFont="1" applyFill="1" applyBorder="1" applyAlignment="1">
      <alignment horizontal="center" vertical="top" wrapText="1"/>
    </xf>
    <xf numFmtId="49" fontId="43" fillId="2" borderId="68" xfId="0" applyNumberFormat="1" applyFont="1" applyFill="1" applyBorder="1" applyAlignment="1">
      <alignment horizontal="center"/>
    </xf>
    <xf numFmtId="49" fontId="43" fillId="0" borderId="69" xfId="0" applyNumberFormat="1" applyFont="1" applyBorder="1" applyAlignment="1">
      <alignment horizontal="center"/>
    </xf>
    <xf numFmtId="49" fontId="43" fillId="0" borderId="70" xfId="0" applyNumberFormat="1" applyFont="1" applyBorder="1" applyAlignment="1">
      <alignment horizontal="center"/>
    </xf>
    <xf numFmtId="0" fontId="43" fillId="2" borderId="67" xfId="0" applyFont="1" applyFill="1" applyBorder="1"/>
    <xf numFmtId="43" fontId="33" fillId="2" borderId="6" xfId="1" applyFont="1" applyFill="1" applyBorder="1" applyAlignment="1">
      <alignment horizontal="center" vertical="top" wrapText="1"/>
    </xf>
    <xf numFmtId="187" fontId="33" fillId="2" borderId="6" xfId="1" applyNumberFormat="1" applyFont="1" applyFill="1" applyBorder="1" applyAlignment="1">
      <alignment horizontal="center" vertical="top" wrapText="1"/>
    </xf>
    <xf numFmtId="0" fontId="54" fillId="2" borderId="10" xfId="0" applyFont="1" applyFill="1" applyBorder="1" applyAlignment="1">
      <alignment horizontal="center" vertical="center"/>
    </xf>
    <xf numFmtId="0" fontId="54" fillId="0" borderId="11" xfId="0" applyFont="1" applyBorder="1" applyAlignment="1">
      <alignment vertical="top"/>
    </xf>
    <xf numFmtId="0" fontId="54" fillId="2" borderId="12" xfId="0" applyFont="1" applyFill="1" applyBorder="1" applyAlignment="1">
      <alignment horizontal="center" vertical="center"/>
    </xf>
    <xf numFmtId="0" fontId="54" fillId="2" borderId="13" xfId="0" applyFont="1" applyFill="1" applyBorder="1" applyAlignment="1">
      <alignment horizontal="center" vertical="center"/>
    </xf>
    <xf numFmtId="49" fontId="54" fillId="2" borderId="14" xfId="0" applyNumberFormat="1" applyFont="1" applyFill="1" applyBorder="1" applyAlignment="1">
      <alignment horizontal="center" vertical="center"/>
    </xf>
    <xf numFmtId="187" fontId="54" fillId="2" borderId="14" xfId="1" applyNumberFormat="1" applyFont="1" applyFill="1" applyBorder="1" applyAlignment="1">
      <alignment horizontal="center" vertical="center"/>
    </xf>
    <xf numFmtId="0" fontId="54" fillId="0" borderId="14" xfId="0" applyFont="1" applyBorder="1" applyAlignment="1">
      <alignment horizontal="center" vertical="center"/>
    </xf>
    <xf numFmtId="43" fontId="33" fillId="2" borderId="14" xfId="1" applyFont="1" applyFill="1" applyBorder="1" applyAlignment="1">
      <alignment horizontal="center" vertical="top" wrapText="1"/>
    </xf>
    <xf numFmtId="187" fontId="33" fillId="2" borderId="14" xfId="1" applyNumberFormat="1" applyFont="1" applyFill="1" applyBorder="1" applyAlignment="1">
      <alignment horizontal="center" vertical="top" wrapText="1"/>
    </xf>
    <xf numFmtId="0" fontId="33" fillId="0" borderId="18" xfId="0" applyFont="1" applyBorder="1" applyAlignment="1">
      <alignment horizontal="center"/>
    </xf>
    <xf numFmtId="49" fontId="53" fillId="3" borderId="15" xfId="0" applyNumberFormat="1" applyFont="1" applyFill="1" applyBorder="1" applyAlignment="1">
      <alignment horizontal="center" vertical="top"/>
    </xf>
    <xf numFmtId="0" fontId="53" fillId="3" borderId="15" xfId="0" applyFont="1" applyFill="1" applyBorder="1" applyAlignment="1">
      <alignment horizontal="center" vertical="top"/>
    </xf>
    <xf numFmtId="0" fontId="33" fillId="0" borderId="10" xfId="0" applyFont="1" applyBorder="1"/>
    <xf numFmtId="0" fontId="33" fillId="0" borderId="48" xfId="0" applyFont="1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49" fontId="4" fillId="2" borderId="6" xfId="0" applyNumberFormat="1" applyFont="1" applyFill="1" applyBorder="1" applyAlignment="1">
      <alignment horizontal="center" vertical="center"/>
    </xf>
    <xf numFmtId="187" fontId="4" fillId="2" borderId="6" xfId="1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3" fillId="0" borderId="54" xfId="0" applyFont="1" applyBorder="1" applyAlignment="1">
      <alignment horizontal="center"/>
    </xf>
    <xf numFmtId="0" fontId="43" fillId="0" borderId="55" xfId="0" applyFont="1" applyBorder="1" applyAlignment="1">
      <alignment horizontal="center"/>
    </xf>
    <xf numFmtId="0" fontId="43" fillId="0" borderId="56" xfId="0" applyFont="1" applyBorder="1" applyAlignment="1">
      <alignment horizontal="center"/>
    </xf>
    <xf numFmtId="0" fontId="43" fillId="0" borderId="6" xfId="0" applyFont="1" applyBorder="1" applyAlignment="1">
      <alignment horizontal="center"/>
    </xf>
    <xf numFmtId="0" fontId="36" fillId="0" borderId="0" xfId="0" applyFont="1" applyAlignment="1">
      <alignment horizontal="center"/>
    </xf>
    <xf numFmtId="49" fontId="37" fillId="0" borderId="2" xfId="2" applyNumberFormat="1" applyFont="1" applyBorder="1" applyAlignment="1">
      <alignment horizontal="center" vertical="center" wrapText="1"/>
    </xf>
    <xf numFmtId="49" fontId="37" fillId="0" borderId="10" xfId="2" applyNumberFormat="1" applyFont="1" applyBorder="1" applyAlignment="1">
      <alignment horizontal="center" vertical="center" wrapText="1"/>
    </xf>
    <xf numFmtId="49" fontId="37" fillId="0" borderId="7" xfId="2" applyNumberFormat="1" applyFont="1" applyBorder="1" applyAlignment="1">
      <alignment horizontal="center" vertical="center"/>
    </xf>
    <xf numFmtId="49" fontId="38" fillId="0" borderId="2" xfId="2" applyNumberFormat="1" applyFont="1" applyBorder="1" applyAlignment="1">
      <alignment horizontal="center" vertical="center" wrapText="1"/>
    </xf>
    <xf numFmtId="49" fontId="38" fillId="0" borderId="10" xfId="2" applyNumberFormat="1" applyFont="1" applyBorder="1" applyAlignment="1">
      <alignment horizontal="center" vertical="center" wrapText="1"/>
    </xf>
    <xf numFmtId="49" fontId="38" fillId="0" borderId="7" xfId="2" applyNumberFormat="1" applyFont="1" applyBorder="1" applyAlignment="1">
      <alignment horizontal="center" vertical="center" wrapText="1"/>
    </xf>
    <xf numFmtId="49" fontId="38" fillId="0" borderId="3" xfId="2" applyNumberFormat="1" applyFont="1" applyBorder="1" applyAlignment="1">
      <alignment horizontal="center" vertical="center" wrapText="1"/>
    </xf>
    <xf numFmtId="49" fontId="38" fillId="0" borderId="4" xfId="2" applyNumberFormat="1" applyFont="1" applyBorder="1" applyAlignment="1">
      <alignment horizontal="center" vertical="center" wrapText="1"/>
    </xf>
    <xf numFmtId="49" fontId="38" fillId="0" borderId="5" xfId="2" applyNumberFormat="1" applyFont="1" applyBorder="1" applyAlignment="1">
      <alignment horizontal="center" vertical="center" wrapText="1"/>
    </xf>
    <xf numFmtId="49" fontId="38" fillId="0" borderId="49" xfId="2" applyNumberFormat="1" applyFont="1" applyBorder="1" applyAlignment="1">
      <alignment horizontal="center" vertical="center" wrapText="1"/>
    </xf>
    <xf numFmtId="49" fontId="38" fillId="0" borderId="0" xfId="2" applyNumberFormat="1" applyFont="1" applyAlignment="1">
      <alignment horizontal="center" vertical="center" wrapText="1"/>
    </xf>
    <xf numFmtId="49" fontId="38" fillId="0" borderId="24" xfId="2" applyNumberFormat="1" applyFont="1" applyBorder="1" applyAlignment="1">
      <alignment horizontal="center" vertical="center" wrapText="1"/>
    </xf>
    <xf numFmtId="49" fontId="38" fillId="0" borderId="8" xfId="2" applyNumberFormat="1" applyFont="1" applyBorder="1" applyAlignment="1">
      <alignment horizontal="center" vertical="center" wrapText="1"/>
    </xf>
    <xf numFmtId="49" fontId="38" fillId="0" borderId="1" xfId="2" applyNumberFormat="1" applyFont="1" applyBorder="1" applyAlignment="1">
      <alignment horizontal="center" vertical="center" wrapText="1"/>
    </xf>
    <xf numFmtId="49" fontId="38" fillId="0" borderId="9" xfId="2" applyNumberFormat="1" applyFont="1" applyBorder="1" applyAlignment="1">
      <alignment horizontal="center" vertical="center" wrapText="1"/>
    </xf>
    <xf numFmtId="0" fontId="39" fillId="0" borderId="2" xfId="0" applyFont="1" applyBorder="1" applyAlignment="1">
      <alignment horizontal="center"/>
    </xf>
    <xf numFmtId="0" fontId="39" fillId="0" borderId="6" xfId="0" applyFont="1" applyBorder="1" applyAlignment="1">
      <alignment horizontal="center" vertical="center" wrapText="1"/>
    </xf>
    <xf numFmtId="0" fontId="39" fillId="0" borderId="6" xfId="0" applyFont="1" applyBorder="1" applyAlignment="1">
      <alignment horizontal="center" vertical="center"/>
    </xf>
    <xf numFmtId="0" fontId="39" fillId="0" borderId="7" xfId="0" applyFont="1" applyBorder="1" applyAlignment="1">
      <alignment horizontal="center"/>
    </xf>
    <xf numFmtId="0" fontId="38" fillId="0" borderId="6" xfId="0" applyFont="1" applyBorder="1" applyAlignment="1">
      <alignment horizontal="center" vertical="center" wrapText="1"/>
    </xf>
    <xf numFmtId="0" fontId="38" fillId="0" borderId="6" xfId="0" applyFont="1" applyBorder="1" applyAlignment="1">
      <alignment horizontal="center" vertical="center"/>
    </xf>
    <xf numFmtId="0" fontId="43" fillId="0" borderId="64" xfId="0" applyFont="1" applyBorder="1" applyAlignment="1">
      <alignment horizontal="center"/>
    </xf>
    <xf numFmtId="0" fontId="43" fillId="0" borderId="65" xfId="0" applyFont="1" applyBorder="1" applyAlignment="1">
      <alignment horizontal="center"/>
    </xf>
    <xf numFmtId="0" fontId="43" fillId="0" borderId="66" xfId="0" applyFont="1" applyBorder="1" applyAlignment="1">
      <alignment horizontal="center"/>
    </xf>
    <xf numFmtId="0" fontId="40" fillId="2" borderId="2" xfId="0" applyFont="1" applyFill="1" applyBorder="1" applyAlignment="1">
      <alignment horizontal="center" vertical="center"/>
    </xf>
    <xf numFmtId="0" fontId="40" fillId="2" borderId="7" xfId="0" applyFont="1" applyFill="1" applyBorder="1" applyAlignment="1">
      <alignment horizontal="center" vertical="center"/>
    </xf>
    <xf numFmtId="0" fontId="40" fillId="2" borderId="3" xfId="0" applyFont="1" applyFill="1" applyBorder="1" applyAlignment="1">
      <alignment horizontal="center" vertical="center"/>
    </xf>
    <xf numFmtId="0" fontId="40" fillId="2" borderId="4" xfId="0" applyFont="1" applyFill="1" applyBorder="1" applyAlignment="1">
      <alignment horizontal="center" vertical="center"/>
    </xf>
    <xf numFmtId="0" fontId="40" fillId="2" borderId="5" xfId="0" applyFont="1" applyFill="1" applyBorder="1" applyAlignment="1">
      <alignment horizontal="center" vertical="center"/>
    </xf>
    <xf numFmtId="0" fontId="40" fillId="2" borderId="8" xfId="0" applyFont="1" applyFill="1" applyBorder="1" applyAlignment="1">
      <alignment horizontal="center" vertical="center"/>
    </xf>
    <xf numFmtId="0" fontId="40" fillId="2" borderId="1" xfId="0" applyFont="1" applyFill="1" applyBorder="1" applyAlignment="1">
      <alignment horizontal="center" vertical="center"/>
    </xf>
    <xf numFmtId="0" fontId="40" fillId="2" borderId="9" xfId="0" applyFont="1" applyFill="1" applyBorder="1" applyAlignment="1">
      <alignment horizontal="center" vertical="center"/>
    </xf>
    <xf numFmtId="0" fontId="38" fillId="0" borderId="3" xfId="0" applyFont="1" applyBorder="1" applyAlignment="1">
      <alignment horizontal="center"/>
    </xf>
    <xf numFmtId="0" fontId="38" fillId="0" borderId="4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7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30" fillId="0" borderId="1" xfId="0" applyFont="1" applyBorder="1" applyAlignment="1">
      <alignment horizontal="right"/>
    </xf>
    <xf numFmtId="0" fontId="31" fillId="0" borderId="3" xfId="0" applyFont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0" fontId="31" fillId="0" borderId="31" xfId="0" applyFont="1" applyBorder="1" applyAlignment="1">
      <alignment horizontal="center"/>
    </xf>
    <xf numFmtId="0" fontId="31" fillId="0" borderId="33" xfId="0" applyFont="1" applyBorder="1" applyAlignment="1">
      <alignment horizontal="center"/>
    </xf>
    <xf numFmtId="0" fontId="33" fillId="3" borderId="21" xfId="0" applyFont="1" applyFill="1" applyBorder="1" applyAlignment="1">
      <alignment horizontal="center" vertical="center"/>
    </xf>
    <xf numFmtId="0" fontId="33" fillId="3" borderId="10" xfId="0" applyFont="1" applyFill="1" applyBorder="1" applyAlignment="1">
      <alignment horizontal="center" vertical="center"/>
    </xf>
    <xf numFmtId="0" fontId="33" fillId="3" borderId="19" xfId="0" applyFont="1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0" fontId="38" fillId="0" borderId="1" xfId="0" applyFont="1" applyBorder="1" applyAlignment="1">
      <alignment horizontal="center"/>
    </xf>
    <xf numFmtId="0" fontId="54" fillId="2" borderId="2" xfId="0" applyFont="1" applyFill="1" applyBorder="1" applyAlignment="1">
      <alignment horizontal="center" vertical="center"/>
    </xf>
    <xf numFmtId="0" fontId="54" fillId="2" borderId="7" xfId="0" applyFont="1" applyFill="1" applyBorder="1" applyAlignment="1">
      <alignment horizontal="center" vertical="center"/>
    </xf>
    <xf numFmtId="0" fontId="54" fillId="2" borderId="3" xfId="0" applyFont="1" applyFill="1" applyBorder="1" applyAlignment="1">
      <alignment horizontal="center" vertical="center"/>
    </xf>
    <xf numFmtId="0" fontId="54" fillId="2" borderId="4" xfId="0" applyFont="1" applyFill="1" applyBorder="1" applyAlignment="1">
      <alignment horizontal="center" vertical="center"/>
    </xf>
    <xf numFmtId="0" fontId="54" fillId="2" borderId="5" xfId="0" applyFont="1" applyFill="1" applyBorder="1" applyAlignment="1">
      <alignment horizontal="center" vertical="center"/>
    </xf>
    <xf numFmtId="0" fontId="54" fillId="2" borderId="8" xfId="0" applyFont="1" applyFill="1" applyBorder="1" applyAlignment="1">
      <alignment horizontal="center" vertical="center"/>
    </xf>
    <xf numFmtId="0" fontId="54" fillId="2" borderId="1" xfId="0" applyFont="1" applyFill="1" applyBorder="1" applyAlignment="1">
      <alignment horizontal="center" vertical="center"/>
    </xf>
    <xf numFmtId="0" fontId="54" fillId="2" borderId="9" xfId="0" applyFont="1" applyFill="1" applyBorder="1" applyAlignment="1">
      <alignment horizontal="center" vertical="center"/>
    </xf>
    <xf numFmtId="49" fontId="54" fillId="2" borderId="6" xfId="0" applyNumberFormat="1" applyFont="1" applyFill="1" applyBorder="1" applyAlignment="1">
      <alignment horizontal="center" vertical="center"/>
    </xf>
    <xf numFmtId="187" fontId="54" fillId="2" borderId="6" xfId="1" applyNumberFormat="1" applyFont="1" applyFill="1" applyBorder="1" applyAlignment="1">
      <alignment horizontal="center" vertical="center"/>
    </xf>
    <xf numFmtId="0" fontId="54" fillId="0" borderId="6" xfId="0" applyFont="1" applyBorder="1" applyAlignment="1">
      <alignment horizontal="center" vertical="center"/>
    </xf>
    <xf numFmtId="0" fontId="54" fillId="2" borderId="6" xfId="0" applyFont="1" applyFill="1" applyBorder="1" applyAlignment="1">
      <alignment horizontal="center"/>
    </xf>
    <xf numFmtId="0" fontId="54" fillId="2" borderId="6" xfId="0" applyFont="1" applyFill="1" applyBorder="1" applyAlignment="1">
      <alignment horizontal="center" vertical="center"/>
    </xf>
    <xf numFmtId="49" fontId="31" fillId="0" borderId="42" xfId="0" applyNumberFormat="1" applyFont="1" applyBorder="1" applyAlignment="1">
      <alignment horizontal="center"/>
    </xf>
  </cellXfs>
  <cellStyles count="3">
    <cellStyle name="จุลภาค" xfId="1" builtinId="3"/>
    <cellStyle name="ปกติ" xfId="0" builtinId="0"/>
    <cellStyle name="ปกติ_Sheet1" xfId="2" xr:uid="{892B2DEC-B026-4B48-8DD1-7D8A275282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29308</xdr:colOff>
      <xdr:row>56</xdr:row>
      <xdr:rowOff>36632</xdr:rowOff>
    </xdr:from>
    <xdr:to>
      <xdr:col>14</xdr:col>
      <xdr:colOff>75027</xdr:colOff>
      <xdr:row>63</xdr:row>
      <xdr:rowOff>227135</xdr:rowOff>
    </xdr:to>
    <xdr:sp macro="" textlink="">
      <xdr:nvSpPr>
        <xdr:cNvPr id="2" name="วงเล็บปีกกาขวา 1">
          <a:extLst>
            <a:ext uri="{FF2B5EF4-FFF2-40B4-BE49-F238E27FC236}">
              <a16:creationId xmlns:a16="http://schemas.microsoft.com/office/drawing/2014/main" id="{315642C2-1807-4747-A2D8-399ACD8C2189}"/>
            </a:ext>
          </a:extLst>
        </xdr:cNvPr>
        <xdr:cNvSpPr/>
      </xdr:nvSpPr>
      <xdr:spPr>
        <a:xfrm>
          <a:off x="9116158" y="16238657"/>
          <a:ext cx="45719" cy="1562103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</xdr:col>
      <xdr:colOff>1714953</xdr:colOff>
      <xdr:row>97</xdr:row>
      <xdr:rowOff>65314</xdr:rowOff>
    </xdr:from>
    <xdr:to>
      <xdr:col>1</xdr:col>
      <xdr:colOff>1848303</xdr:colOff>
      <xdr:row>99</xdr:row>
      <xdr:rowOff>175078</xdr:rowOff>
    </xdr:to>
    <xdr:sp macro="" textlink="">
      <xdr:nvSpPr>
        <xdr:cNvPr id="3" name="วงเล็บปีกกาขวา 2">
          <a:extLst>
            <a:ext uri="{FF2B5EF4-FFF2-40B4-BE49-F238E27FC236}">
              <a16:creationId xmlns:a16="http://schemas.microsoft.com/office/drawing/2014/main" id="{F190A1C4-A6EB-4B46-A89F-66615404EC34}"/>
            </a:ext>
          </a:extLst>
        </xdr:cNvPr>
        <xdr:cNvSpPr/>
      </xdr:nvSpPr>
      <xdr:spPr>
        <a:xfrm>
          <a:off x="1962603" y="33726664"/>
          <a:ext cx="133350" cy="509814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</xdr:col>
      <xdr:colOff>1901825</xdr:colOff>
      <xdr:row>98</xdr:row>
      <xdr:rowOff>6802</xdr:rowOff>
    </xdr:from>
    <xdr:to>
      <xdr:col>1</xdr:col>
      <xdr:colOff>3070225</xdr:colOff>
      <xdr:row>99</xdr:row>
      <xdr:rowOff>26760</xdr:rowOff>
    </xdr:to>
    <xdr:sp macro="" textlink="">
      <xdr:nvSpPr>
        <xdr:cNvPr id="4" name="TextBox 12">
          <a:extLst>
            <a:ext uri="{FF2B5EF4-FFF2-40B4-BE49-F238E27FC236}">
              <a16:creationId xmlns:a16="http://schemas.microsoft.com/office/drawing/2014/main" id="{9E6111FD-9A67-4C2A-BCDD-1751A1C62012}"/>
            </a:ext>
          </a:extLst>
        </xdr:cNvPr>
        <xdr:cNvSpPr txBox="1"/>
      </xdr:nvSpPr>
      <xdr:spPr>
        <a:xfrm>
          <a:off x="2149475" y="33868177"/>
          <a:ext cx="1168400" cy="2199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th-TH" sz="1200">
              <a:latin typeface="TH SarabunPSK" pitchFamily="34" charset="-34"/>
              <a:cs typeface="TH SarabunPSK" pitchFamily="34" charset="-34"/>
            </a:rPr>
            <a:t>ปรับภูมิทัศน์ข่วงนคร</a:t>
          </a:r>
        </a:p>
        <a:p>
          <a:endParaRPr lang="th-TH" sz="1200">
            <a:latin typeface="TH SarabunPSK" pitchFamily="34" charset="-34"/>
            <a:cs typeface="TH SarabunPSK" pitchFamily="34" charset="-34"/>
          </a:endParaRPr>
        </a:p>
      </xdr:txBody>
    </xdr:sp>
    <xdr:clientData/>
  </xdr:twoCellAnchor>
  <xdr:twoCellAnchor>
    <xdr:from>
      <xdr:col>1</xdr:col>
      <xdr:colOff>1606547</xdr:colOff>
      <xdr:row>101</xdr:row>
      <xdr:rowOff>88901</xdr:rowOff>
    </xdr:from>
    <xdr:to>
      <xdr:col>1</xdr:col>
      <xdr:colOff>3422198</xdr:colOff>
      <xdr:row>102</xdr:row>
      <xdr:rowOff>95250</xdr:rowOff>
    </xdr:to>
    <xdr:sp macro="" textlink="">
      <xdr:nvSpPr>
        <xdr:cNvPr id="5" name="TextBox 13">
          <a:extLst>
            <a:ext uri="{FF2B5EF4-FFF2-40B4-BE49-F238E27FC236}">
              <a16:creationId xmlns:a16="http://schemas.microsoft.com/office/drawing/2014/main" id="{AD8DF441-C26C-4369-A140-6DC67C954C41}"/>
            </a:ext>
          </a:extLst>
        </xdr:cNvPr>
        <xdr:cNvSpPr txBox="1"/>
      </xdr:nvSpPr>
      <xdr:spPr>
        <a:xfrm>
          <a:off x="1854197" y="34550351"/>
          <a:ext cx="1815651" cy="206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th-TH" sz="1200">
              <a:latin typeface="TH SarabunPSK" pitchFamily="34" charset="-34"/>
              <a:cs typeface="TH SarabunPSK" pitchFamily="34" charset="-34"/>
            </a:rPr>
            <a:t>ปรับภูมิทัศน์ข่วงนคร ร้านอาหารสวนห้าแยก</a:t>
          </a:r>
        </a:p>
        <a:p>
          <a:endParaRPr lang="th-TH" sz="1200">
            <a:latin typeface="TH SarabunPSK" pitchFamily="34" charset="-34"/>
            <a:cs typeface="TH SarabunPSK" pitchFamily="34" charset="-34"/>
          </a:endParaRPr>
        </a:p>
      </xdr:txBody>
    </xdr:sp>
    <xdr:clientData/>
  </xdr:twoCellAnchor>
  <xdr:twoCellAnchor>
    <xdr:from>
      <xdr:col>1</xdr:col>
      <xdr:colOff>1467304</xdr:colOff>
      <xdr:row>100</xdr:row>
      <xdr:rowOff>18143</xdr:rowOff>
    </xdr:from>
    <xdr:to>
      <xdr:col>1</xdr:col>
      <xdr:colOff>1568904</xdr:colOff>
      <xdr:row>103</xdr:row>
      <xdr:rowOff>0</xdr:rowOff>
    </xdr:to>
    <xdr:sp macro="" textlink="">
      <xdr:nvSpPr>
        <xdr:cNvPr id="6" name="วงเล็บปีกกาขวา 5">
          <a:extLst>
            <a:ext uri="{FF2B5EF4-FFF2-40B4-BE49-F238E27FC236}">
              <a16:creationId xmlns:a16="http://schemas.microsoft.com/office/drawing/2014/main" id="{D064A4A7-8AE7-49F9-853C-925C90702FD7}"/>
            </a:ext>
          </a:extLst>
        </xdr:cNvPr>
        <xdr:cNvSpPr/>
      </xdr:nvSpPr>
      <xdr:spPr>
        <a:xfrm>
          <a:off x="1714954" y="34279568"/>
          <a:ext cx="101600" cy="581932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</xdr:col>
      <xdr:colOff>850900</xdr:colOff>
      <xdr:row>83</xdr:row>
      <xdr:rowOff>76200</xdr:rowOff>
    </xdr:from>
    <xdr:to>
      <xdr:col>1</xdr:col>
      <xdr:colOff>984250</xdr:colOff>
      <xdr:row>85</xdr:row>
      <xdr:rowOff>158750</xdr:rowOff>
    </xdr:to>
    <xdr:sp macro="" textlink="">
      <xdr:nvSpPr>
        <xdr:cNvPr id="7" name="วงเล็บปีกกาขวา 6">
          <a:extLst>
            <a:ext uri="{FF2B5EF4-FFF2-40B4-BE49-F238E27FC236}">
              <a16:creationId xmlns:a16="http://schemas.microsoft.com/office/drawing/2014/main" id="{D58D264E-EB42-420A-98DF-6F682E86B0F8}"/>
            </a:ext>
          </a:extLst>
        </xdr:cNvPr>
        <xdr:cNvSpPr/>
      </xdr:nvSpPr>
      <xdr:spPr>
        <a:xfrm>
          <a:off x="1098550" y="29918025"/>
          <a:ext cx="133350" cy="4826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</xdr:col>
      <xdr:colOff>933450</xdr:colOff>
      <xdr:row>83</xdr:row>
      <xdr:rowOff>170542</xdr:rowOff>
    </xdr:from>
    <xdr:to>
      <xdr:col>1</xdr:col>
      <xdr:colOff>3124200</xdr:colOff>
      <xdr:row>84</xdr:row>
      <xdr:rowOff>176892</xdr:rowOff>
    </xdr:to>
    <xdr:sp macro="" textlink="">
      <xdr:nvSpPr>
        <xdr:cNvPr id="8" name="TextBox 21">
          <a:extLst>
            <a:ext uri="{FF2B5EF4-FFF2-40B4-BE49-F238E27FC236}">
              <a16:creationId xmlns:a16="http://schemas.microsoft.com/office/drawing/2014/main" id="{7324834E-3F75-42F6-B80D-F4293A3D55AA}"/>
            </a:ext>
          </a:extLst>
        </xdr:cNvPr>
        <xdr:cNvSpPr txBox="1"/>
      </xdr:nvSpPr>
      <xdr:spPr>
        <a:xfrm>
          <a:off x="1181100" y="30012367"/>
          <a:ext cx="2190750" cy="206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th-TH" sz="1200">
              <a:latin typeface="TH SarabunPSK" pitchFamily="34" charset="-34"/>
              <a:cs typeface="TH SarabunPSK" pitchFamily="34" charset="-34"/>
            </a:rPr>
            <a:t>ปรับภูมิทัศน์ข่วงนคร (หน่วยบริการประชาชนฯ)</a:t>
          </a:r>
        </a:p>
        <a:p>
          <a:endParaRPr lang="th-TH" sz="1200">
            <a:latin typeface="TH SarabunPSK" pitchFamily="34" charset="-34"/>
            <a:cs typeface="TH SarabunPSK" pitchFamily="34" charset="-34"/>
          </a:endParaRPr>
        </a:p>
      </xdr:txBody>
    </xdr:sp>
    <xdr:clientData/>
  </xdr:twoCellAnchor>
  <xdr:twoCellAnchor>
    <xdr:from>
      <xdr:col>1</xdr:col>
      <xdr:colOff>2037522</xdr:colOff>
      <xdr:row>66</xdr:row>
      <xdr:rowOff>33131</xdr:rowOff>
    </xdr:from>
    <xdr:to>
      <xdr:col>1</xdr:col>
      <xdr:colOff>3130826</xdr:colOff>
      <xdr:row>67</xdr:row>
      <xdr:rowOff>182217</xdr:rowOff>
    </xdr:to>
    <xdr:sp macro="" textlink="">
      <xdr:nvSpPr>
        <xdr:cNvPr id="9" name="กล่องข้อความ 8">
          <a:extLst>
            <a:ext uri="{FF2B5EF4-FFF2-40B4-BE49-F238E27FC236}">
              <a16:creationId xmlns:a16="http://schemas.microsoft.com/office/drawing/2014/main" id="{9F60997C-2732-4F72-9B45-5C9CFA3A3A3A}"/>
            </a:ext>
          </a:extLst>
        </xdr:cNvPr>
        <xdr:cNvSpPr txBox="1"/>
      </xdr:nvSpPr>
      <xdr:spPr>
        <a:xfrm>
          <a:off x="2285172" y="18235406"/>
          <a:ext cx="1093304" cy="34911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100">
              <a:solidFill>
                <a:srgbClr val="FF0000"/>
              </a:solidFill>
            </a:rPr>
            <a:t>ซื้อใหม่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6804</xdr:colOff>
      <xdr:row>8</xdr:row>
      <xdr:rowOff>149679</xdr:rowOff>
    </xdr:from>
    <xdr:to>
      <xdr:col>17</xdr:col>
      <xdr:colOff>13607</xdr:colOff>
      <xdr:row>8</xdr:row>
      <xdr:rowOff>163286</xdr:rowOff>
    </xdr:to>
    <xdr:cxnSp macro="">
      <xdr:nvCxnSpPr>
        <xdr:cNvPr id="2" name="ลูกศรเชื่อมต่อแบบตรง 1">
          <a:extLst>
            <a:ext uri="{FF2B5EF4-FFF2-40B4-BE49-F238E27FC236}">
              <a16:creationId xmlns:a16="http://schemas.microsoft.com/office/drawing/2014/main" id="{BBDEE2F4-6783-4C57-B820-30A70EE97A76}"/>
            </a:ext>
          </a:extLst>
        </xdr:cNvPr>
        <xdr:cNvCxnSpPr/>
      </xdr:nvCxnSpPr>
      <xdr:spPr>
        <a:xfrm flipV="1">
          <a:off x="6017079" y="2369004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519794</xdr:colOff>
      <xdr:row>9</xdr:row>
      <xdr:rowOff>166008</xdr:rowOff>
    </xdr:from>
    <xdr:to>
      <xdr:col>17</xdr:col>
      <xdr:colOff>2722</xdr:colOff>
      <xdr:row>9</xdr:row>
      <xdr:rowOff>179615</xdr:rowOff>
    </xdr:to>
    <xdr:cxnSp macro="">
      <xdr:nvCxnSpPr>
        <xdr:cNvPr id="3" name="ลูกศรเชื่อมต่อแบบตรง 2">
          <a:extLst>
            <a:ext uri="{FF2B5EF4-FFF2-40B4-BE49-F238E27FC236}">
              <a16:creationId xmlns:a16="http://schemas.microsoft.com/office/drawing/2014/main" id="{A1837AEC-8C9D-4D38-A869-D0DF3BAD3453}"/>
            </a:ext>
          </a:extLst>
        </xdr:cNvPr>
        <xdr:cNvCxnSpPr/>
      </xdr:nvCxnSpPr>
      <xdr:spPr>
        <a:xfrm flipV="1">
          <a:off x="6006194" y="2652033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515711</xdr:colOff>
      <xdr:row>10</xdr:row>
      <xdr:rowOff>148318</xdr:rowOff>
    </xdr:from>
    <xdr:to>
      <xdr:col>16</xdr:col>
      <xdr:colOff>291192</xdr:colOff>
      <xdr:row>10</xdr:row>
      <xdr:rowOff>161925</xdr:rowOff>
    </xdr:to>
    <xdr:cxnSp macro="">
      <xdr:nvCxnSpPr>
        <xdr:cNvPr id="4" name="ลูกศรเชื่อมต่อแบบตรง 3">
          <a:extLst>
            <a:ext uri="{FF2B5EF4-FFF2-40B4-BE49-F238E27FC236}">
              <a16:creationId xmlns:a16="http://schemas.microsoft.com/office/drawing/2014/main" id="{D9B1D1F5-923E-4F68-A679-EAEAACE4DCB1}"/>
            </a:ext>
          </a:extLst>
        </xdr:cNvPr>
        <xdr:cNvCxnSpPr/>
      </xdr:nvCxnSpPr>
      <xdr:spPr>
        <a:xfrm flipV="1">
          <a:off x="6011636" y="2901043"/>
          <a:ext cx="3537856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1361</xdr:colOff>
      <xdr:row>11</xdr:row>
      <xdr:rowOff>117022</xdr:rowOff>
    </xdr:from>
    <xdr:to>
      <xdr:col>17</xdr:col>
      <xdr:colOff>8164</xdr:colOff>
      <xdr:row>11</xdr:row>
      <xdr:rowOff>130629</xdr:rowOff>
    </xdr:to>
    <xdr:cxnSp macro="">
      <xdr:nvCxnSpPr>
        <xdr:cNvPr id="5" name="ลูกศรเชื่อมต่อแบบตรง 4">
          <a:extLst>
            <a:ext uri="{FF2B5EF4-FFF2-40B4-BE49-F238E27FC236}">
              <a16:creationId xmlns:a16="http://schemas.microsoft.com/office/drawing/2014/main" id="{6CCF6A5D-8F9F-42EF-A861-F06DB0CEE410}"/>
            </a:ext>
          </a:extLst>
        </xdr:cNvPr>
        <xdr:cNvCxnSpPr/>
      </xdr:nvCxnSpPr>
      <xdr:spPr>
        <a:xfrm flipV="1">
          <a:off x="6011636" y="3136447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521154</xdr:colOff>
      <xdr:row>12</xdr:row>
      <xdr:rowOff>126548</xdr:rowOff>
    </xdr:from>
    <xdr:to>
      <xdr:col>17</xdr:col>
      <xdr:colOff>4082</xdr:colOff>
      <xdr:row>12</xdr:row>
      <xdr:rowOff>140155</xdr:rowOff>
    </xdr:to>
    <xdr:cxnSp macro="">
      <xdr:nvCxnSpPr>
        <xdr:cNvPr id="6" name="ลูกศรเชื่อมต่อแบบตรง 5">
          <a:extLst>
            <a:ext uri="{FF2B5EF4-FFF2-40B4-BE49-F238E27FC236}">
              <a16:creationId xmlns:a16="http://schemas.microsoft.com/office/drawing/2014/main" id="{65CA122B-1AC2-4290-94E9-448CA25F5AA8}"/>
            </a:ext>
          </a:extLst>
        </xdr:cNvPr>
        <xdr:cNvCxnSpPr/>
      </xdr:nvCxnSpPr>
      <xdr:spPr>
        <a:xfrm flipV="1">
          <a:off x="6007554" y="3412673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6804</xdr:colOff>
      <xdr:row>13</xdr:row>
      <xdr:rowOff>149679</xdr:rowOff>
    </xdr:from>
    <xdr:to>
      <xdr:col>17</xdr:col>
      <xdr:colOff>13607</xdr:colOff>
      <xdr:row>13</xdr:row>
      <xdr:rowOff>163286</xdr:rowOff>
    </xdr:to>
    <xdr:cxnSp macro="">
      <xdr:nvCxnSpPr>
        <xdr:cNvPr id="7" name="ลูกศรเชื่อมต่อแบบตรง 6">
          <a:extLst>
            <a:ext uri="{FF2B5EF4-FFF2-40B4-BE49-F238E27FC236}">
              <a16:creationId xmlns:a16="http://schemas.microsoft.com/office/drawing/2014/main" id="{53F13705-0D84-4EE2-ABBB-BB00CD3351CB}"/>
            </a:ext>
          </a:extLst>
        </xdr:cNvPr>
        <xdr:cNvCxnSpPr/>
      </xdr:nvCxnSpPr>
      <xdr:spPr>
        <a:xfrm flipV="1">
          <a:off x="6017079" y="3702504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9526</xdr:colOff>
      <xdr:row>14</xdr:row>
      <xdr:rowOff>159204</xdr:rowOff>
    </xdr:from>
    <xdr:to>
      <xdr:col>17</xdr:col>
      <xdr:colOff>16329</xdr:colOff>
      <xdr:row>14</xdr:row>
      <xdr:rowOff>172811</xdr:rowOff>
    </xdr:to>
    <xdr:cxnSp macro="">
      <xdr:nvCxnSpPr>
        <xdr:cNvPr id="8" name="ลูกศรเชื่อมต่อแบบตรง 7">
          <a:extLst>
            <a:ext uri="{FF2B5EF4-FFF2-40B4-BE49-F238E27FC236}">
              <a16:creationId xmlns:a16="http://schemas.microsoft.com/office/drawing/2014/main" id="{6D4A24AE-166B-4887-ABCE-CEFF09E225F3}"/>
            </a:ext>
          </a:extLst>
        </xdr:cNvPr>
        <xdr:cNvCxnSpPr/>
      </xdr:nvCxnSpPr>
      <xdr:spPr>
        <a:xfrm flipV="1">
          <a:off x="6019801" y="3978729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515712</xdr:colOff>
      <xdr:row>15</xdr:row>
      <xdr:rowOff>148319</xdr:rowOff>
    </xdr:from>
    <xdr:to>
      <xdr:col>16</xdr:col>
      <xdr:colOff>291193</xdr:colOff>
      <xdr:row>15</xdr:row>
      <xdr:rowOff>161926</xdr:rowOff>
    </xdr:to>
    <xdr:cxnSp macro="">
      <xdr:nvCxnSpPr>
        <xdr:cNvPr id="9" name="ลูกศรเชื่อมต่อแบบตรง 8">
          <a:extLst>
            <a:ext uri="{FF2B5EF4-FFF2-40B4-BE49-F238E27FC236}">
              <a16:creationId xmlns:a16="http://schemas.microsoft.com/office/drawing/2014/main" id="{7DCD636E-D8E4-40EF-8365-5BBC8FB3E000}"/>
            </a:ext>
          </a:extLst>
        </xdr:cNvPr>
        <xdr:cNvCxnSpPr/>
      </xdr:nvCxnSpPr>
      <xdr:spPr>
        <a:xfrm flipV="1">
          <a:off x="6011637" y="4234544"/>
          <a:ext cx="3537856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1361</xdr:colOff>
      <xdr:row>16</xdr:row>
      <xdr:rowOff>117023</xdr:rowOff>
    </xdr:from>
    <xdr:to>
      <xdr:col>17</xdr:col>
      <xdr:colOff>8164</xdr:colOff>
      <xdr:row>16</xdr:row>
      <xdr:rowOff>130630</xdr:rowOff>
    </xdr:to>
    <xdr:cxnSp macro="">
      <xdr:nvCxnSpPr>
        <xdr:cNvPr id="10" name="ลูกศรเชื่อมต่อแบบตรง 9">
          <a:extLst>
            <a:ext uri="{FF2B5EF4-FFF2-40B4-BE49-F238E27FC236}">
              <a16:creationId xmlns:a16="http://schemas.microsoft.com/office/drawing/2014/main" id="{123587C6-2238-4362-9ECC-32ECDF646F03}"/>
            </a:ext>
          </a:extLst>
        </xdr:cNvPr>
        <xdr:cNvCxnSpPr/>
      </xdr:nvCxnSpPr>
      <xdr:spPr>
        <a:xfrm flipV="1">
          <a:off x="6011636" y="4736648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521153</xdr:colOff>
      <xdr:row>17</xdr:row>
      <xdr:rowOff>126547</xdr:rowOff>
    </xdr:from>
    <xdr:to>
      <xdr:col>17</xdr:col>
      <xdr:colOff>4081</xdr:colOff>
      <xdr:row>17</xdr:row>
      <xdr:rowOff>140154</xdr:rowOff>
    </xdr:to>
    <xdr:cxnSp macro="">
      <xdr:nvCxnSpPr>
        <xdr:cNvPr id="11" name="ลูกศรเชื่อมต่อแบบตรง 10">
          <a:extLst>
            <a:ext uri="{FF2B5EF4-FFF2-40B4-BE49-F238E27FC236}">
              <a16:creationId xmlns:a16="http://schemas.microsoft.com/office/drawing/2014/main" id="{F0DCEC67-0BA1-4EDE-A11E-F5DF5B490316}"/>
            </a:ext>
          </a:extLst>
        </xdr:cNvPr>
        <xdr:cNvCxnSpPr/>
      </xdr:nvCxnSpPr>
      <xdr:spPr>
        <a:xfrm flipV="1">
          <a:off x="6007553" y="5279572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378592</xdr:colOff>
      <xdr:row>18</xdr:row>
      <xdr:rowOff>114615</xdr:rowOff>
    </xdr:from>
    <xdr:to>
      <xdr:col>16</xdr:col>
      <xdr:colOff>277898</xdr:colOff>
      <xdr:row>18</xdr:row>
      <xdr:rowOff>128222</xdr:rowOff>
    </xdr:to>
    <xdr:cxnSp macro="">
      <xdr:nvCxnSpPr>
        <xdr:cNvPr id="12" name="ลูกศรเชื่อมต่อแบบตรง 11">
          <a:extLst>
            <a:ext uri="{FF2B5EF4-FFF2-40B4-BE49-F238E27FC236}">
              <a16:creationId xmlns:a16="http://schemas.microsoft.com/office/drawing/2014/main" id="{3D873F94-6571-4302-9B0D-E0BC019B46AD}"/>
            </a:ext>
          </a:extLst>
        </xdr:cNvPr>
        <xdr:cNvCxnSpPr/>
      </xdr:nvCxnSpPr>
      <xdr:spPr>
        <a:xfrm flipV="1">
          <a:off x="5931667" y="5801040"/>
          <a:ext cx="3604531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23813</xdr:colOff>
      <xdr:row>19</xdr:row>
      <xdr:rowOff>117231</xdr:rowOff>
    </xdr:from>
    <xdr:to>
      <xdr:col>17</xdr:col>
      <xdr:colOff>17759</xdr:colOff>
      <xdr:row>19</xdr:row>
      <xdr:rowOff>130838</xdr:rowOff>
    </xdr:to>
    <xdr:cxnSp macro="">
      <xdr:nvCxnSpPr>
        <xdr:cNvPr id="13" name="ลูกศรเชื่อมต่อแบบตรง 12">
          <a:extLst>
            <a:ext uri="{FF2B5EF4-FFF2-40B4-BE49-F238E27FC236}">
              <a16:creationId xmlns:a16="http://schemas.microsoft.com/office/drawing/2014/main" id="{559BAD3B-890E-4BE7-A4ED-AE10E66861B3}"/>
            </a:ext>
          </a:extLst>
        </xdr:cNvPr>
        <xdr:cNvCxnSpPr/>
      </xdr:nvCxnSpPr>
      <xdr:spPr>
        <a:xfrm flipV="1">
          <a:off x="6034088" y="6337056"/>
          <a:ext cx="3537246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515711</xdr:colOff>
      <xdr:row>22</xdr:row>
      <xdr:rowOff>148318</xdr:rowOff>
    </xdr:from>
    <xdr:to>
      <xdr:col>16</xdr:col>
      <xdr:colOff>291192</xdr:colOff>
      <xdr:row>22</xdr:row>
      <xdr:rowOff>161925</xdr:rowOff>
    </xdr:to>
    <xdr:cxnSp macro="">
      <xdr:nvCxnSpPr>
        <xdr:cNvPr id="14" name="ลูกศรเชื่อมต่อแบบตรง 13">
          <a:extLst>
            <a:ext uri="{FF2B5EF4-FFF2-40B4-BE49-F238E27FC236}">
              <a16:creationId xmlns:a16="http://schemas.microsoft.com/office/drawing/2014/main" id="{18E95DD5-DE51-4D4A-86AE-A09E7BDFF3D4}"/>
            </a:ext>
          </a:extLst>
        </xdr:cNvPr>
        <xdr:cNvCxnSpPr/>
      </xdr:nvCxnSpPr>
      <xdr:spPr>
        <a:xfrm flipV="1">
          <a:off x="6011636" y="7168243"/>
          <a:ext cx="3537856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1361</xdr:colOff>
      <xdr:row>23</xdr:row>
      <xdr:rowOff>117022</xdr:rowOff>
    </xdr:from>
    <xdr:to>
      <xdr:col>17</xdr:col>
      <xdr:colOff>8164</xdr:colOff>
      <xdr:row>23</xdr:row>
      <xdr:rowOff>130629</xdr:rowOff>
    </xdr:to>
    <xdr:cxnSp macro="">
      <xdr:nvCxnSpPr>
        <xdr:cNvPr id="15" name="ลูกศรเชื่อมต่อแบบตรง 14">
          <a:extLst>
            <a:ext uri="{FF2B5EF4-FFF2-40B4-BE49-F238E27FC236}">
              <a16:creationId xmlns:a16="http://schemas.microsoft.com/office/drawing/2014/main" id="{7B78B5E7-F4A0-4265-AA2A-B6F4DD686184}"/>
            </a:ext>
          </a:extLst>
        </xdr:cNvPr>
        <xdr:cNvCxnSpPr/>
      </xdr:nvCxnSpPr>
      <xdr:spPr>
        <a:xfrm flipV="1">
          <a:off x="6011636" y="7670347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521154</xdr:colOff>
      <xdr:row>24</xdr:row>
      <xdr:rowOff>126548</xdr:rowOff>
    </xdr:from>
    <xdr:to>
      <xdr:col>17</xdr:col>
      <xdr:colOff>4082</xdr:colOff>
      <xdr:row>24</xdr:row>
      <xdr:rowOff>140155</xdr:rowOff>
    </xdr:to>
    <xdr:cxnSp macro="">
      <xdr:nvCxnSpPr>
        <xdr:cNvPr id="16" name="ลูกศรเชื่อมต่อแบบตรง 15">
          <a:extLst>
            <a:ext uri="{FF2B5EF4-FFF2-40B4-BE49-F238E27FC236}">
              <a16:creationId xmlns:a16="http://schemas.microsoft.com/office/drawing/2014/main" id="{D98FAD3C-D6D7-4C26-A16A-38F94750D213}"/>
            </a:ext>
          </a:extLst>
        </xdr:cNvPr>
        <xdr:cNvCxnSpPr/>
      </xdr:nvCxnSpPr>
      <xdr:spPr>
        <a:xfrm flipV="1">
          <a:off x="6007554" y="8213273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6804</xdr:colOff>
      <xdr:row>25</xdr:row>
      <xdr:rowOff>149679</xdr:rowOff>
    </xdr:from>
    <xdr:to>
      <xdr:col>17</xdr:col>
      <xdr:colOff>13607</xdr:colOff>
      <xdr:row>25</xdr:row>
      <xdr:rowOff>163286</xdr:rowOff>
    </xdr:to>
    <xdr:cxnSp macro="">
      <xdr:nvCxnSpPr>
        <xdr:cNvPr id="17" name="ลูกศรเชื่อมต่อแบบตรง 16">
          <a:extLst>
            <a:ext uri="{FF2B5EF4-FFF2-40B4-BE49-F238E27FC236}">
              <a16:creationId xmlns:a16="http://schemas.microsoft.com/office/drawing/2014/main" id="{6C99A6B9-EED5-4494-A336-96C3E9DE08E6}"/>
            </a:ext>
          </a:extLst>
        </xdr:cNvPr>
        <xdr:cNvCxnSpPr/>
      </xdr:nvCxnSpPr>
      <xdr:spPr>
        <a:xfrm flipV="1">
          <a:off x="6017079" y="8503104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1361</xdr:colOff>
      <xdr:row>28</xdr:row>
      <xdr:rowOff>117023</xdr:rowOff>
    </xdr:from>
    <xdr:to>
      <xdr:col>17</xdr:col>
      <xdr:colOff>8164</xdr:colOff>
      <xdr:row>28</xdr:row>
      <xdr:rowOff>130630</xdr:rowOff>
    </xdr:to>
    <xdr:cxnSp macro="">
      <xdr:nvCxnSpPr>
        <xdr:cNvPr id="18" name="ลูกศรเชื่อมต่อแบบตรง 17">
          <a:extLst>
            <a:ext uri="{FF2B5EF4-FFF2-40B4-BE49-F238E27FC236}">
              <a16:creationId xmlns:a16="http://schemas.microsoft.com/office/drawing/2014/main" id="{9AF09AC7-D1C2-4064-8AE6-84F19900A3B5}"/>
            </a:ext>
          </a:extLst>
        </xdr:cNvPr>
        <xdr:cNvCxnSpPr/>
      </xdr:nvCxnSpPr>
      <xdr:spPr>
        <a:xfrm flipV="1">
          <a:off x="6011636" y="9270548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521153</xdr:colOff>
      <xdr:row>29</xdr:row>
      <xdr:rowOff>126547</xdr:rowOff>
    </xdr:from>
    <xdr:to>
      <xdr:col>17</xdr:col>
      <xdr:colOff>4081</xdr:colOff>
      <xdr:row>29</xdr:row>
      <xdr:rowOff>140154</xdr:rowOff>
    </xdr:to>
    <xdr:cxnSp macro="">
      <xdr:nvCxnSpPr>
        <xdr:cNvPr id="19" name="ลูกศรเชื่อมต่อแบบตรง 18">
          <a:extLst>
            <a:ext uri="{FF2B5EF4-FFF2-40B4-BE49-F238E27FC236}">
              <a16:creationId xmlns:a16="http://schemas.microsoft.com/office/drawing/2014/main" id="{2ED06EEB-EAFC-4D5B-860E-CDCB0FD6AD81}"/>
            </a:ext>
          </a:extLst>
        </xdr:cNvPr>
        <xdr:cNvCxnSpPr/>
      </xdr:nvCxnSpPr>
      <xdr:spPr>
        <a:xfrm flipV="1">
          <a:off x="6007553" y="9546772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378592</xdr:colOff>
      <xdr:row>30</xdr:row>
      <xdr:rowOff>114615</xdr:rowOff>
    </xdr:from>
    <xdr:to>
      <xdr:col>16</xdr:col>
      <xdr:colOff>277898</xdr:colOff>
      <xdr:row>30</xdr:row>
      <xdr:rowOff>128222</xdr:rowOff>
    </xdr:to>
    <xdr:cxnSp macro="">
      <xdr:nvCxnSpPr>
        <xdr:cNvPr id="20" name="ลูกศรเชื่อมต่อแบบตรง 19">
          <a:extLst>
            <a:ext uri="{FF2B5EF4-FFF2-40B4-BE49-F238E27FC236}">
              <a16:creationId xmlns:a16="http://schemas.microsoft.com/office/drawing/2014/main" id="{0A6BD1CA-CE96-4517-862D-4A827951B216}"/>
            </a:ext>
          </a:extLst>
        </xdr:cNvPr>
        <xdr:cNvCxnSpPr/>
      </xdr:nvCxnSpPr>
      <xdr:spPr>
        <a:xfrm flipV="1">
          <a:off x="5931667" y="9801540"/>
          <a:ext cx="3604531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519794</xdr:colOff>
      <xdr:row>34</xdr:row>
      <xdr:rowOff>166008</xdr:rowOff>
    </xdr:from>
    <xdr:to>
      <xdr:col>17</xdr:col>
      <xdr:colOff>2722</xdr:colOff>
      <xdr:row>34</xdr:row>
      <xdr:rowOff>179615</xdr:rowOff>
    </xdr:to>
    <xdr:cxnSp macro="">
      <xdr:nvCxnSpPr>
        <xdr:cNvPr id="21" name="ลูกศรเชื่อมต่อแบบตรง 20">
          <a:extLst>
            <a:ext uri="{FF2B5EF4-FFF2-40B4-BE49-F238E27FC236}">
              <a16:creationId xmlns:a16="http://schemas.microsoft.com/office/drawing/2014/main" id="{311DEB54-513A-46C6-A9DE-F3BFABD9C1BA}"/>
            </a:ext>
          </a:extLst>
        </xdr:cNvPr>
        <xdr:cNvCxnSpPr/>
      </xdr:nvCxnSpPr>
      <xdr:spPr>
        <a:xfrm flipV="1">
          <a:off x="6006194" y="10919733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515711</xdr:colOff>
      <xdr:row>35</xdr:row>
      <xdr:rowOff>148318</xdr:rowOff>
    </xdr:from>
    <xdr:to>
      <xdr:col>16</xdr:col>
      <xdr:colOff>291192</xdr:colOff>
      <xdr:row>35</xdr:row>
      <xdr:rowOff>161925</xdr:rowOff>
    </xdr:to>
    <xdr:cxnSp macro="">
      <xdr:nvCxnSpPr>
        <xdr:cNvPr id="22" name="ลูกศรเชื่อมต่อแบบตรง 21">
          <a:extLst>
            <a:ext uri="{FF2B5EF4-FFF2-40B4-BE49-F238E27FC236}">
              <a16:creationId xmlns:a16="http://schemas.microsoft.com/office/drawing/2014/main" id="{3BF18BD7-8BDF-4479-9225-2E17CEFB79E4}"/>
            </a:ext>
          </a:extLst>
        </xdr:cNvPr>
        <xdr:cNvCxnSpPr/>
      </xdr:nvCxnSpPr>
      <xdr:spPr>
        <a:xfrm flipV="1">
          <a:off x="6011636" y="11168743"/>
          <a:ext cx="3537856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29308</xdr:colOff>
      <xdr:row>52</xdr:row>
      <xdr:rowOff>36632</xdr:rowOff>
    </xdr:from>
    <xdr:to>
      <xdr:col>17</xdr:col>
      <xdr:colOff>75027</xdr:colOff>
      <xdr:row>59</xdr:row>
      <xdr:rowOff>227135</xdr:rowOff>
    </xdr:to>
    <xdr:sp macro="" textlink="">
      <xdr:nvSpPr>
        <xdr:cNvPr id="2" name="วงเล็บปีกกาขวา 1">
          <a:extLst>
            <a:ext uri="{FF2B5EF4-FFF2-40B4-BE49-F238E27FC236}">
              <a16:creationId xmlns:a16="http://schemas.microsoft.com/office/drawing/2014/main" id="{65B14C69-7622-4DE8-8A2D-7EFF68B2DBD2}"/>
            </a:ext>
          </a:extLst>
        </xdr:cNvPr>
        <xdr:cNvSpPr/>
      </xdr:nvSpPr>
      <xdr:spPr>
        <a:xfrm>
          <a:off x="9335233" y="14257457"/>
          <a:ext cx="45719" cy="2057403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</xdr:col>
      <xdr:colOff>1714953</xdr:colOff>
      <xdr:row>122</xdr:row>
      <xdr:rowOff>65314</xdr:rowOff>
    </xdr:from>
    <xdr:to>
      <xdr:col>1</xdr:col>
      <xdr:colOff>1848303</xdr:colOff>
      <xdr:row>124</xdr:row>
      <xdr:rowOff>175078</xdr:rowOff>
    </xdr:to>
    <xdr:sp macro="" textlink="">
      <xdr:nvSpPr>
        <xdr:cNvPr id="3" name="วงเล็บปีกกาขวา 2">
          <a:extLst>
            <a:ext uri="{FF2B5EF4-FFF2-40B4-BE49-F238E27FC236}">
              <a16:creationId xmlns:a16="http://schemas.microsoft.com/office/drawing/2014/main" id="{0D94CFE8-B2F3-4DBB-8F6A-DBFC38B7B93A}"/>
            </a:ext>
          </a:extLst>
        </xdr:cNvPr>
        <xdr:cNvSpPr/>
      </xdr:nvSpPr>
      <xdr:spPr>
        <a:xfrm>
          <a:off x="2048328" y="37222339"/>
          <a:ext cx="133350" cy="643164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</xdr:col>
      <xdr:colOff>1901825</xdr:colOff>
      <xdr:row>123</xdr:row>
      <xdr:rowOff>6802</xdr:rowOff>
    </xdr:from>
    <xdr:to>
      <xdr:col>1</xdr:col>
      <xdr:colOff>3070225</xdr:colOff>
      <xdr:row>124</xdr:row>
      <xdr:rowOff>26760</xdr:rowOff>
    </xdr:to>
    <xdr:sp macro="" textlink="">
      <xdr:nvSpPr>
        <xdr:cNvPr id="4" name="TextBox 12">
          <a:extLst>
            <a:ext uri="{FF2B5EF4-FFF2-40B4-BE49-F238E27FC236}">
              <a16:creationId xmlns:a16="http://schemas.microsoft.com/office/drawing/2014/main" id="{A3EDD9D4-7684-4B16-B891-2D670F3D1D8F}"/>
            </a:ext>
          </a:extLst>
        </xdr:cNvPr>
        <xdr:cNvSpPr txBox="1"/>
      </xdr:nvSpPr>
      <xdr:spPr>
        <a:xfrm>
          <a:off x="2235200" y="37430527"/>
          <a:ext cx="1168400" cy="2866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th-TH" sz="1200">
              <a:latin typeface="TH SarabunPSK" pitchFamily="34" charset="-34"/>
              <a:cs typeface="TH SarabunPSK" pitchFamily="34" charset="-34"/>
            </a:rPr>
            <a:t>ปรับภูมิทัศน์ข่วงนคร</a:t>
          </a:r>
        </a:p>
        <a:p>
          <a:endParaRPr lang="th-TH" sz="1200">
            <a:latin typeface="TH SarabunPSK" pitchFamily="34" charset="-34"/>
            <a:cs typeface="TH SarabunPSK" pitchFamily="34" charset="-34"/>
          </a:endParaRPr>
        </a:p>
      </xdr:txBody>
    </xdr:sp>
    <xdr:clientData/>
  </xdr:twoCellAnchor>
  <xdr:twoCellAnchor>
    <xdr:from>
      <xdr:col>1</xdr:col>
      <xdr:colOff>1606547</xdr:colOff>
      <xdr:row>126</xdr:row>
      <xdr:rowOff>88901</xdr:rowOff>
    </xdr:from>
    <xdr:to>
      <xdr:col>1</xdr:col>
      <xdr:colOff>3422198</xdr:colOff>
      <xdr:row>127</xdr:row>
      <xdr:rowOff>95250</xdr:rowOff>
    </xdr:to>
    <xdr:sp macro="" textlink="">
      <xdr:nvSpPr>
        <xdr:cNvPr id="5" name="TextBox 13">
          <a:extLst>
            <a:ext uri="{FF2B5EF4-FFF2-40B4-BE49-F238E27FC236}">
              <a16:creationId xmlns:a16="http://schemas.microsoft.com/office/drawing/2014/main" id="{E54C8030-1D1E-41F8-A6D9-774E12B3B427}"/>
            </a:ext>
          </a:extLst>
        </xdr:cNvPr>
        <xdr:cNvSpPr txBox="1"/>
      </xdr:nvSpPr>
      <xdr:spPr>
        <a:xfrm>
          <a:off x="1939922" y="38312726"/>
          <a:ext cx="1815651" cy="2730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th-TH" sz="1200">
              <a:latin typeface="TH SarabunPSK" pitchFamily="34" charset="-34"/>
              <a:cs typeface="TH SarabunPSK" pitchFamily="34" charset="-34"/>
            </a:rPr>
            <a:t>ปรับภูมิทัศน์ข่วงนคร ร้านอาหารสวนห้าแยก</a:t>
          </a:r>
        </a:p>
        <a:p>
          <a:endParaRPr lang="th-TH" sz="1200">
            <a:latin typeface="TH SarabunPSK" pitchFamily="34" charset="-34"/>
            <a:cs typeface="TH SarabunPSK" pitchFamily="34" charset="-34"/>
          </a:endParaRPr>
        </a:p>
      </xdr:txBody>
    </xdr:sp>
    <xdr:clientData/>
  </xdr:twoCellAnchor>
  <xdr:twoCellAnchor>
    <xdr:from>
      <xdr:col>1</xdr:col>
      <xdr:colOff>1467304</xdr:colOff>
      <xdr:row>125</xdr:row>
      <xdr:rowOff>18143</xdr:rowOff>
    </xdr:from>
    <xdr:to>
      <xdr:col>1</xdr:col>
      <xdr:colOff>1568904</xdr:colOff>
      <xdr:row>128</xdr:row>
      <xdr:rowOff>0</xdr:rowOff>
    </xdr:to>
    <xdr:sp macro="" textlink="">
      <xdr:nvSpPr>
        <xdr:cNvPr id="6" name="วงเล็บปีกกาขวา 5">
          <a:extLst>
            <a:ext uri="{FF2B5EF4-FFF2-40B4-BE49-F238E27FC236}">
              <a16:creationId xmlns:a16="http://schemas.microsoft.com/office/drawing/2014/main" id="{29C4878B-CEC8-4E9C-B9AE-D71D24CB1DCF}"/>
            </a:ext>
          </a:extLst>
        </xdr:cNvPr>
        <xdr:cNvSpPr/>
      </xdr:nvSpPr>
      <xdr:spPr>
        <a:xfrm>
          <a:off x="1800679" y="37975268"/>
          <a:ext cx="101600" cy="781957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</xdr:col>
      <xdr:colOff>850900</xdr:colOff>
      <xdr:row>105</xdr:row>
      <xdr:rowOff>76200</xdr:rowOff>
    </xdr:from>
    <xdr:to>
      <xdr:col>1</xdr:col>
      <xdr:colOff>984250</xdr:colOff>
      <xdr:row>107</xdr:row>
      <xdr:rowOff>158750</xdr:rowOff>
    </xdr:to>
    <xdr:sp macro="" textlink="">
      <xdr:nvSpPr>
        <xdr:cNvPr id="7" name="วงเล็บปีกกาขวา 6">
          <a:extLst>
            <a:ext uri="{FF2B5EF4-FFF2-40B4-BE49-F238E27FC236}">
              <a16:creationId xmlns:a16="http://schemas.microsoft.com/office/drawing/2014/main" id="{B17E6203-6C9C-4A52-B559-572F20176778}"/>
            </a:ext>
          </a:extLst>
        </xdr:cNvPr>
        <xdr:cNvSpPr/>
      </xdr:nvSpPr>
      <xdr:spPr>
        <a:xfrm>
          <a:off x="1184275" y="31365825"/>
          <a:ext cx="133350" cy="61595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</xdr:col>
      <xdr:colOff>933450</xdr:colOff>
      <xdr:row>105</xdr:row>
      <xdr:rowOff>170542</xdr:rowOff>
    </xdr:from>
    <xdr:to>
      <xdr:col>1</xdr:col>
      <xdr:colOff>3124200</xdr:colOff>
      <xdr:row>106</xdr:row>
      <xdr:rowOff>176892</xdr:rowOff>
    </xdr:to>
    <xdr:sp macro="" textlink="">
      <xdr:nvSpPr>
        <xdr:cNvPr id="8" name="TextBox 21">
          <a:extLst>
            <a:ext uri="{FF2B5EF4-FFF2-40B4-BE49-F238E27FC236}">
              <a16:creationId xmlns:a16="http://schemas.microsoft.com/office/drawing/2014/main" id="{1F764684-7356-4446-8AF1-A9D739DEE7BC}"/>
            </a:ext>
          </a:extLst>
        </xdr:cNvPr>
        <xdr:cNvSpPr txBox="1"/>
      </xdr:nvSpPr>
      <xdr:spPr>
        <a:xfrm>
          <a:off x="1266825" y="31460167"/>
          <a:ext cx="2190750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th-TH" sz="1200">
              <a:latin typeface="TH SarabunPSK" pitchFamily="34" charset="-34"/>
              <a:cs typeface="TH SarabunPSK" pitchFamily="34" charset="-34"/>
            </a:rPr>
            <a:t>ปรับภูมิทัศน์ข่วงนคร (หน่วยบริการประชาชนฯ)</a:t>
          </a:r>
        </a:p>
        <a:p>
          <a:endParaRPr lang="th-TH" sz="1200">
            <a:latin typeface="TH SarabunPSK" pitchFamily="34" charset="-34"/>
            <a:cs typeface="TH SarabunPSK" pitchFamily="34" charset="-34"/>
          </a:endParaRPr>
        </a:p>
      </xdr:txBody>
    </xdr:sp>
    <xdr:clientData/>
  </xdr:twoCellAnchor>
  <xdr:twoCellAnchor>
    <xdr:from>
      <xdr:col>5</xdr:col>
      <xdr:colOff>6804</xdr:colOff>
      <xdr:row>8</xdr:row>
      <xdr:rowOff>149679</xdr:rowOff>
    </xdr:from>
    <xdr:to>
      <xdr:col>17</xdr:col>
      <xdr:colOff>13607</xdr:colOff>
      <xdr:row>8</xdr:row>
      <xdr:rowOff>163286</xdr:rowOff>
    </xdr:to>
    <xdr:cxnSp macro="">
      <xdr:nvCxnSpPr>
        <xdr:cNvPr id="9" name="ลูกศรเชื่อมต่อแบบตรง 8">
          <a:extLst>
            <a:ext uri="{FF2B5EF4-FFF2-40B4-BE49-F238E27FC236}">
              <a16:creationId xmlns:a16="http://schemas.microsoft.com/office/drawing/2014/main" id="{EBDE1B2A-B767-42E9-BC50-186F450E1CAD}"/>
            </a:ext>
          </a:extLst>
        </xdr:cNvPr>
        <xdr:cNvCxnSpPr/>
      </xdr:nvCxnSpPr>
      <xdr:spPr>
        <a:xfrm flipV="1">
          <a:off x="5769429" y="2369004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519794</xdr:colOff>
      <xdr:row>9</xdr:row>
      <xdr:rowOff>166008</xdr:rowOff>
    </xdr:from>
    <xdr:to>
      <xdr:col>17</xdr:col>
      <xdr:colOff>2722</xdr:colOff>
      <xdr:row>9</xdr:row>
      <xdr:rowOff>179615</xdr:rowOff>
    </xdr:to>
    <xdr:cxnSp macro="">
      <xdr:nvCxnSpPr>
        <xdr:cNvPr id="10" name="ลูกศรเชื่อมต่อแบบตรง 9">
          <a:extLst>
            <a:ext uri="{FF2B5EF4-FFF2-40B4-BE49-F238E27FC236}">
              <a16:creationId xmlns:a16="http://schemas.microsoft.com/office/drawing/2014/main" id="{61F18123-7E71-4241-99EA-4524A72E0E1B}"/>
            </a:ext>
          </a:extLst>
        </xdr:cNvPr>
        <xdr:cNvCxnSpPr/>
      </xdr:nvCxnSpPr>
      <xdr:spPr>
        <a:xfrm flipV="1">
          <a:off x="5758544" y="2652033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515711</xdr:colOff>
      <xdr:row>10</xdr:row>
      <xdr:rowOff>148318</xdr:rowOff>
    </xdr:from>
    <xdr:to>
      <xdr:col>16</xdr:col>
      <xdr:colOff>291192</xdr:colOff>
      <xdr:row>10</xdr:row>
      <xdr:rowOff>161925</xdr:rowOff>
    </xdr:to>
    <xdr:cxnSp macro="">
      <xdr:nvCxnSpPr>
        <xdr:cNvPr id="11" name="ลูกศรเชื่อมต่อแบบตรง 10">
          <a:extLst>
            <a:ext uri="{FF2B5EF4-FFF2-40B4-BE49-F238E27FC236}">
              <a16:creationId xmlns:a16="http://schemas.microsoft.com/office/drawing/2014/main" id="{81F4F40C-3AD8-4D1B-AF2A-0BBD205B1264}"/>
            </a:ext>
          </a:extLst>
        </xdr:cNvPr>
        <xdr:cNvCxnSpPr/>
      </xdr:nvCxnSpPr>
      <xdr:spPr>
        <a:xfrm flipV="1">
          <a:off x="5763986" y="2901043"/>
          <a:ext cx="3537856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1361</xdr:colOff>
      <xdr:row>11</xdr:row>
      <xdr:rowOff>117022</xdr:rowOff>
    </xdr:from>
    <xdr:to>
      <xdr:col>17</xdr:col>
      <xdr:colOff>8164</xdr:colOff>
      <xdr:row>11</xdr:row>
      <xdr:rowOff>130629</xdr:rowOff>
    </xdr:to>
    <xdr:cxnSp macro="">
      <xdr:nvCxnSpPr>
        <xdr:cNvPr id="12" name="ลูกศรเชื่อมต่อแบบตรง 11">
          <a:extLst>
            <a:ext uri="{FF2B5EF4-FFF2-40B4-BE49-F238E27FC236}">
              <a16:creationId xmlns:a16="http://schemas.microsoft.com/office/drawing/2014/main" id="{822A00BB-B169-4631-845F-DEA93EBA026B}"/>
            </a:ext>
          </a:extLst>
        </xdr:cNvPr>
        <xdr:cNvCxnSpPr/>
      </xdr:nvCxnSpPr>
      <xdr:spPr>
        <a:xfrm flipV="1">
          <a:off x="5763986" y="3136447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521154</xdr:colOff>
      <xdr:row>12</xdr:row>
      <xdr:rowOff>126548</xdr:rowOff>
    </xdr:from>
    <xdr:to>
      <xdr:col>17</xdr:col>
      <xdr:colOff>4082</xdr:colOff>
      <xdr:row>12</xdr:row>
      <xdr:rowOff>140155</xdr:rowOff>
    </xdr:to>
    <xdr:cxnSp macro="">
      <xdr:nvCxnSpPr>
        <xdr:cNvPr id="13" name="ลูกศรเชื่อมต่อแบบตรง 12">
          <a:extLst>
            <a:ext uri="{FF2B5EF4-FFF2-40B4-BE49-F238E27FC236}">
              <a16:creationId xmlns:a16="http://schemas.microsoft.com/office/drawing/2014/main" id="{5D53BE9D-958A-4C36-B545-397AB301D572}"/>
            </a:ext>
          </a:extLst>
        </xdr:cNvPr>
        <xdr:cNvCxnSpPr/>
      </xdr:nvCxnSpPr>
      <xdr:spPr>
        <a:xfrm flipV="1">
          <a:off x="5759904" y="3679373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6804</xdr:colOff>
      <xdr:row>13</xdr:row>
      <xdr:rowOff>149679</xdr:rowOff>
    </xdr:from>
    <xdr:to>
      <xdr:col>17</xdr:col>
      <xdr:colOff>13607</xdr:colOff>
      <xdr:row>13</xdr:row>
      <xdr:rowOff>163286</xdr:rowOff>
    </xdr:to>
    <xdr:cxnSp macro="">
      <xdr:nvCxnSpPr>
        <xdr:cNvPr id="14" name="ลูกศรเชื่อมต่อแบบตรง 13">
          <a:extLst>
            <a:ext uri="{FF2B5EF4-FFF2-40B4-BE49-F238E27FC236}">
              <a16:creationId xmlns:a16="http://schemas.microsoft.com/office/drawing/2014/main" id="{F9E16855-92DA-4636-AB6C-E56264B7C060}"/>
            </a:ext>
          </a:extLst>
        </xdr:cNvPr>
        <xdr:cNvCxnSpPr/>
      </xdr:nvCxnSpPr>
      <xdr:spPr>
        <a:xfrm flipV="1">
          <a:off x="5769429" y="3969204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9526</xdr:colOff>
      <xdr:row>14</xdr:row>
      <xdr:rowOff>159204</xdr:rowOff>
    </xdr:from>
    <xdr:to>
      <xdr:col>17</xdr:col>
      <xdr:colOff>16329</xdr:colOff>
      <xdr:row>14</xdr:row>
      <xdr:rowOff>172811</xdr:rowOff>
    </xdr:to>
    <xdr:cxnSp macro="">
      <xdr:nvCxnSpPr>
        <xdr:cNvPr id="15" name="ลูกศรเชื่อมต่อแบบตรง 14">
          <a:extLst>
            <a:ext uri="{FF2B5EF4-FFF2-40B4-BE49-F238E27FC236}">
              <a16:creationId xmlns:a16="http://schemas.microsoft.com/office/drawing/2014/main" id="{474BC616-8104-4BA8-BA96-677B8872C93F}"/>
            </a:ext>
          </a:extLst>
        </xdr:cNvPr>
        <xdr:cNvCxnSpPr/>
      </xdr:nvCxnSpPr>
      <xdr:spPr>
        <a:xfrm flipV="1">
          <a:off x="5772151" y="4245429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515712</xdr:colOff>
      <xdr:row>15</xdr:row>
      <xdr:rowOff>148319</xdr:rowOff>
    </xdr:from>
    <xdr:to>
      <xdr:col>16</xdr:col>
      <xdr:colOff>291193</xdr:colOff>
      <xdr:row>15</xdr:row>
      <xdr:rowOff>161926</xdr:rowOff>
    </xdr:to>
    <xdr:cxnSp macro="">
      <xdr:nvCxnSpPr>
        <xdr:cNvPr id="16" name="ลูกศรเชื่อมต่อแบบตรง 15">
          <a:extLst>
            <a:ext uri="{FF2B5EF4-FFF2-40B4-BE49-F238E27FC236}">
              <a16:creationId xmlns:a16="http://schemas.microsoft.com/office/drawing/2014/main" id="{6EFC0328-A534-4F6B-952B-7672365E9F36}"/>
            </a:ext>
          </a:extLst>
        </xdr:cNvPr>
        <xdr:cNvCxnSpPr/>
      </xdr:nvCxnSpPr>
      <xdr:spPr>
        <a:xfrm flipV="1">
          <a:off x="5763987" y="4501244"/>
          <a:ext cx="3537856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1361</xdr:colOff>
      <xdr:row>16</xdr:row>
      <xdr:rowOff>117023</xdr:rowOff>
    </xdr:from>
    <xdr:to>
      <xdr:col>17</xdr:col>
      <xdr:colOff>8164</xdr:colOff>
      <xdr:row>16</xdr:row>
      <xdr:rowOff>130630</xdr:rowOff>
    </xdr:to>
    <xdr:cxnSp macro="">
      <xdr:nvCxnSpPr>
        <xdr:cNvPr id="17" name="ลูกศรเชื่อมต่อแบบตรง 16">
          <a:extLst>
            <a:ext uri="{FF2B5EF4-FFF2-40B4-BE49-F238E27FC236}">
              <a16:creationId xmlns:a16="http://schemas.microsoft.com/office/drawing/2014/main" id="{E7062E6F-BE9E-47F9-A33E-8C580AA31E7D}"/>
            </a:ext>
          </a:extLst>
        </xdr:cNvPr>
        <xdr:cNvCxnSpPr/>
      </xdr:nvCxnSpPr>
      <xdr:spPr>
        <a:xfrm flipV="1">
          <a:off x="5763986" y="4736648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521153</xdr:colOff>
      <xdr:row>17</xdr:row>
      <xdr:rowOff>126547</xdr:rowOff>
    </xdr:from>
    <xdr:to>
      <xdr:col>17</xdr:col>
      <xdr:colOff>4081</xdr:colOff>
      <xdr:row>17</xdr:row>
      <xdr:rowOff>140154</xdr:rowOff>
    </xdr:to>
    <xdr:cxnSp macro="">
      <xdr:nvCxnSpPr>
        <xdr:cNvPr id="18" name="ลูกศรเชื่อมต่อแบบตรง 17">
          <a:extLst>
            <a:ext uri="{FF2B5EF4-FFF2-40B4-BE49-F238E27FC236}">
              <a16:creationId xmlns:a16="http://schemas.microsoft.com/office/drawing/2014/main" id="{89954B9E-71EB-47DB-AB0D-7015FC7EAA11}"/>
            </a:ext>
          </a:extLst>
        </xdr:cNvPr>
        <xdr:cNvCxnSpPr/>
      </xdr:nvCxnSpPr>
      <xdr:spPr>
        <a:xfrm flipV="1">
          <a:off x="5759903" y="5012872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378592</xdr:colOff>
      <xdr:row>18</xdr:row>
      <xdr:rowOff>114615</xdr:rowOff>
    </xdr:from>
    <xdr:to>
      <xdr:col>16</xdr:col>
      <xdr:colOff>277898</xdr:colOff>
      <xdr:row>18</xdr:row>
      <xdr:rowOff>128222</xdr:rowOff>
    </xdr:to>
    <xdr:cxnSp macro="">
      <xdr:nvCxnSpPr>
        <xdr:cNvPr id="19" name="ลูกศรเชื่อมต่อแบบตรง 18">
          <a:extLst>
            <a:ext uri="{FF2B5EF4-FFF2-40B4-BE49-F238E27FC236}">
              <a16:creationId xmlns:a16="http://schemas.microsoft.com/office/drawing/2014/main" id="{695ECAB5-1041-4079-AA9A-E7E696F178B6}"/>
            </a:ext>
          </a:extLst>
        </xdr:cNvPr>
        <xdr:cNvCxnSpPr/>
      </xdr:nvCxnSpPr>
      <xdr:spPr>
        <a:xfrm flipV="1">
          <a:off x="5760217" y="5267640"/>
          <a:ext cx="3528331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23813</xdr:colOff>
      <xdr:row>19</xdr:row>
      <xdr:rowOff>117231</xdr:rowOff>
    </xdr:from>
    <xdr:to>
      <xdr:col>17</xdr:col>
      <xdr:colOff>17759</xdr:colOff>
      <xdr:row>19</xdr:row>
      <xdr:rowOff>130838</xdr:rowOff>
    </xdr:to>
    <xdr:cxnSp macro="">
      <xdr:nvCxnSpPr>
        <xdr:cNvPr id="20" name="ลูกศรเชื่อมต่อแบบตรง 19">
          <a:extLst>
            <a:ext uri="{FF2B5EF4-FFF2-40B4-BE49-F238E27FC236}">
              <a16:creationId xmlns:a16="http://schemas.microsoft.com/office/drawing/2014/main" id="{19684EDD-CB50-4DDE-970D-1EF3C45A1DFE}"/>
            </a:ext>
          </a:extLst>
        </xdr:cNvPr>
        <xdr:cNvCxnSpPr/>
      </xdr:nvCxnSpPr>
      <xdr:spPr>
        <a:xfrm flipV="1">
          <a:off x="5786438" y="5536956"/>
          <a:ext cx="3537246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6804</xdr:colOff>
      <xdr:row>20</xdr:row>
      <xdr:rowOff>149679</xdr:rowOff>
    </xdr:from>
    <xdr:to>
      <xdr:col>17</xdr:col>
      <xdr:colOff>13607</xdr:colOff>
      <xdr:row>20</xdr:row>
      <xdr:rowOff>163286</xdr:rowOff>
    </xdr:to>
    <xdr:cxnSp macro="">
      <xdr:nvCxnSpPr>
        <xdr:cNvPr id="21" name="ลูกศรเชื่อมต่อแบบตรง 20">
          <a:extLst>
            <a:ext uri="{FF2B5EF4-FFF2-40B4-BE49-F238E27FC236}">
              <a16:creationId xmlns:a16="http://schemas.microsoft.com/office/drawing/2014/main" id="{50B3336E-A2C1-4FFD-9C38-E1794E878A51}"/>
            </a:ext>
          </a:extLst>
        </xdr:cNvPr>
        <xdr:cNvCxnSpPr/>
      </xdr:nvCxnSpPr>
      <xdr:spPr>
        <a:xfrm flipV="1">
          <a:off x="5769429" y="5836104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519794</xdr:colOff>
      <xdr:row>21</xdr:row>
      <xdr:rowOff>166008</xdr:rowOff>
    </xdr:from>
    <xdr:to>
      <xdr:col>17</xdr:col>
      <xdr:colOff>2722</xdr:colOff>
      <xdr:row>21</xdr:row>
      <xdr:rowOff>179615</xdr:rowOff>
    </xdr:to>
    <xdr:cxnSp macro="">
      <xdr:nvCxnSpPr>
        <xdr:cNvPr id="22" name="ลูกศรเชื่อมต่อแบบตรง 21">
          <a:extLst>
            <a:ext uri="{FF2B5EF4-FFF2-40B4-BE49-F238E27FC236}">
              <a16:creationId xmlns:a16="http://schemas.microsoft.com/office/drawing/2014/main" id="{84331AB5-6AA5-4683-A368-08793A06D355}"/>
            </a:ext>
          </a:extLst>
        </xdr:cNvPr>
        <xdr:cNvCxnSpPr/>
      </xdr:nvCxnSpPr>
      <xdr:spPr>
        <a:xfrm flipV="1">
          <a:off x="5758544" y="6119133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515711</xdr:colOff>
      <xdr:row>22</xdr:row>
      <xdr:rowOff>148318</xdr:rowOff>
    </xdr:from>
    <xdr:to>
      <xdr:col>16</xdr:col>
      <xdr:colOff>291192</xdr:colOff>
      <xdr:row>22</xdr:row>
      <xdr:rowOff>161925</xdr:rowOff>
    </xdr:to>
    <xdr:cxnSp macro="">
      <xdr:nvCxnSpPr>
        <xdr:cNvPr id="23" name="ลูกศรเชื่อมต่อแบบตรง 22">
          <a:extLst>
            <a:ext uri="{FF2B5EF4-FFF2-40B4-BE49-F238E27FC236}">
              <a16:creationId xmlns:a16="http://schemas.microsoft.com/office/drawing/2014/main" id="{FBAEFB6F-4C60-4A28-AE91-A877AB039477}"/>
            </a:ext>
          </a:extLst>
        </xdr:cNvPr>
        <xdr:cNvCxnSpPr/>
      </xdr:nvCxnSpPr>
      <xdr:spPr>
        <a:xfrm flipV="1">
          <a:off x="5763986" y="6368143"/>
          <a:ext cx="3537856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1361</xdr:colOff>
      <xdr:row>23</xdr:row>
      <xdr:rowOff>117022</xdr:rowOff>
    </xdr:from>
    <xdr:to>
      <xdr:col>17</xdr:col>
      <xdr:colOff>8164</xdr:colOff>
      <xdr:row>23</xdr:row>
      <xdr:rowOff>130629</xdr:rowOff>
    </xdr:to>
    <xdr:cxnSp macro="">
      <xdr:nvCxnSpPr>
        <xdr:cNvPr id="24" name="ลูกศรเชื่อมต่อแบบตรง 23">
          <a:extLst>
            <a:ext uri="{FF2B5EF4-FFF2-40B4-BE49-F238E27FC236}">
              <a16:creationId xmlns:a16="http://schemas.microsoft.com/office/drawing/2014/main" id="{28350976-56C2-4C18-9929-65DDCB3728D4}"/>
            </a:ext>
          </a:extLst>
        </xdr:cNvPr>
        <xdr:cNvCxnSpPr/>
      </xdr:nvCxnSpPr>
      <xdr:spPr>
        <a:xfrm flipV="1">
          <a:off x="5763986" y="6603547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521154</xdr:colOff>
      <xdr:row>24</xdr:row>
      <xdr:rowOff>126548</xdr:rowOff>
    </xdr:from>
    <xdr:to>
      <xdr:col>17</xdr:col>
      <xdr:colOff>4082</xdr:colOff>
      <xdr:row>24</xdr:row>
      <xdr:rowOff>140155</xdr:rowOff>
    </xdr:to>
    <xdr:cxnSp macro="">
      <xdr:nvCxnSpPr>
        <xdr:cNvPr id="25" name="ลูกศรเชื่อมต่อแบบตรง 24">
          <a:extLst>
            <a:ext uri="{FF2B5EF4-FFF2-40B4-BE49-F238E27FC236}">
              <a16:creationId xmlns:a16="http://schemas.microsoft.com/office/drawing/2014/main" id="{0ED4C1A5-8E3C-405E-974F-6DEF882FD612}"/>
            </a:ext>
          </a:extLst>
        </xdr:cNvPr>
        <xdr:cNvCxnSpPr/>
      </xdr:nvCxnSpPr>
      <xdr:spPr>
        <a:xfrm flipV="1">
          <a:off x="5759904" y="6879773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6804</xdr:colOff>
      <xdr:row>25</xdr:row>
      <xdr:rowOff>149679</xdr:rowOff>
    </xdr:from>
    <xdr:to>
      <xdr:col>17</xdr:col>
      <xdr:colOff>13607</xdr:colOff>
      <xdr:row>25</xdr:row>
      <xdr:rowOff>163286</xdr:rowOff>
    </xdr:to>
    <xdr:cxnSp macro="">
      <xdr:nvCxnSpPr>
        <xdr:cNvPr id="26" name="ลูกศรเชื่อมต่อแบบตรง 25">
          <a:extLst>
            <a:ext uri="{FF2B5EF4-FFF2-40B4-BE49-F238E27FC236}">
              <a16:creationId xmlns:a16="http://schemas.microsoft.com/office/drawing/2014/main" id="{194D0EEE-F42E-4589-A9E9-AEA06E8273F8}"/>
            </a:ext>
          </a:extLst>
        </xdr:cNvPr>
        <xdr:cNvCxnSpPr/>
      </xdr:nvCxnSpPr>
      <xdr:spPr>
        <a:xfrm flipV="1">
          <a:off x="5769429" y="7169604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9526</xdr:colOff>
      <xdr:row>26</xdr:row>
      <xdr:rowOff>159204</xdr:rowOff>
    </xdr:from>
    <xdr:to>
      <xdr:col>17</xdr:col>
      <xdr:colOff>16329</xdr:colOff>
      <xdr:row>26</xdr:row>
      <xdr:rowOff>172811</xdr:rowOff>
    </xdr:to>
    <xdr:cxnSp macro="">
      <xdr:nvCxnSpPr>
        <xdr:cNvPr id="27" name="ลูกศรเชื่อมต่อแบบตรง 26">
          <a:extLst>
            <a:ext uri="{FF2B5EF4-FFF2-40B4-BE49-F238E27FC236}">
              <a16:creationId xmlns:a16="http://schemas.microsoft.com/office/drawing/2014/main" id="{8F273F31-58D1-459A-8B96-099F2BB51465}"/>
            </a:ext>
          </a:extLst>
        </xdr:cNvPr>
        <xdr:cNvCxnSpPr/>
      </xdr:nvCxnSpPr>
      <xdr:spPr>
        <a:xfrm flipV="1">
          <a:off x="5772151" y="7445829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515712</xdr:colOff>
      <xdr:row>27</xdr:row>
      <xdr:rowOff>148319</xdr:rowOff>
    </xdr:from>
    <xdr:to>
      <xdr:col>16</xdr:col>
      <xdr:colOff>291193</xdr:colOff>
      <xdr:row>27</xdr:row>
      <xdr:rowOff>161926</xdr:rowOff>
    </xdr:to>
    <xdr:cxnSp macro="">
      <xdr:nvCxnSpPr>
        <xdr:cNvPr id="28" name="ลูกศรเชื่อมต่อแบบตรง 27">
          <a:extLst>
            <a:ext uri="{FF2B5EF4-FFF2-40B4-BE49-F238E27FC236}">
              <a16:creationId xmlns:a16="http://schemas.microsoft.com/office/drawing/2014/main" id="{623D145E-64A9-49A2-9137-7116841711F2}"/>
            </a:ext>
          </a:extLst>
        </xdr:cNvPr>
        <xdr:cNvCxnSpPr/>
      </xdr:nvCxnSpPr>
      <xdr:spPr>
        <a:xfrm flipV="1">
          <a:off x="5763987" y="7701644"/>
          <a:ext cx="3537856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1361</xdr:colOff>
      <xdr:row>28</xdr:row>
      <xdr:rowOff>117023</xdr:rowOff>
    </xdr:from>
    <xdr:to>
      <xdr:col>17</xdr:col>
      <xdr:colOff>8164</xdr:colOff>
      <xdr:row>28</xdr:row>
      <xdr:rowOff>130630</xdr:rowOff>
    </xdr:to>
    <xdr:cxnSp macro="">
      <xdr:nvCxnSpPr>
        <xdr:cNvPr id="29" name="ลูกศรเชื่อมต่อแบบตรง 28">
          <a:extLst>
            <a:ext uri="{FF2B5EF4-FFF2-40B4-BE49-F238E27FC236}">
              <a16:creationId xmlns:a16="http://schemas.microsoft.com/office/drawing/2014/main" id="{558BD2F8-7120-410D-B7C3-3CBED5ED66F0}"/>
            </a:ext>
          </a:extLst>
        </xdr:cNvPr>
        <xdr:cNvCxnSpPr/>
      </xdr:nvCxnSpPr>
      <xdr:spPr>
        <a:xfrm flipV="1">
          <a:off x="5763986" y="7937048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521153</xdr:colOff>
      <xdr:row>29</xdr:row>
      <xdr:rowOff>126547</xdr:rowOff>
    </xdr:from>
    <xdr:to>
      <xdr:col>17</xdr:col>
      <xdr:colOff>4081</xdr:colOff>
      <xdr:row>29</xdr:row>
      <xdr:rowOff>140154</xdr:rowOff>
    </xdr:to>
    <xdr:cxnSp macro="">
      <xdr:nvCxnSpPr>
        <xdr:cNvPr id="30" name="ลูกศรเชื่อมต่อแบบตรง 29">
          <a:extLst>
            <a:ext uri="{FF2B5EF4-FFF2-40B4-BE49-F238E27FC236}">
              <a16:creationId xmlns:a16="http://schemas.microsoft.com/office/drawing/2014/main" id="{EF339D4A-FFF4-439D-8DEB-AC9308DBA899}"/>
            </a:ext>
          </a:extLst>
        </xdr:cNvPr>
        <xdr:cNvCxnSpPr/>
      </xdr:nvCxnSpPr>
      <xdr:spPr>
        <a:xfrm flipV="1">
          <a:off x="5759903" y="8213272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378592</xdr:colOff>
      <xdr:row>30</xdr:row>
      <xdr:rowOff>114615</xdr:rowOff>
    </xdr:from>
    <xdr:to>
      <xdr:col>16</xdr:col>
      <xdr:colOff>277898</xdr:colOff>
      <xdr:row>30</xdr:row>
      <xdr:rowOff>128222</xdr:rowOff>
    </xdr:to>
    <xdr:cxnSp macro="">
      <xdr:nvCxnSpPr>
        <xdr:cNvPr id="31" name="ลูกศรเชื่อมต่อแบบตรง 30">
          <a:extLst>
            <a:ext uri="{FF2B5EF4-FFF2-40B4-BE49-F238E27FC236}">
              <a16:creationId xmlns:a16="http://schemas.microsoft.com/office/drawing/2014/main" id="{97A58B14-5AE8-430C-B9A1-A78E0163F304}"/>
            </a:ext>
          </a:extLst>
        </xdr:cNvPr>
        <xdr:cNvCxnSpPr/>
      </xdr:nvCxnSpPr>
      <xdr:spPr>
        <a:xfrm flipV="1">
          <a:off x="5760217" y="8468040"/>
          <a:ext cx="3528331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6804</xdr:colOff>
      <xdr:row>33</xdr:row>
      <xdr:rowOff>149679</xdr:rowOff>
    </xdr:from>
    <xdr:to>
      <xdr:col>17</xdr:col>
      <xdr:colOff>13607</xdr:colOff>
      <xdr:row>33</xdr:row>
      <xdr:rowOff>163286</xdr:rowOff>
    </xdr:to>
    <xdr:cxnSp macro="">
      <xdr:nvCxnSpPr>
        <xdr:cNvPr id="32" name="ลูกศรเชื่อมต่อแบบตรง 31">
          <a:extLst>
            <a:ext uri="{FF2B5EF4-FFF2-40B4-BE49-F238E27FC236}">
              <a16:creationId xmlns:a16="http://schemas.microsoft.com/office/drawing/2014/main" id="{059EDEE1-0BFA-44E3-BEAA-B130561E37F9}"/>
            </a:ext>
          </a:extLst>
        </xdr:cNvPr>
        <xdr:cNvCxnSpPr/>
      </xdr:nvCxnSpPr>
      <xdr:spPr>
        <a:xfrm flipV="1">
          <a:off x="5769429" y="9303204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519794</xdr:colOff>
      <xdr:row>34</xdr:row>
      <xdr:rowOff>166008</xdr:rowOff>
    </xdr:from>
    <xdr:to>
      <xdr:col>17</xdr:col>
      <xdr:colOff>2722</xdr:colOff>
      <xdr:row>34</xdr:row>
      <xdr:rowOff>179615</xdr:rowOff>
    </xdr:to>
    <xdr:cxnSp macro="">
      <xdr:nvCxnSpPr>
        <xdr:cNvPr id="33" name="ลูกศรเชื่อมต่อแบบตรง 32">
          <a:extLst>
            <a:ext uri="{FF2B5EF4-FFF2-40B4-BE49-F238E27FC236}">
              <a16:creationId xmlns:a16="http://schemas.microsoft.com/office/drawing/2014/main" id="{250EA3DD-FE9A-42C9-8D83-93445ED2D5B5}"/>
            </a:ext>
          </a:extLst>
        </xdr:cNvPr>
        <xdr:cNvCxnSpPr/>
      </xdr:nvCxnSpPr>
      <xdr:spPr>
        <a:xfrm flipV="1">
          <a:off x="5758544" y="9586233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515711</xdr:colOff>
      <xdr:row>35</xdr:row>
      <xdr:rowOff>148318</xdr:rowOff>
    </xdr:from>
    <xdr:to>
      <xdr:col>16</xdr:col>
      <xdr:colOff>291192</xdr:colOff>
      <xdr:row>35</xdr:row>
      <xdr:rowOff>161925</xdr:rowOff>
    </xdr:to>
    <xdr:cxnSp macro="">
      <xdr:nvCxnSpPr>
        <xdr:cNvPr id="34" name="ลูกศรเชื่อมต่อแบบตรง 33">
          <a:extLst>
            <a:ext uri="{FF2B5EF4-FFF2-40B4-BE49-F238E27FC236}">
              <a16:creationId xmlns:a16="http://schemas.microsoft.com/office/drawing/2014/main" id="{9CB0E2E1-2AC5-4FA4-80EA-2983F75D3120}"/>
            </a:ext>
          </a:extLst>
        </xdr:cNvPr>
        <xdr:cNvCxnSpPr/>
      </xdr:nvCxnSpPr>
      <xdr:spPr>
        <a:xfrm flipV="1">
          <a:off x="5763986" y="9835243"/>
          <a:ext cx="3537856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1361</xdr:colOff>
      <xdr:row>36</xdr:row>
      <xdr:rowOff>117022</xdr:rowOff>
    </xdr:from>
    <xdr:to>
      <xdr:col>17</xdr:col>
      <xdr:colOff>8164</xdr:colOff>
      <xdr:row>36</xdr:row>
      <xdr:rowOff>130629</xdr:rowOff>
    </xdr:to>
    <xdr:cxnSp macro="">
      <xdr:nvCxnSpPr>
        <xdr:cNvPr id="35" name="ลูกศรเชื่อมต่อแบบตรง 34">
          <a:extLst>
            <a:ext uri="{FF2B5EF4-FFF2-40B4-BE49-F238E27FC236}">
              <a16:creationId xmlns:a16="http://schemas.microsoft.com/office/drawing/2014/main" id="{DB892EC5-F47A-4CF8-AEA4-C77905887A59}"/>
            </a:ext>
          </a:extLst>
        </xdr:cNvPr>
        <xdr:cNvCxnSpPr/>
      </xdr:nvCxnSpPr>
      <xdr:spPr>
        <a:xfrm flipV="1">
          <a:off x="5763986" y="10070647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521154</xdr:colOff>
      <xdr:row>37</xdr:row>
      <xdr:rowOff>126548</xdr:rowOff>
    </xdr:from>
    <xdr:to>
      <xdr:col>17</xdr:col>
      <xdr:colOff>4082</xdr:colOff>
      <xdr:row>37</xdr:row>
      <xdr:rowOff>140155</xdr:rowOff>
    </xdr:to>
    <xdr:cxnSp macro="">
      <xdr:nvCxnSpPr>
        <xdr:cNvPr id="36" name="ลูกศรเชื่อมต่อแบบตรง 35">
          <a:extLst>
            <a:ext uri="{FF2B5EF4-FFF2-40B4-BE49-F238E27FC236}">
              <a16:creationId xmlns:a16="http://schemas.microsoft.com/office/drawing/2014/main" id="{AE84DB9A-16D4-4969-ABB3-F78FFF4DBC7A}"/>
            </a:ext>
          </a:extLst>
        </xdr:cNvPr>
        <xdr:cNvCxnSpPr/>
      </xdr:nvCxnSpPr>
      <xdr:spPr>
        <a:xfrm flipV="1">
          <a:off x="5759904" y="10346873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6804</xdr:colOff>
      <xdr:row>38</xdr:row>
      <xdr:rowOff>149679</xdr:rowOff>
    </xdr:from>
    <xdr:to>
      <xdr:col>17</xdr:col>
      <xdr:colOff>13607</xdr:colOff>
      <xdr:row>38</xdr:row>
      <xdr:rowOff>163286</xdr:rowOff>
    </xdr:to>
    <xdr:cxnSp macro="">
      <xdr:nvCxnSpPr>
        <xdr:cNvPr id="37" name="ลูกศรเชื่อมต่อแบบตรง 36">
          <a:extLst>
            <a:ext uri="{FF2B5EF4-FFF2-40B4-BE49-F238E27FC236}">
              <a16:creationId xmlns:a16="http://schemas.microsoft.com/office/drawing/2014/main" id="{CC01E5F5-1313-4215-AA65-7076FCEA2AFF}"/>
            </a:ext>
          </a:extLst>
        </xdr:cNvPr>
        <xdr:cNvCxnSpPr/>
      </xdr:nvCxnSpPr>
      <xdr:spPr>
        <a:xfrm flipV="1">
          <a:off x="5769429" y="10636704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9526</xdr:colOff>
      <xdr:row>39</xdr:row>
      <xdr:rowOff>159204</xdr:rowOff>
    </xdr:from>
    <xdr:to>
      <xdr:col>17</xdr:col>
      <xdr:colOff>16329</xdr:colOff>
      <xdr:row>39</xdr:row>
      <xdr:rowOff>172811</xdr:rowOff>
    </xdr:to>
    <xdr:cxnSp macro="">
      <xdr:nvCxnSpPr>
        <xdr:cNvPr id="38" name="ลูกศรเชื่อมต่อแบบตรง 37">
          <a:extLst>
            <a:ext uri="{FF2B5EF4-FFF2-40B4-BE49-F238E27FC236}">
              <a16:creationId xmlns:a16="http://schemas.microsoft.com/office/drawing/2014/main" id="{2AE13092-AA6E-4E6B-A7E0-8DBD6CAA2E75}"/>
            </a:ext>
          </a:extLst>
        </xdr:cNvPr>
        <xdr:cNvCxnSpPr/>
      </xdr:nvCxnSpPr>
      <xdr:spPr>
        <a:xfrm flipV="1">
          <a:off x="5772151" y="10912929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515712</xdr:colOff>
      <xdr:row>40</xdr:row>
      <xdr:rowOff>148319</xdr:rowOff>
    </xdr:from>
    <xdr:to>
      <xdr:col>16</xdr:col>
      <xdr:colOff>291193</xdr:colOff>
      <xdr:row>40</xdr:row>
      <xdr:rowOff>161926</xdr:rowOff>
    </xdr:to>
    <xdr:cxnSp macro="">
      <xdr:nvCxnSpPr>
        <xdr:cNvPr id="39" name="ลูกศรเชื่อมต่อแบบตรง 38">
          <a:extLst>
            <a:ext uri="{FF2B5EF4-FFF2-40B4-BE49-F238E27FC236}">
              <a16:creationId xmlns:a16="http://schemas.microsoft.com/office/drawing/2014/main" id="{E3AD0693-6987-4C00-8C85-AB905565AA2E}"/>
            </a:ext>
          </a:extLst>
        </xdr:cNvPr>
        <xdr:cNvCxnSpPr/>
      </xdr:nvCxnSpPr>
      <xdr:spPr>
        <a:xfrm flipV="1">
          <a:off x="5763987" y="11168744"/>
          <a:ext cx="3537856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1361</xdr:colOff>
      <xdr:row>41</xdr:row>
      <xdr:rowOff>117023</xdr:rowOff>
    </xdr:from>
    <xdr:to>
      <xdr:col>17</xdr:col>
      <xdr:colOff>8164</xdr:colOff>
      <xdr:row>41</xdr:row>
      <xdr:rowOff>130630</xdr:rowOff>
    </xdr:to>
    <xdr:cxnSp macro="">
      <xdr:nvCxnSpPr>
        <xdr:cNvPr id="40" name="ลูกศรเชื่อมต่อแบบตรง 39">
          <a:extLst>
            <a:ext uri="{FF2B5EF4-FFF2-40B4-BE49-F238E27FC236}">
              <a16:creationId xmlns:a16="http://schemas.microsoft.com/office/drawing/2014/main" id="{238B6309-4D83-4B23-8CD6-AD25CD1FCCCF}"/>
            </a:ext>
          </a:extLst>
        </xdr:cNvPr>
        <xdr:cNvCxnSpPr/>
      </xdr:nvCxnSpPr>
      <xdr:spPr>
        <a:xfrm flipV="1">
          <a:off x="5763986" y="11404148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521153</xdr:colOff>
      <xdr:row>42</xdr:row>
      <xdr:rowOff>126547</xdr:rowOff>
    </xdr:from>
    <xdr:to>
      <xdr:col>17</xdr:col>
      <xdr:colOff>4081</xdr:colOff>
      <xdr:row>42</xdr:row>
      <xdr:rowOff>140154</xdr:rowOff>
    </xdr:to>
    <xdr:cxnSp macro="">
      <xdr:nvCxnSpPr>
        <xdr:cNvPr id="41" name="ลูกศรเชื่อมต่อแบบตรง 40">
          <a:extLst>
            <a:ext uri="{FF2B5EF4-FFF2-40B4-BE49-F238E27FC236}">
              <a16:creationId xmlns:a16="http://schemas.microsoft.com/office/drawing/2014/main" id="{6397616C-B8B6-4352-93C0-B5074DE1D9D8}"/>
            </a:ext>
          </a:extLst>
        </xdr:cNvPr>
        <xdr:cNvCxnSpPr/>
      </xdr:nvCxnSpPr>
      <xdr:spPr>
        <a:xfrm flipV="1">
          <a:off x="5759903" y="11680372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6804</xdr:colOff>
      <xdr:row>43</xdr:row>
      <xdr:rowOff>149679</xdr:rowOff>
    </xdr:from>
    <xdr:to>
      <xdr:col>17</xdr:col>
      <xdr:colOff>13607</xdr:colOff>
      <xdr:row>43</xdr:row>
      <xdr:rowOff>163286</xdr:rowOff>
    </xdr:to>
    <xdr:cxnSp macro="">
      <xdr:nvCxnSpPr>
        <xdr:cNvPr id="42" name="ลูกศรเชื่อมต่อแบบตรง 41">
          <a:extLst>
            <a:ext uri="{FF2B5EF4-FFF2-40B4-BE49-F238E27FC236}">
              <a16:creationId xmlns:a16="http://schemas.microsoft.com/office/drawing/2014/main" id="{CAEECDC0-6627-435D-878A-3DD12A1DFA88}"/>
            </a:ext>
          </a:extLst>
        </xdr:cNvPr>
        <xdr:cNvCxnSpPr/>
      </xdr:nvCxnSpPr>
      <xdr:spPr>
        <a:xfrm flipV="1">
          <a:off x="5769429" y="11970204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519794</xdr:colOff>
      <xdr:row>44</xdr:row>
      <xdr:rowOff>166008</xdr:rowOff>
    </xdr:from>
    <xdr:to>
      <xdr:col>17</xdr:col>
      <xdr:colOff>2722</xdr:colOff>
      <xdr:row>44</xdr:row>
      <xdr:rowOff>179615</xdr:rowOff>
    </xdr:to>
    <xdr:cxnSp macro="">
      <xdr:nvCxnSpPr>
        <xdr:cNvPr id="43" name="ลูกศรเชื่อมต่อแบบตรง 42">
          <a:extLst>
            <a:ext uri="{FF2B5EF4-FFF2-40B4-BE49-F238E27FC236}">
              <a16:creationId xmlns:a16="http://schemas.microsoft.com/office/drawing/2014/main" id="{E9A520DA-138C-4DAD-8968-D5A76F231D82}"/>
            </a:ext>
          </a:extLst>
        </xdr:cNvPr>
        <xdr:cNvCxnSpPr/>
      </xdr:nvCxnSpPr>
      <xdr:spPr>
        <a:xfrm flipV="1">
          <a:off x="5758544" y="12253233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515711</xdr:colOff>
      <xdr:row>45</xdr:row>
      <xdr:rowOff>148318</xdr:rowOff>
    </xdr:from>
    <xdr:to>
      <xdr:col>16</xdr:col>
      <xdr:colOff>291192</xdr:colOff>
      <xdr:row>45</xdr:row>
      <xdr:rowOff>161925</xdr:rowOff>
    </xdr:to>
    <xdr:cxnSp macro="">
      <xdr:nvCxnSpPr>
        <xdr:cNvPr id="44" name="ลูกศรเชื่อมต่อแบบตรง 43">
          <a:extLst>
            <a:ext uri="{FF2B5EF4-FFF2-40B4-BE49-F238E27FC236}">
              <a16:creationId xmlns:a16="http://schemas.microsoft.com/office/drawing/2014/main" id="{7E4BA681-1073-4269-A37A-9459BE04B90C}"/>
            </a:ext>
          </a:extLst>
        </xdr:cNvPr>
        <xdr:cNvCxnSpPr/>
      </xdr:nvCxnSpPr>
      <xdr:spPr>
        <a:xfrm flipV="1">
          <a:off x="5763986" y="12502243"/>
          <a:ext cx="3537856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1361</xdr:colOff>
      <xdr:row>46</xdr:row>
      <xdr:rowOff>117022</xdr:rowOff>
    </xdr:from>
    <xdr:to>
      <xdr:col>17</xdr:col>
      <xdr:colOff>8164</xdr:colOff>
      <xdr:row>46</xdr:row>
      <xdr:rowOff>130629</xdr:rowOff>
    </xdr:to>
    <xdr:cxnSp macro="">
      <xdr:nvCxnSpPr>
        <xdr:cNvPr id="45" name="ลูกศรเชื่อมต่อแบบตรง 44">
          <a:extLst>
            <a:ext uri="{FF2B5EF4-FFF2-40B4-BE49-F238E27FC236}">
              <a16:creationId xmlns:a16="http://schemas.microsoft.com/office/drawing/2014/main" id="{016DCF42-64FF-4F46-9079-7AB46C052DEC}"/>
            </a:ext>
          </a:extLst>
        </xdr:cNvPr>
        <xdr:cNvCxnSpPr/>
      </xdr:nvCxnSpPr>
      <xdr:spPr>
        <a:xfrm flipV="1">
          <a:off x="5763986" y="12737647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521154</xdr:colOff>
      <xdr:row>47</xdr:row>
      <xdr:rowOff>126548</xdr:rowOff>
    </xdr:from>
    <xdr:to>
      <xdr:col>17</xdr:col>
      <xdr:colOff>4082</xdr:colOff>
      <xdr:row>47</xdr:row>
      <xdr:rowOff>140155</xdr:rowOff>
    </xdr:to>
    <xdr:cxnSp macro="">
      <xdr:nvCxnSpPr>
        <xdr:cNvPr id="46" name="ลูกศรเชื่อมต่อแบบตรง 45">
          <a:extLst>
            <a:ext uri="{FF2B5EF4-FFF2-40B4-BE49-F238E27FC236}">
              <a16:creationId xmlns:a16="http://schemas.microsoft.com/office/drawing/2014/main" id="{E742477A-012B-450D-8B62-A578C5EAD0FE}"/>
            </a:ext>
          </a:extLst>
        </xdr:cNvPr>
        <xdr:cNvCxnSpPr/>
      </xdr:nvCxnSpPr>
      <xdr:spPr>
        <a:xfrm flipV="1">
          <a:off x="5759904" y="13013873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6804</xdr:colOff>
      <xdr:row>48</xdr:row>
      <xdr:rowOff>149679</xdr:rowOff>
    </xdr:from>
    <xdr:to>
      <xdr:col>17</xdr:col>
      <xdr:colOff>13607</xdr:colOff>
      <xdr:row>48</xdr:row>
      <xdr:rowOff>163286</xdr:rowOff>
    </xdr:to>
    <xdr:cxnSp macro="">
      <xdr:nvCxnSpPr>
        <xdr:cNvPr id="47" name="ลูกศรเชื่อมต่อแบบตรง 46">
          <a:extLst>
            <a:ext uri="{FF2B5EF4-FFF2-40B4-BE49-F238E27FC236}">
              <a16:creationId xmlns:a16="http://schemas.microsoft.com/office/drawing/2014/main" id="{FF5525D0-C746-420A-BFD2-9D823FB57895}"/>
            </a:ext>
          </a:extLst>
        </xdr:cNvPr>
        <xdr:cNvCxnSpPr/>
      </xdr:nvCxnSpPr>
      <xdr:spPr>
        <a:xfrm flipV="1">
          <a:off x="5769429" y="13303704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9526</xdr:colOff>
      <xdr:row>49</xdr:row>
      <xdr:rowOff>159204</xdr:rowOff>
    </xdr:from>
    <xdr:to>
      <xdr:col>17</xdr:col>
      <xdr:colOff>16329</xdr:colOff>
      <xdr:row>49</xdr:row>
      <xdr:rowOff>172811</xdr:rowOff>
    </xdr:to>
    <xdr:cxnSp macro="">
      <xdr:nvCxnSpPr>
        <xdr:cNvPr id="48" name="ลูกศรเชื่อมต่อแบบตรง 47">
          <a:extLst>
            <a:ext uri="{FF2B5EF4-FFF2-40B4-BE49-F238E27FC236}">
              <a16:creationId xmlns:a16="http://schemas.microsoft.com/office/drawing/2014/main" id="{7868259A-6D27-4F79-B249-A522BC850094}"/>
            </a:ext>
          </a:extLst>
        </xdr:cNvPr>
        <xdr:cNvCxnSpPr/>
      </xdr:nvCxnSpPr>
      <xdr:spPr>
        <a:xfrm flipV="1">
          <a:off x="5772151" y="13579929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515712</xdr:colOff>
      <xdr:row>50</xdr:row>
      <xdr:rowOff>148319</xdr:rowOff>
    </xdr:from>
    <xdr:to>
      <xdr:col>16</xdr:col>
      <xdr:colOff>291193</xdr:colOff>
      <xdr:row>50</xdr:row>
      <xdr:rowOff>161926</xdr:rowOff>
    </xdr:to>
    <xdr:cxnSp macro="">
      <xdr:nvCxnSpPr>
        <xdr:cNvPr id="49" name="ลูกศรเชื่อมต่อแบบตรง 48">
          <a:extLst>
            <a:ext uri="{FF2B5EF4-FFF2-40B4-BE49-F238E27FC236}">
              <a16:creationId xmlns:a16="http://schemas.microsoft.com/office/drawing/2014/main" id="{D051271B-34FC-4602-8B2D-C40FA5738B91}"/>
            </a:ext>
          </a:extLst>
        </xdr:cNvPr>
        <xdr:cNvCxnSpPr/>
      </xdr:nvCxnSpPr>
      <xdr:spPr>
        <a:xfrm flipV="1">
          <a:off x="5763987" y="13835744"/>
          <a:ext cx="3537856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1361</xdr:colOff>
      <xdr:row>51</xdr:row>
      <xdr:rowOff>117023</xdr:rowOff>
    </xdr:from>
    <xdr:to>
      <xdr:col>17</xdr:col>
      <xdr:colOff>8164</xdr:colOff>
      <xdr:row>51</xdr:row>
      <xdr:rowOff>130630</xdr:rowOff>
    </xdr:to>
    <xdr:cxnSp macro="">
      <xdr:nvCxnSpPr>
        <xdr:cNvPr id="50" name="ลูกศรเชื่อมต่อแบบตรง 49">
          <a:extLst>
            <a:ext uri="{FF2B5EF4-FFF2-40B4-BE49-F238E27FC236}">
              <a16:creationId xmlns:a16="http://schemas.microsoft.com/office/drawing/2014/main" id="{9B1D08F2-6DA3-4D44-B38A-F07E0F824EC7}"/>
            </a:ext>
          </a:extLst>
        </xdr:cNvPr>
        <xdr:cNvCxnSpPr/>
      </xdr:nvCxnSpPr>
      <xdr:spPr>
        <a:xfrm flipV="1">
          <a:off x="5763986" y="14071148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521153</xdr:colOff>
      <xdr:row>52</xdr:row>
      <xdr:rowOff>126547</xdr:rowOff>
    </xdr:from>
    <xdr:to>
      <xdr:col>17</xdr:col>
      <xdr:colOff>4081</xdr:colOff>
      <xdr:row>52</xdr:row>
      <xdr:rowOff>140154</xdr:rowOff>
    </xdr:to>
    <xdr:cxnSp macro="">
      <xdr:nvCxnSpPr>
        <xdr:cNvPr id="51" name="ลูกศรเชื่อมต่อแบบตรง 50">
          <a:extLst>
            <a:ext uri="{FF2B5EF4-FFF2-40B4-BE49-F238E27FC236}">
              <a16:creationId xmlns:a16="http://schemas.microsoft.com/office/drawing/2014/main" id="{E899CE40-85D3-4625-937D-5D35CE240C18}"/>
            </a:ext>
          </a:extLst>
        </xdr:cNvPr>
        <xdr:cNvCxnSpPr/>
      </xdr:nvCxnSpPr>
      <xdr:spPr>
        <a:xfrm flipV="1">
          <a:off x="5759903" y="14347372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6804</xdr:colOff>
      <xdr:row>53</xdr:row>
      <xdr:rowOff>149679</xdr:rowOff>
    </xdr:from>
    <xdr:to>
      <xdr:col>17</xdr:col>
      <xdr:colOff>13607</xdr:colOff>
      <xdr:row>53</xdr:row>
      <xdr:rowOff>163286</xdr:rowOff>
    </xdr:to>
    <xdr:cxnSp macro="">
      <xdr:nvCxnSpPr>
        <xdr:cNvPr id="52" name="ลูกศรเชื่อมต่อแบบตรง 51">
          <a:extLst>
            <a:ext uri="{FF2B5EF4-FFF2-40B4-BE49-F238E27FC236}">
              <a16:creationId xmlns:a16="http://schemas.microsoft.com/office/drawing/2014/main" id="{439F7BDA-54EA-4F61-81C7-1320AB7AA54A}"/>
            </a:ext>
          </a:extLst>
        </xdr:cNvPr>
        <xdr:cNvCxnSpPr/>
      </xdr:nvCxnSpPr>
      <xdr:spPr>
        <a:xfrm flipV="1">
          <a:off x="5769429" y="14637204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519794</xdr:colOff>
      <xdr:row>54</xdr:row>
      <xdr:rowOff>166008</xdr:rowOff>
    </xdr:from>
    <xdr:to>
      <xdr:col>17</xdr:col>
      <xdr:colOff>2722</xdr:colOff>
      <xdr:row>54</xdr:row>
      <xdr:rowOff>179615</xdr:rowOff>
    </xdr:to>
    <xdr:cxnSp macro="">
      <xdr:nvCxnSpPr>
        <xdr:cNvPr id="53" name="ลูกศรเชื่อมต่อแบบตรง 52">
          <a:extLst>
            <a:ext uri="{FF2B5EF4-FFF2-40B4-BE49-F238E27FC236}">
              <a16:creationId xmlns:a16="http://schemas.microsoft.com/office/drawing/2014/main" id="{6DA0CE39-2E8C-4482-B79C-F52621FF5E14}"/>
            </a:ext>
          </a:extLst>
        </xdr:cNvPr>
        <xdr:cNvCxnSpPr/>
      </xdr:nvCxnSpPr>
      <xdr:spPr>
        <a:xfrm flipV="1">
          <a:off x="5758544" y="14920233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515711</xdr:colOff>
      <xdr:row>55</xdr:row>
      <xdr:rowOff>148318</xdr:rowOff>
    </xdr:from>
    <xdr:to>
      <xdr:col>16</xdr:col>
      <xdr:colOff>291192</xdr:colOff>
      <xdr:row>55</xdr:row>
      <xdr:rowOff>161925</xdr:rowOff>
    </xdr:to>
    <xdr:cxnSp macro="">
      <xdr:nvCxnSpPr>
        <xdr:cNvPr id="54" name="ลูกศรเชื่อมต่อแบบตรง 53">
          <a:extLst>
            <a:ext uri="{FF2B5EF4-FFF2-40B4-BE49-F238E27FC236}">
              <a16:creationId xmlns:a16="http://schemas.microsoft.com/office/drawing/2014/main" id="{0FD3217B-0B3B-421B-8AE3-C1CBE17E868A}"/>
            </a:ext>
          </a:extLst>
        </xdr:cNvPr>
        <xdr:cNvCxnSpPr/>
      </xdr:nvCxnSpPr>
      <xdr:spPr>
        <a:xfrm flipV="1">
          <a:off x="5763986" y="15169243"/>
          <a:ext cx="3537856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1361</xdr:colOff>
      <xdr:row>56</xdr:row>
      <xdr:rowOff>117022</xdr:rowOff>
    </xdr:from>
    <xdr:to>
      <xdr:col>17</xdr:col>
      <xdr:colOff>8164</xdr:colOff>
      <xdr:row>56</xdr:row>
      <xdr:rowOff>130629</xdr:rowOff>
    </xdr:to>
    <xdr:cxnSp macro="">
      <xdr:nvCxnSpPr>
        <xdr:cNvPr id="55" name="ลูกศรเชื่อมต่อแบบตรง 54">
          <a:extLst>
            <a:ext uri="{FF2B5EF4-FFF2-40B4-BE49-F238E27FC236}">
              <a16:creationId xmlns:a16="http://schemas.microsoft.com/office/drawing/2014/main" id="{ABB5F7B4-4B92-4691-8A03-627962BA136C}"/>
            </a:ext>
          </a:extLst>
        </xdr:cNvPr>
        <xdr:cNvCxnSpPr/>
      </xdr:nvCxnSpPr>
      <xdr:spPr>
        <a:xfrm flipV="1">
          <a:off x="5763986" y="15404647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521154</xdr:colOff>
      <xdr:row>57</xdr:row>
      <xdr:rowOff>126548</xdr:rowOff>
    </xdr:from>
    <xdr:to>
      <xdr:col>17</xdr:col>
      <xdr:colOff>4082</xdr:colOff>
      <xdr:row>57</xdr:row>
      <xdr:rowOff>140155</xdr:rowOff>
    </xdr:to>
    <xdr:cxnSp macro="">
      <xdr:nvCxnSpPr>
        <xdr:cNvPr id="56" name="ลูกศรเชื่อมต่อแบบตรง 55">
          <a:extLst>
            <a:ext uri="{FF2B5EF4-FFF2-40B4-BE49-F238E27FC236}">
              <a16:creationId xmlns:a16="http://schemas.microsoft.com/office/drawing/2014/main" id="{0C5FEBD7-F0B6-40E6-83EF-BC55ACC903E2}"/>
            </a:ext>
          </a:extLst>
        </xdr:cNvPr>
        <xdr:cNvCxnSpPr/>
      </xdr:nvCxnSpPr>
      <xdr:spPr>
        <a:xfrm flipV="1">
          <a:off x="5759904" y="15680873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6804</xdr:colOff>
      <xdr:row>58</xdr:row>
      <xdr:rowOff>149679</xdr:rowOff>
    </xdr:from>
    <xdr:to>
      <xdr:col>17</xdr:col>
      <xdr:colOff>13607</xdr:colOff>
      <xdr:row>58</xdr:row>
      <xdr:rowOff>163286</xdr:rowOff>
    </xdr:to>
    <xdr:cxnSp macro="">
      <xdr:nvCxnSpPr>
        <xdr:cNvPr id="57" name="ลูกศรเชื่อมต่อแบบตรง 56">
          <a:extLst>
            <a:ext uri="{FF2B5EF4-FFF2-40B4-BE49-F238E27FC236}">
              <a16:creationId xmlns:a16="http://schemas.microsoft.com/office/drawing/2014/main" id="{8694878E-AAB0-4F89-ACCA-D1F76B6768E4}"/>
            </a:ext>
          </a:extLst>
        </xdr:cNvPr>
        <xdr:cNvCxnSpPr/>
      </xdr:nvCxnSpPr>
      <xdr:spPr>
        <a:xfrm flipV="1">
          <a:off x="5769429" y="15970704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9526</xdr:colOff>
      <xdr:row>59</xdr:row>
      <xdr:rowOff>159204</xdr:rowOff>
    </xdr:from>
    <xdr:to>
      <xdr:col>17</xdr:col>
      <xdr:colOff>16329</xdr:colOff>
      <xdr:row>59</xdr:row>
      <xdr:rowOff>172811</xdr:rowOff>
    </xdr:to>
    <xdr:cxnSp macro="">
      <xdr:nvCxnSpPr>
        <xdr:cNvPr id="58" name="ลูกศรเชื่อมต่อแบบตรง 57">
          <a:extLst>
            <a:ext uri="{FF2B5EF4-FFF2-40B4-BE49-F238E27FC236}">
              <a16:creationId xmlns:a16="http://schemas.microsoft.com/office/drawing/2014/main" id="{978DB6BB-4B30-4BF3-AD44-9013949B2E0C}"/>
            </a:ext>
          </a:extLst>
        </xdr:cNvPr>
        <xdr:cNvCxnSpPr/>
      </xdr:nvCxnSpPr>
      <xdr:spPr>
        <a:xfrm flipV="1">
          <a:off x="5772151" y="16246929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521153</xdr:colOff>
      <xdr:row>62</xdr:row>
      <xdr:rowOff>126547</xdr:rowOff>
    </xdr:from>
    <xdr:to>
      <xdr:col>17</xdr:col>
      <xdr:colOff>4081</xdr:colOff>
      <xdr:row>62</xdr:row>
      <xdr:rowOff>140154</xdr:rowOff>
    </xdr:to>
    <xdr:cxnSp macro="">
      <xdr:nvCxnSpPr>
        <xdr:cNvPr id="59" name="ลูกศรเชื่อมต่อแบบตรง 58">
          <a:extLst>
            <a:ext uri="{FF2B5EF4-FFF2-40B4-BE49-F238E27FC236}">
              <a16:creationId xmlns:a16="http://schemas.microsoft.com/office/drawing/2014/main" id="{C48A6A51-EB67-4DF3-B4DE-4206C707AA26}"/>
            </a:ext>
          </a:extLst>
        </xdr:cNvPr>
        <xdr:cNvCxnSpPr/>
      </xdr:nvCxnSpPr>
      <xdr:spPr>
        <a:xfrm flipV="1">
          <a:off x="5759903" y="17014372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515711</xdr:colOff>
      <xdr:row>63</xdr:row>
      <xdr:rowOff>148318</xdr:rowOff>
    </xdr:from>
    <xdr:to>
      <xdr:col>16</xdr:col>
      <xdr:colOff>291192</xdr:colOff>
      <xdr:row>63</xdr:row>
      <xdr:rowOff>161925</xdr:rowOff>
    </xdr:to>
    <xdr:cxnSp macro="">
      <xdr:nvCxnSpPr>
        <xdr:cNvPr id="60" name="ลูกศรเชื่อมต่อแบบตรง 59">
          <a:extLst>
            <a:ext uri="{FF2B5EF4-FFF2-40B4-BE49-F238E27FC236}">
              <a16:creationId xmlns:a16="http://schemas.microsoft.com/office/drawing/2014/main" id="{4F0BC6F6-8468-426A-B15B-0662059F46D2}"/>
            </a:ext>
          </a:extLst>
        </xdr:cNvPr>
        <xdr:cNvCxnSpPr/>
      </xdr:nvCxnSpPr>
      <xdr:spPr>
        <a:xfrm flipV="1">
          <a:off x="5763986" y="17302843"/>
          <a:ext cx="3537856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1361</xdr:colOff>
      <xdr:row>64</xdr:row>
      <xdr:rowOff>117022</xdr:rowOff>
    </xdr:from>
    <xdr:to>
      <xdr:col>17</xdr:col>
      <xdr:colOff>8164</xdr:colOff>
      <xdr:row>64</xdr:row>
      <xdr:rowOff>130629</xdr:rowOff>
    </xdr:to>
    <xdr:cxnSp macro="">
      <xdr:nvCxnSpPr>
        <xdr:cNvPr id="61" name="ลูกศรเชื่อมต่อแบบตรง 60">
          <a:extLst>
            <a:ext uri="{FF2B5EF4-FFF2-40B4-BE49-F238E27FC236}">
              <a16:creationId xmlns:a16="http://schemas.microsoft.com/office/drawing/2014/main" id="{45621178-5193-404B-9D6D-22F3053ABD09}"/>
            </a:ext>
          </a:extLst>
        </xdr:cNvPr>
        <xdr:cNvCxnSpPr/>
      </xdr:nvCxnSpPr>
      <xdr:spPr>
        <a:xfrm flipV="1">
          <a:off x="5763986" y="17538247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521154</xdr:colOff>
      <xdr:row>65</xdr:row>
      <xdr:rowOff>126548</xdr:rowOff>
    </xdr:from>
    <xdr:to>
      <xdr:col>17</xdr:col>
      <xdr:colOff>4082</xdr:colOff>
      <xdr:row>65</xdr:row>
      <xdr:rowOff>140155</xdr:rowOff>
    </xdr:to>
    <xdr:cxnSp macro="">
      <xdr:nvCxnSpPr>
        <xdr:cNvPr id="62" name="ลูกศรเชื่อมต่อแบบตรง 61">
          <a:extLst>
            <a:ext uri="{FF2B5EF4-FFF2-40B4-BE49-F238E27FC236}">
              <a16:creationId xmlns:a16="http://schemas.microsoft.com/office/drawing/2014/main" id="{781044AF-A712-471D-A08B-D5A6907FCE47}"/>
            </a:ext>
          </a:extLst>
        </xdr:cNvPr>
        <xdr:cNvCxnSpPr/>
      </xdr:nvCxnSpPr>
      <xdr:spPr>
        <a:xfrm flipV="1">
          <a:off x="5759904" y="17814473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6804</xdr:colOff>
      <xdr:row>66</xdr:row>
      <xdr:rowOff>149679</xdr:rowOff>
    </xdr:from>
    <xdr:to>
      <xdr:col>17</xdr:col>
      <xdr:colOff>13607</xdr:colOff>
      <xdr:row>66</xdr:row>
      <xdr:rowOff>163286</xdr:rowOff>
    </xdr:to>
    <xdr:cxnSp macro="">
      <xdr:nvCxnSpPr>
        <xdr:cNvPr id="63" name="ลูกศรเชื่อมต่อแบบตรง 62">
          <a:extLst>
            <a:ext uri="{FF2B5EF4-FFF2-40B4-BE49-F238E27FC236}">
              <a16:creationId xmlns:a16="http://schemas.microsoft.com/office/drawing/2014/main" id="{5E169559-B7FE-4172-9990-5C469350D1F8}"/>
            </a:ext>
          </a:extLst>
        </xdr:cNvPr>
        <xdr:cNvCxnSpPr/>
      </xdr:nvCxnSpPr>
      <xdr:spPr>
        <a:xfrm flipV="1">
          <a:off x="5769429" y="18371004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9526</xdr:colOff>
      <xdr:row>67</xdr:row>
      <xdr:rowOff>159204</xdr:rowOff>
    </xdr:from>
    <xdr:to>
      <xdr:col>17</xdr:col>
      <xdr:colOff>16329</xdr:colOff>
      <xdr:row>67</xdr:row>
      <xdr:rowOff>172811</xdr:rowOff>
    </xdr:to>
    <xdr:cxnSp macro="">
      <xdr:nvCxnSpPr>
        <xdr:cNvPr id="64" name="ลูกศรเชื่อมต่อแบบตรง 63">
          <a:extLst>
            <a:ext uri="{FF2B5EF4-FFF2-40B4-BE49-F238E27FC236}">
              <a16:creationId xmlns:a16="http://schemas.microsoft.com/office/drawing/2014/main" id="{AF2513E3-B91D-440A-BCBF-6C02E43B7B90}"/>
            </a:ext>
          </a:extLst>
        </xdr:cNvPr>
        <xdr:cNvCxnSpPr/>
      </xdr:nvCxnSpPr>
      <xdr:spPr>
        <a:xfrm flipV="1">
          <a:off x="5772151" y="18913929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515712</xdr:colOff>
      <xdr:row>68</xdr:row>
      <xdr:rowOff>148319</xdr:rowOff>
    </xdr:from>
    <xdr:to>
      <xdr:col>16</xdr:col>
      <xdr:colOff>291193</xdr:colOff>
      <xdr:row>68</xdr:row>
      <xdr:rowOff>161926</xdr:rowOff>
    </xdr:to>
    <xdr:cxnSp macro="">
      <xdr:nvCxnSpPr>
        <xdr:cNvPr id="65" name="ลูกศรเชื่อมต่อแบบตรง 64">
          <a:extLst>
            <a:ext uri="{FF2B5EF4-FFF2-40B4-BE49-F238E27FC236}">
              <a16:creationId xmlns:a16="http://schemas.microsoft.com/office/drawing/2014/main" id="{A664D4FA-1678-4FBC-8539-74D7E17EDD5C}"/>
            </a:ext>
          </a:extLst>
        </xdr:cNvPr>
        <xdr:cNvCxnSpPr/>
      </xdr:nvCxnSpPr>
      <xdr:spPr>
        <a:xfrm flipV="1">
          <a:off x="5763987" y="19436444"/>
          <a:ext cx="3537856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1361</xdr:colOff>
      <xdr:row>69</xdr:row>
      <xdr:rowOff>117023</xdr:rowOff>
    </xdr:from>
    <xdr:to>
      <xdr:col>17</xdr:col>
      <xdr:colOff>8164</xdr:colOff>
      <xdr:row>69</xdr:row>
      <xdr:rowOff>130630</xdr:rowOff>
    </xdr:to>
    <xdr:cxnSp macro="">
      <xdr:nvCxnSpPr>
        <xdr:cNvPr id="66" name="ลูกศรเชื่อมต่อแบบตรง 65">
          <a:extLst>
            <a:ext uri="{FF2B5EF4-FFF2-40B4-BE49-F238E27FC236}">
              <a16:creationId xmlns:a16="http://schemas.microsoft.com/office/drawing/2014/main" id="{240A2E83-B7B8-4EA4-8FA6-499501FE0E2A}"/>
            </a:ext>
          </a:extLst>
        </xdr:cNvPr>
        <xdr:cNvCxnSpPr/>
      </xdr:nvCxnSpPr>
      <xdr:spPr>
        <a:xfrm flipV="1">
          <a:off x="5763986" y="19671848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521153</xdr:colOff>
      <xdr:row>70</xdr:row>
      <xdr:rowOff>126547</xdr:rowOff>
    </xdr:from>
    <xdr:to>
      <xdr:col>17</xdr:col>
      <xdr:colOff>4081</xdr:colOff>
      <xdr:row>70</xdr:row>
      <xdr:rowOff>140154</xdr:rowOff>
    </xdr:to>
    <xdr:cxnSp macro="">
      <xdr:nvCxnSpPr>
        <xdr:cNvPr id="67" name="ลูกศรเชื่อมต่อแบบตรง 66">
          <a:extLst>
            <a:ext uri="{FF2B5EF4-FFF2-40B4-BE49-F238E27FC236}">
              <a16:creationId xmlns:a16="http://schemas.microsoft.com/office/drawing/2014/main" id="{F78B96F3-9B3B-4307-AC8B-152835BA9F79}"/>
            </a:ext>
          </a:extLst>
        </xdr:cNvPr>
        <xdr:cNvCxnSpPr/>
      </xdr:nvCxnSpPr>
      <xdr:spPr>
        <a:xfrm flipV="1">
          <a:off x="5759903" y="19948072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6804</xdr:colOff>
      <xdr:row>71</xdr:row>
      <xdr:rowOff>149679</xdr:rowOff>
    </xdr:from>
    <xdr:to>
      <xdr:col>17</xdr:col>
      <xdr:colOff>13607</xdr:colOff>
      <xdr:row>71</xdr:row>
      <xdr:rowOff>163286</xdr:rowOff>
    </xdr:to>
    <xdr:cxnSp macro="">
      <xdr:nvCxnSpPr>
        <xdr:cNvPr id="68" name="ลูกศรเชื่อมต่อแบบตรง 67">
          <a:extLst>
            <a:ext uri="{FF2B5EF4-FFF2-40B4-BE49-F238E27FC236}">
              <a16:creationId xmlns:a16="http://schemas.microsoft.com/office/drawing/2014/main" id="{319DD087-02B5-499A-89BE-F8F08AB0C961}"/>
            </a:ext>
          </a:extLst>
        </xdr:cNvPr>
        <xdr:cNvCxnSpPr/>
      </xdr:nvCxnSpPr>
      <xdr:spPr>
        <a:xfrm flipV="1">
          <a:off x="5769429" y="20237904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519794</xdr:colOff>
      <xdr:row>72</xdr:row>
      <xdr:rowOff>166008</xdr:rowOff>
    </xdr:from>
    <xdr:to>
      <xdr:col>17</xdr:col>
      <xdr:colOff>2722</xdr:colOff>
      <xdr:row>72</xdr:row>
      <xdr:rowOff>179615</xdr:rowOff>
    </xdr:to>
    <xdr:cxnSp macro="">
      <xdr:nvCxnSpPr>
        <xdr:cNvPr id="69" name="ลูกศรเชื่อมต่อแบบตรง 68">
          <a:extLst>
            <a:ext uri="{FF2B5EF4-FFF2-40B4-BE49-F238E27FC236}">
              <a16:creationId xmlns:a16="http://schemas.microsoft.com/office/drawing/2014/main" id="{44CE6F93-CA0E-4C4E-96D3-CEBBD2B68EE5}"/>
            </a:ext>
          </a:extLst>
        </xdr:cNvPr>
        <xdr:cNvCxnSpPr/>
      </xdr:nvCxnSpPr>
      <xdr:spPr>
        <a:xfrm flipV="1">
          <a:off x="5758544" y="20520933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515711</xdr:colOff>
      <xdr:row>73</xdr:row>
      <xdr:rowOff>148318</xdr:rowOff>
    </xdr:from>
    <xdr:to>
      <xdr:col>16</xdr:col>
      <xdr:colOff>291192</xdr:colOff>
      <xdr:row>73</xdr:row>
      <xdr:rowOff>161925</xdr:rowOff>
    </xdr:to>
    <xdr:cxnSp macro="">
      <xdr:nvCxnSpPr>
        <xdr:cNvPr id="70" name="ลูกศรเชื่อมต่อแบบตรง 69">
          <a:extLst>
            <a:ext uri="{FF2B5EF4-FFF2-40B4-BE49-F238E27FC236}">
              <a16:creationId xmlns:a16="http://schemas.microsoft.com/office/drawing/2014/main" id="{DC7C7594-A18D-429C-BEA7-2C26A421F26B}"/>
            </a:ext>
          </a:extLst>
        </xdr:cNvPr>
        <xdr:cNvCxnSpPr/>
      </xdr:nvCxnSpPr>
      <xdr:spPr>
        <a:xfrm flipV="1">
          <a:off x="5763986" y="21036643"/>
          <a:ext cx="3537856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1361</xdr:colOff>
      <xdr:row>74</xdr:row>
      <xdr:rowOff>117022</xdr:rowOff>
    </xdr:from>
    <xdr:to>
      <xdr:col>17</xdr:col>
      <xdr:colOff>8164</xdr:colOff>
      <xdr:row>74</xdr:row>
      <xdr:rowOff>130629</xdr:rowOff>
    </xdr:to>
    <xdr:cxnSp macro="">
      <xdr:nvCxnSpPr>
        <xdr:cNvPr id="71" name="ลูกศรเชื่อมต่อแบบตรง 70">
          <a:extLst>
            <a:ext uri="{FF2B5EF4-FFF2-40B4-BE49-F238E27FC236}">
              <a16:creationId xmlns:a16="http://schemas.microsoft.com/office/drawing/2014/main" id="{6F4F012F-A94A-4C4D-888B-0C8515E88E60}"/>
            </a:ext>
          </a:extLst>
        </xdr:cNvPr>
        <xdr:cNvCxnSpPr/>
      </xdr:nvCxnSpPr>
      <xdr:spPr>
        <a:xfrm flipV="1">
          <a:off x="5763986" y="21538747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521154</xdr:colOff>
      <xdr:row>75</xdr:row>
      <xdr:rowOff>126548</xdr:rowOff>
    </xdr:from>
    <xdr:to>
      <xdr:col>17</xdr:col>
      <xdr:colOff>4082</xdr:colOff>
      <xdr:row>75</xdr:row>
      <xdr:rowOff>140155</xdr:rowOff>
    </xdr:to>
    <xdr:cxnSp macro="">
      <xdr:nvCxnSpPr>
        <xdr:cNvPr id="72" name="ลูกศรเชื่อมต่อแบบตรง 71">
          <a:extLst>
            <a:ext uri="{FF2B5EF4-FFF2-40B4-BE49-F238E27FC236}">
              <a16:creationId xmlns:a16="http://schemas.microsoft.com/office/drawing/2014/main" id="{78D9D8E0-CCDD-4809-94E3-9AA74FD2F3EC}"/>
            </a:ext>
          </a:extLst>
        </xdr:cNvPr>
        <xdr:cNvCxnSpPr/>
      </xdr:nvCxnSpPr>
      <xdr:spPr>
        <a:xfrm flipV="1">
          <a:off x="5759904" y="21814973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6804</xdr:colOff>
      <xdr:row>76</xdr:row>
      <xdr:rowOff>149679</xdr:rowOff>
    </xdr:from>
    <xdr:to>
      <xdr:col>17</xdr:col>
      <xdr:colOff>13607</xdr:colOff>
      <xdr:row>76</xdr:row>
      <xdr:rowOff>163286</xdr:rowOff>
    </xdr:to>
    <xdr:cxnSp macro="">
      <xdr:nvCxnSpPr>
        <xdr:cNvPr id="73" name="ลูกศรเชื่อมต่อแบบตรง 72">
          <a:extLst>
            <a:ext uri="{FF2B5EF4-FFF2-40B4-BE49-F238E27FC236}">
              <a16:creationId xmlns:a16="http://schemas.microsoft.com/office/drawing/2014/main" id="{DB294ABC-E865-4FD0-BCA2-8F938387BBC1}"/>
            </a:ext>
          </a:extLst>
        </xdr:cNvPr>
        <xdr:cNvCxnSpPr/>
      </xdr:nvCxnSpPr>
      <xdr:spPr>
        <a:xfrm flipV="1">
          <a:off x="5769429" y="22104804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9526</xdr:colOff>
      <xdr:row>77</xdr:row>
      <xdr:rowOff>159204</xdr:rowOff>
    </xdr:from>
    <xdr:to>
      <xdr:col>17</xdr:col>
      <xdr:colOff>16329</xdr:colOff>
      <xdr:row>77</xdr:row>
      <xdr:rowOff>172811</xdr:rowOff>
    </xdr:to>
    <xdr:cxnSp macro="">
      <xdr:nvCxnSpPr>
        <xdr:cNvPr id="74" name="ลูกศรเชื่อมต่อแบบตรง 73">
          <a:extLst>
            <a:ext uri="{FF2B5EF4-FFF2-40B4-BE49-F238E27FC236}">
              <a16:creationId xmlns:a16="http://schemas.microsoft.com/office/drawing/2014/main" id="{96C7BDB5-908F-40D5-B53A-CEC36E10B1BF}"/>
            </a:ext>
          </a:extLst>
        </xdr:cNvPr>
        <xdr:cNvCxnSpPr/>
      </xdr:nvCxnSpPr>
      <xdr:spPr>
        <a:xfrm flipV="1">
          <a:off x="5772151" y="22381029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515712</xdr:colOff>
      <xdr:row>78</xdr:row>
      <xdr:rowOff>148319</xdr:rowOff>
    </xdr:from>
    <xdr:to>
      <xdr:col>16</xdr:col>
      <xdr:colOff>291193</xdr:colOff>
      <xdr:row>78</xdr:row>
      <xdr:rowOff>161926</xdr:rowOff>
    </xdr:to>
    <xdr:cxnSp macro="">
      <xdr:nvCxnSpPr>
        <xdr:cNvPr id="75" name="ลูกศรเชื่อมต่อแบบตรง 74">
          <a:extLst>
            <a:ext uri="{FF2B5EF4-FFF2-40B4-BE49-F238E27FC236}">
              <a16:creationId xmlns:a16="http://schemas.microsoft.com/office/drawing/2014/main" id="{7B191239-894B-4F86-A524-E03E4244D8A5}"/>
            </a:ext>
          </a:extLst>
        </xdr:cNvPr>
        <xdr:cNvCxnSpPr/>
      </xdr:nvCxnSpPr>
      <xdr:spPr>
        <a:xfrm flipV="1">
          <a:off x="5763987" y="22636844"/>
          <a:ext cx="3537856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1361</xdr:colOff>
      <xdr:row>79</xdr:row>
      <xdr:rowOff>117023</xdr:rowOff>
    </xdr:from>
    <xdr:to>
      <xdr:col>17</xdr:col>
      <xdr:colOff>8164</xdr:colOff>
      <xdr:row>79</xdr:row>
      <xdr:rowOff>130630</xdr:rowOff>
    </xdr:to>
    <xdr:cxnSp macro="">
      <xdr:nvCxnSpPr>
        <xdr:cNvPr id="76" name="ลูกศรเชื่อมต่อแบบตรง 75">
          <a:extLst>
            <a:ext uri="{FF2B5EF4-FFF2-40B4-BE49-F238E27FC236}">
              <a16:creationId xmlns:a16="http://schemas.microsoft.com/office/drawing/2014/main" id="{C841FB76-9223-4FE6-BEAD-DB06C202599C}"/>
            </a:ext>
          </a:extLst>
        </xdr:cNvPr>
        <xdr:cNvCxnSpPr/>
      </xdr:nvCxnSpPr>
      <xdr:spPr>
        <a:xfrm flipV="1">
          <a:off x="5763986" y="22872248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521153</xdr:colOff>
      <xdr:row>80</xdr:row>
      <xdr:rowOff>126547</xdr:rowOff>
    </xdr:from>
    <xdr:to>
      <xdr:col>17</xdr:col>
      <xdr:colOff>4081</xdr:colOff>
      <xdr:row>80</xdr:row>
      <xdr:rowOff>140154</xdr:rowOff>
    </xdr:to>
    <xdr:cxnSp macro="">
      <xdr:nvCxnSpPr>
        <xdr:cNvPr id="77" name="ลูกศรเชื่อมต่อแบบตรง 76">
          <a:extLst>
            <a:ext uri="{FF2B5EF4-FFF2-40B4-BE49-F238E27FC236}">
              <a16:creationId xmlns:a16="http://schemas.microsoft.com/office/drawing/2014/main" id="{78EE1A55-6AC5-4848-B5E8-B2DAD20C8C06}"/>
            </a:ext>
          </a:extLst>
        </xdr:cNvPr>
        <xdr:cNvCxnSpPr/>
      </xdr:nvCxnSpPr>
      <xdr:spPr>
        <a:xfrm flipV="1">
          <a:off x="5759903" y="23148472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6804</xdr:colOff>
      <xdr:row>81</xdr:row>
      <xdr:rowOff>149679</xdr:rowOff>
    </xdr:from>
    <xdr:to>
      <xdr:col>17</xdr:col>
      <xdr:colOff>13607</xdr:colOff>
      <xdr:row>81</xdr:row>
      <xdr:rowOff>163286</xdr:rowOff>
    </xdr:to>
    <xdr:cxnSp macro="">
      <xdr:nvCxnSpPr>
        <xdr:cNvPr id="78" name="ลูกศรเชื่อมต่อแบบตรง 77">
          <a:extLst>
            <a:ext uri="{FF2B5EF4-FFF2-40B4-BE49-F238E27FC236}">
              <a16:creationId xmlns:a16="http://schemas.microsoft.com/office/drawing/2014/main" id="{698A71FA-BF2D-4038-BB0A-DF904B90E1FD}"/>
            </a:ext>
          </a:extLst>
        </xdr:cNvPr>
        <xdr:cNvCxnSpPr/>
      </xdr:nvCxnSpPr>
      <xdr:spPr>
        <a:xfrm flipV="1">
          <a:off x="5769429" y="23438304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519794</xdr:colOff>
      <xdr:row>82</xdr:row>
      <xdr:rowOff>166008</xdr:rowOff>
    </xdr:from>
    <xdr:to>
      <xdr:col>17</xdr:col>
      <xdr:colOff>2722</xdr:colOff>
      <xdr:row>82</xdr:row>
      <xdr:rowOff>179615</xdr:rowOff>
    </xdr:to>
    <xdr:cxnSp macro="">
      <xdr:nvCxnSpPr>
        <xdr:cNvPr id="79" name="ลูกศรเชื่อมต่อแบบตรง 78">
          <a:extLst>
            <a:ext uri="{FF2B5EF4-FFF2-40B4-BE49-F238E27FC236}">
              <a16:creationId xmlns:a16="http://schemas.microsoft.com/office/drawing/2014/main" id="{0FF0A00F-904C-4C53-9385-DD1D83B461B6}"/>
            </a:ext>
          </a:extLst>
        </xdr:cNvPr>
        <xdr:cNvCxnSpPr/>
      </xdr:nvCxnSpPr>
      <xdr:spPr>
        <a:xfrm flipV="1">
          <a:off x="5758544" y="23721333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515711</xdr:colOff>
      <xdr:row>83</xdr:row>
      <xdr:rowOff>148318</xdr:rowOff>
    </xdr:from>
    <xdr:to>
      <xdr:col>16</xdr:col>
      <xdr:colOff>291192</xdr:colOff>
      <xdr:row>83</xdr:row>
      <xdr:rowOff>161925</xdr:rowOff>
    </xdr:to>
    <xdr:cxnSp macro="">
      <xdr:nvCxnSpPr>
        <xdr:cNvPr id="80" name="ลูกศรเชื่อมต่อแบบตรง 79">
          <a:extLst>
            <a:ext uri="{FF2B5EF4-FFF2-40B4-BE49-F238E27FC236}">
              <a16:creationId xmlns:a16="http://schemas.microsoft.com/office/drawing/2014/main" id="{C69D847D-C22E-4C97-9607-82ED7A90198E}"/>
            </a:ext>
          </a:extLst>
        </xdr:cNvPr>
        <xdr:cNvCxnSpPr/>
      </xdr:nvCxnSpPr>
      <xdr:spPr>
        <a:xfrm flipV="1">
          <a:off x="5763986" y="23970343"/>
          <a:ext cx="3537856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1361</xdr:colOff>
      <xdr:row>84</xdr:row>
      <xdr:rowOff>117022</xdr:rowOff>
    </xdr:from>
    <xdr:to>
      <xdr:col>17</xdr:col>
      <xdr:colOff>8164</xdr:colOff>
      <xdr:row>84</xdr:row>
      <xdr:rowOff>130629</xdr:rowOff>
    </xdr:to>
    <xdr:cxnSp macro="">
      <xdr:nvCxnSpPr>
        <xdr:cNvPr id="81" name="ลูกศรเชื่อมต่อแบบตรง 80">
          <a:extLst>
            <a:ext uri="{FF2B5EF4-FFF2-40B4-BE49-F238E27FC236}">
              <a16:creationId xmlns:a16="http://schemas.microsoft.com/office/drawing/2014/main" id="{30CCA593-3A27-4E7E-9A37-A45F5F2B4760}"/>
            </a:ext>
          </a:extLst>
        </xdr:cNvPr>
        <xdr:cNvCxnSpPr/>
      </xdr:nvCxnSpPr>
      <xdr:spPr>
        <a:xfrm flipV="1">
          <a:off x="5763986" y="24205747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521154</xdr:colOff>
      <xdr:row>85</xdr:row>
      <xdr:rowOff>126548</xdr:rowOff>
    </xdr:from>
    <xdr:to>
      <xdr:col>17</xdr:col>
      <xdr:colOff>4082</xdr:colOff>
      <xdr:row>85</xdr:row>
      <xdr:rowOff>140155</xdr:rowOff>
    </xdr:to>
    <xdr:cxnSp macro="">
      <xdr:nvCxnSpPr>
        <xdr:cNvPr id="82" name="ลูกศรเชื่อมต่อแบบตรง 81">
          <a:extLst>
            <a:ext uri="{FF2B5EF4-FFF2-40B4-BE49-F238E27FC236}">
              <a16:creationId xmlns:a16="http://schemas.microsoft.com/office/drawing/2014/main" id="{185CE281-4EAD-41A0-8FD8-7BAC9069E15F}"/>
            </a:ext>
          </a:extLst>
        </xdr:cNvPr>
        <xdr:cNvCxnSpPr/>
      </xdr:nvCxnSpPr>
      <xdr:spPr>
        <a:xfrm flipV="1">
          <a:off x="5759904" y="24481973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6804</xdr:colOff>
      <xdr:row>86</xdr:row>
      <xdr:rowOff>149679</xdr:rowOff>
    </xdr:from>
    <xdr:to>
      <xdr:col>17</xdr:col>
      <xdr:colOff>13607</xdr:colOff>
      <xdr:row>86</xdr:row>
      <xdr:rowOff>163286</xdr:rowOff>
    </xdr:to>
    <xdr:cxnSp macro="">
      <xdr:nvCxnSpPr>
        <xdr:cNvPr id="83" name="ลูกศรเชื่อมต่อแบบตรง 82">
          <a:extLst>
            <a:ext uri="{FF2B5EF4-FFF2-40B4-BE49-F238E27FC236}">
              <a16:creationId xmlns:a16="http://schemas.microsoft.com/office/drawing/2014/main" id="{1F8533B5-0B3A-435B-B5BF-C606D5BB9E5A}"/>
            </a:ext>
          </a:extLst>
        </xdr:cNvPr>
        <xdr:cNvCxnSpPr/>
      </xdr:nvCxnSpPr>
      <xdr:spPr>
        <a:xfrm flipV="1">
          <a:off x="5769429" y="24771804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9526</xdr:colOff>
      <xdr:row>87</xdr:row>
      <xdr:rowOff>159204</xdr:rowOff>
    </xdr:from>
    <xdr:to>
      <xdr:col>17</xdr:col>
      <xdr:colOff>16329</xdr:colOff>
      <xdr:row>87</xdr:row>
      <xdr:rowOff>172811</xdr:rowOff>
    </xdr:to>
    <xdr:cxnSp macro="">
      <xdr:nvCxnSpPr>
        <xdr:cNvPr id="84" name="ลูกศรเชื่อมต่อแบบตรง 83">
          <a:extLst>
            <a:ext uri="{FF2B5EF4-FFF2-40B4-BE49-F238E27FC236}">
              <a16:creationId xmlns:a16="http://schemas.microsoft.com/office/drawing/2014/main" id="{F95ADC70-9B2C-4509-BBC9-FE958D84B0F8}"/>
            </a:ext>
          </a:extLst>
        </xdr:cNvPr>
        <xdr:cNvCxnSpPr/>
      </xdr:nvCxnSpPr>
      <xdr:spPr>
        <a:xfrm flipV="1">
          <a:off x="5772151" y="25048029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515712</xdr:colOff>
      <xdr:row>88</xdr:row>
      <xdr:rowOff>148319</xdr:rowOff>
    </xdr:from>
    <xdr:to>
      <xdr:col>16</xdr:col>
      <xdr:colOff>291193</xdr:colOff>
      <xdr:row>88</xdr:row>
      <xdr:rowOff>161926</xdr:rowOff>
    </xdr:to>
    <xdr:cxnSp macro="">
      <xdr:nvCxnSpPr>
        <xdr:cNvPr id="85" name="ลูกศรเชื่อมต่อแบบตรง 84">
          <a:extLst>
            <a:ext uri="{FF2B5EF4-FFF2-40B4-BE49-F238E27FC236}">
              <a16:creationId xmlns:a16="http://schemas.microsoft.com/office/drawing/2014/main" id="{9F114465-7A26-48E3-B3B9-9E5229C5546E}"/>
            </a:ext>
          </a:extLst>
        </xdr:cNvPr>
        <xdr:cNvCxnSpPr/>
      </xdr:nvCxnSpPr>
      <xdr:spPr>
        <a:xfrm flipV="1">
          <a:off x="5763987" y="25303844"/>
          <a:ext cx="3537856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1361</xdr:colOff>
      <xdr:row>89</xdr:row>
      <xdr:rowOff>117023</xdr:rowOff>
    </xdr:from>
    <xdr:to>
      <xdr:col>17</xdr:col>
      <xdr:colOff>8164</xdr:colOff>
      <xdr:row>89</xdr:row>
      <xdr:rowOff>130630</xdr:rowOff>
    </xdr:to>
    <xdr:cxnSp macro="">
      <xdr:nvCxnSpPr>
        <xdr:cNvPr id="86" name="ลูกศรเชื่อมต่อแบบตรง 85">
          <a:extLst>
            <a:ext uri="{FF2B5EF4-FFF2-40B4-BE49-F238E27FC236}">
              <a16:creationId xmlns:a16="http://schemas.microsoft.com/office/drawing/2014/main" id="{AD3AA6D6-8FC7-411F-9784-6B2A24B13E3D}"/>
            </a:ext>
          </a:extLst>
        </xdr:cNvPr>
        <xdr:cNvCxnSpPr/>
      </xdr:nvCxnSpPr>
      <xdr:spPr>
        <a:xfrm flipV="1">
          <a:off x="5763986" y="25539248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521153</xdr:colOff>
      <xdr:row>90</xdr:row>
      <xdr:rowOff>126547</xdr:rowOff>
    </xdr:from>
    <xdr:to>
      <xdr:col>17</xdr:col>
      <xdr:colOff>4081</xdr:colOff>
      <xdr:row>90</xdr:row>
      <xdr:rowOff>140154</xdr:rowOff>
    </xdr:to>
    <xdr:cxnSp macro="">
      <xdr:nvCxnSpPr>
        <xdr:cNvPr id="87" name="ลูกศรเชื่อมต่อแบบตรง 86">
          <a:extLst>
            <a:ext uri="{FF2B5EF4-FFF2-40B4-BE49-F238E27FC236}">
              <a16:creationId xmlns:a16="http://schemas.microsoft.com/office/drawing/2014/main" id="{2509C580-0E8D-4A1B-B264-D27EFB9E3E7A}"/>
            </a:ext>
          </a:extLst>
        </xdr:cNvPr>
        <xdr:cNvCxnSpPr/>
      </xdr:nvCxnSpPr>
      <xdr:spPr>
        <a:xfrm flipV="1">
          <a:off x="5759903" y="26082172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6804</xdr:colOff>
      <xdr:row>91</xdr:row>
      <xdr:rowOff>149679</xdr:rowOff>
    </xdr:from>
    <xdr:to>
      <xdr:col>17</xdr:col>
      <xdr:colOff>13607</xdr:colOff>
      <xdr:row>91</xdr:row>
      <xdr:rowOff>163286</xdr:rowOff>
    </xdr:to>
    <xdr:cxnSp macro="">
      <xdr:nvCxnSpPr>
        <xdr:cNvPr id="88" name="ลูกศรเชื่อมต่อแบบตรง 87">
          <a:extLst>
            <a:ext uri="{FF2B5EF4-FFF2-40B4-BE49-F238E27FC236}">
              <a16:creationId xmlns:a16="http://schemas.microsoft.com/office/drawing/2014/main" id="{8E95E9BF-A8B1-4CF8-A33D-16587E2610EB}"/>
            </a:ext>
          </a:extLst>
        </xdr:cNvPr>
        <xdr:cNvCxnSpPr/>
      </xdr:nvCxnSpPr>
      <xdr:spPr>
        <a:xfrm flipV="1">
          <a:off x="5769429" y="26372004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519794</xdr:colOff>
      <xdr:row>92</xdr:row>
      <xdr:rowOff>166008</xdr:rowOff>
    </xdr:from>
    <xdr:to>
      <xdr:col>17</xdr:col>
      <xdr:colOff>2722</xdr:colOff>
      <xdr:row>92</xdr:row>
      <xdr:rowOff>179615</xdr:rowOff>
    </xdr:to>
    <xdr:cxnSp macro="">
      <xdr:nvCxnSpPr>
        <xdr:cNvPr id="89" name="ลูกศรเชื่อมต่อแบบตรง 88">
          <a:extLst>
            <a:ext uri="{FF2B5EF4-FFF2-40B4-BE49-F238E27FC236}">
              <a16:creationId xmlns:a16="http://schemas.microsoft.com/office/drawing/2014/main" id="{54BC5E16-C918-4EDE-AAAC-45B7D65F008F}"/>
            </a:ext>
          </a:extLst>
        </xdr:cNvPr>
        <xdr:cNvCxnSpPr/>
      </xdr:nvCxnSpPr>
      <xdr:spPr>
        <a:xfrm flipV="1">
          <a:off x="5758544" y="26921733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515711</xdr:colOff>
      <xdr:row>93</xdr:row>
      <xdr:rowOff>148318</xdr:rowOff>
    </xdr:from>
    <xdr:to>
      <xdr:col>16</xdr:col>
      <xdr:colOff>291192</xdr:colOff>
      <xdr:row>93</xdr:row>
      <xdr:rowOff>161925</xdr:rowOff>
    </xdr:to>
    <xdr:cxnSp macro="">
      <xdr:nvCxnSpPr>
        <xdr:cNvPr id="90" name="ลูกศรเชื่อมต่อแบบตรง 89">
          <a:extLst>
            <a:ext uri="{FF2B5EF4-FFF2-40B4-BE49-F238E27FC236}">
              <a16:creationId xmlns:a16="http://schemas.microsoft.com/office/drawing/2014/main" id="{DC0FEE19-A276-44ED-BEEA-4129D1085699}"/>
            </a:ext>
          </a:extLst>
        </xdr:cNvPr>
        <xdr:cNvCxnSpPr/>
      </xdr:nvCxnSpPr>
      <xdr:spPr>
        <a:xfrm flipV="1">
          <a:off x="5763986" y="27437443"/>
          <a:ext cx="3537856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1361</xdr:colOff>
      <xdr:row>94</xdr:row>
      <xdr:rowOff>117022</xdr:rowOff>
    </xdr:from>
    <xdr:to>
      <xdr:col>17</xdr:col>
      <xdr:colOff>8164</xdr:colOff>
      <xdr:row>94</xdr:row>
      <xdr:rowOff>130629</xdr:rowOff>
    </xdr:to>
    <xdr:cxnSp macro="">
      <xdr:nvCxnSpPr>
        <xdr:cNvPr id="91" name="ลูกศรเชื่อมต่อแบบตรง 90">
          <a:extLst>
            <a:ext uri="{FF2B5EF4-FFF2-40B4-BE49-F238E27FC236}">
              <a16:creationId xmlns:a16="http://schemas.microsoft.com/office/drawing/2014/main" id="{20FD47FE-C870-4A9C-941D-781DC4D4E68F}"/>
            </a:ext>
          </a:extLst>
        </xdr:cNvPr>
        <xdr:cNvCxnSpPr/>
      </xdr:nvCxnSpPr>
      <xdr:spPr>
        <a:xfrm flipV="1">
          <a:off x="5763986" y="27939547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521154</xdr:colOff>
      <xdr:row>95</xdr:row>
      <xdr:rowOff>126548</xdr:rowOff>
    </xdr:from>
    <xdr:to>
      <xdr:col>17</xdr:col>
      <xdr:colOff>4082</xdr:colOff>
      <xdr:row>95</xdr:row>
      <xdr:rowOff>140155</xdr:rowOff>
    </xdr:to>
    <xdr:cxnSp macro="">
      <xdr:nvCxnSpPr>
        <xdr:cNvPr id="92" name="ลูกศรเชื่อมต่อแบบตรง 91">
          <a:extLst>
            <a:ext uri="{FF2B5EF4-FFF2-40B4-BE49-F238E27FC236}">
              <a16:creationId xmlns:a16="http://schemas.microsoft.com/office/drawing/2014/main" id="{01D73460-FDB5-4D9C-95C9-5D16FC785D37}"/>
            </a:ext>
          </a:extLst>
        </xdr:cNvPr>
        <xdr:cNvCxnSpPr/>
      </xdr:nvCxnSpPr>
      <xdr:spPr>
        <a:xfrm flipV="1">
          <a:off x="5759904" y="28215773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6804</xdr:colOff>
      <xdr:row>96</xdr:row>
      <xdr:rowOff>149679</xdr:rowOff>
    </xdr:from>
    <xdr:to>
      <xdr:col>17</xdr:col>
      <xdr:colOff>13607</xdr:colOff>
      <xdr:row>96</xdr:row>
      <xdr:rowOff>163286</xdr:rowOff>
    </xdr:to>
    <xdr:cxnSp macro="">
      <xdr:nvCxnSpPr>
        <xdr:cNvPr id="93" name="ลูกศรเชื่อมต่อแบบตรง 92">
          <a:extLst>
            <a:ext uri="{FF2B5EF4-FFF2-40B4-BE49-F238E27FC236}">
              <a16:creationId xmlns:a16="http://schemas.microsoft.com/office/drawing/2014/main" id="{674F6A68-98B3-421D-8E12-3D6D8728A348}"/>
            </a:ext>
          </a:extLst>
        </xdr:cNvPr>
        <xdr:cNvCxnSpPr/>
      </xdr:nvCxnSpPr>
      <xdr:spPr>
        <a:xfrm flipV="1">
          <a:off x="5769429" y="28772304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9526</xdr:colOff>
      <xdr:row>97</xdr:row>
      <xdr:rowOff>159204</xdr:rowOff>
    </xdr:from>
    <xdr:to>
      <xdr:col>17</xdr:col>
      <xdr:colOff>16329</xdr:colOff>
      <xdr:row>97</xdr:row>
      <xdr:rowOff>172811</xdr:rowOff>
    </xdr:to>
    <xdr:cxnSp macro="">
      <xdr:nvCxnSpPr>
        <xdr:cNvPr id="94" name="ลูกศรเชื่อมต่อแบบตรง 93">
          <a:extLst>
            <a:ext uri="{FF2B5EF4-FFF2-40B4-BE49-F238E27FC236}">
              <a16:creationId xmlns:a16="http://schemas.microsoft.com/office/drawing/2014/main" id="{AE0AEF4C-069B-4684-BD69-EB721E6072BB}"/>
            </a:ext>
          </a:extLst>
        </xdr:cNvPr>
        <xdr:cNvCxnSpPr/>
      </xdr:nvCxnSpPr>
      <xdr:spPr>
        <a:xfrm flipV="1">
          <a:off x="5772151" y="29048529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515712</xdr:colOff>
      <xdr:row>98</xdr:row>
      <xdr:rowOff>148319</xdr:rowOff>
    </xdr:from>
    <xdr:to>
      <xdr:col>16</xdr:col>
      <xdr:colOff>291193</xdr:colOff>
      <xdr:row>98</xdr:row>
      <xdr:rowOff>161926</xdr:rowOff>
    </xdr:to>
    <xdr:cxnSp macro="">
      <xdr:nvCxnSpPr>
        <xdr:cNvPr id="95" name="ลูกศรเชื่อมต่อแบบตรง 94">
          <a:extLst>
            <a:ext uri="{FF2B5EF4-FFF2-40B4-BE49-F238E27FC236}">
              <a16:creationId xmlns:a16="http://schemas.microsoft.com/office/drawing/2014/main" id="{FE83AC7F-6DE8-455C-A75C-F829630EE1E0}"/>
            </a:ext>
          </a:extLst>
        </xdr:cNvPr>
        <xdr:cNvCxnSpPr/>
      </xdr:nvCxnSpPr>
      <xdr:spPr>
        <a:xfrm flipV="1">
          <a:off x="5763987" y="29304344"/>
          <a:ext cx="3537856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1361</xdr:colOff>
      <xdr:row>99</xdr:row>
      <xdr:rowOff>117023</xdr:rowOff>
    </xdr:from>
    <xdr:to>
      <xdr:col>17</xdr:col>
      <xdr:colOff>8164</xdr:colOff>
      <xdr:row>99</xdr:row>
      <xdr:rowOff>130630</xdr:rowOff>
    </xdr:to>
    <xdr:cxnSp macro="">
      <xdr:nvCxnSpPr>
        <xdr:cNvPr id="96" name="ลูกศรเชื่อมต่อแบบตรง 95">
          <a:extLst>
            <a:ext uri="{FF2B5EF4-FFF2-40B4-BE49-F238E27FC236}">
              <a16:creationId xmlns:a16="http://schemas.microsoft.com/office/drawing/2014/main" id="{AEE4FF1B-C237-4B7B-9881-4F98C3F79AA6}"/>
            </a:ext>
          </a:extLst>
        </xdr:cNvPr>
        <xdr:cNvCxnSpPr/>
      </xdr:nvCxnSpPr>
      <xdr:spPr>
        <a:xfrm flipV="1">
          <a:off x="5763986" y="29539748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521153</xdr:colOff>
      <xdr:row>100</xdr:row>
      <xdr:rowOff>126547</xdr:rowOff>
    </xdr:from>
    <xdr:to>
      <xdr:col>17</xdr:col>
      <xdr:colOff>4081</xdr:colOff>
      <xdr:row>100</xdr:row>
      <xdr:rowOff>140154</xdr:rowOff>
    </xdr:to>
    <xdr:cxnSp macro="">
      <xdr:nvCxnSpPr>
        <xdr:cNvPr id="97" name="ลูกศรเชื่อมต่อแบบตรง 96">
          <a:extLst>
            <a:ext uri="{FF2B5EF4-FFF2-40B4-BE49-F238E27FC236}">
              <a16:creationId xmlns:a16="http://schemas.microsoft.com/office/drawing/2014/main" id="{F6B12C1A-86AA-4370-9C89-FEBD051204F7}"/>
            </a:ext>
          </a:extLst>
        </xdr:cNvPr>
        <xdr:cNvCxnSpPr/>
      </xdr:nvCxnSpPr>
      <xdr:spPr>
        <a:xfrm flipV="1">
          <a:off x="5759903" y="29815972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9526</xdr:colOff>
      <xdr:row>103</xdr:row>
      <xdr:rowOff>159204</xdr:rowOff>
    </xdr:from>
    <xdr:to>
      <xdr:col>17</xdr:col>
      <xdr:colOff>16329</xdr:colOff>
      <xdr:row>103</xdr:row>
      <xdr:rowOff>172811</xdr:rowOff>
    </xdr:to>
    <xdr:cxnSp macro="">
      <xdr:nvCxnSpPr>
        <xdr:cNvPr id="98" name="ลูกศรเชื่อมต่อแบบตรง 97">
          <a:extLst>
            <a:ext uri="{FF2B5EF4-FFF2-40B4-BE49-F238E27FC236}">
              <a16:creationId xmlns:a16="http://schemas.microsoft.com/office/drawing/2014/main" id="{BABD9C02-551B-4339-8D9C-8C6F7A651A4F}"/>
            </a:ext>
          </a:extLst>
        </xdr:cNvPr>
        <xdr:cNvCxnSpPr/>
      </xdr:nvCxnSpPr>
      <xdr:spPr>
        <a:xfrm flipV="1">
          <a:off x="5772151" y="30648729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515712</xdr:colOff>
      <xdr:row>104</xdr:row>
      <xdr:rowOff>148319</xdr:rowOff>
    </xdr:from>
    <xdr:to>
      <xdr:col>16</xdr:col>
      <xdr:colOff>291193</xdr:colOff>
      <xdr:row>104</xdr:row>
      <xdr:rowOff>161926</xdr:rowOff>
    </xdr:to>
    <xdr:cxnSp macro="">
      <xdr:nvCxnSpPr>
        <xdr:cNvPr id="99" name="ลูกศรเชื่อมต่อแบบตรง 98">
          <a:extLst>
            <a:ext uri="{FF2B5EF4-FFF2-40B4-BE49-F238E27FC236}">
              <a16:creationId xmlns:a16="http://schemas.microsoft.com/office/drawing/2014/main" id="{F7121245-721D-46F4-B8E8-38D888A904BD}"/>
            </a:ext>
          </a:extLst>
        </xdr:cNvPr>
        <xdr:cNvCxnSpPr/>
      </xdr:nvCxnSpPr>
      <xdr:spPr>
        <a:xfrm flipV="1">
          <a:off x="5763987" y="31171244"/>
          <a:ext cx="3537856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1361</xdr:colOff>
      <xdr:row>105</xdr:row>
      <xdr:rowOff>117023</xdr:rowOff>
    </xdr:from>
    <xdr:to>
      <xdr:col>17</xdr:col>
      <xdr:colOff>8164</xdr:colOff>
      <xdr:row>105</xdr:row>
      <xdr:rowOff>130630</xdr:rowOff>
    </xdr:to>
    <xdr:cxnSp macro="">
      <xdr:nvCxnSpPr>
        <xdr:cNvPr id="100" name="ลูกศรเชื่อมต่อแบบตรง 99">
          <a:extLst>
            <a:ext uri="{FF2B5EF4-FFF2-40B4-BE49-F238E27FC236}">
              <a16:creationId xmlns:a16="http://schemas.microsoft.com/office/drawing/2014/main" id="{332BCB39-4929-403E-A91C-20BE07B89FE6}"/>
            </a:ext>
          </a:extLst>
        </xdr:cNvPr>
        <xdr:cNvCxnSpPr/>
      </xdr:nvCxnSpPr>
      <xdr:spPr>
        <a:xfrm flipV="1">
          <a:off x="5763986" y="31406648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521153</xdr:colOff>
      <xdr:row>106</xdr:row>
      <xdr:rowOff>126547</xdr:rowOff>
    </xdr:from>
    <xdr:to>
      <xdr:col>17</xdr:col>
      <xdr:colOff>4081</xdr:colOff>
      <xdr:row>106</xdr:row>
      <xdr:rowOff>140154</xdr:rowOff>
    </xdr:to>
    <xdr:cxnSp macro="">
      <xdr:nvCxnSpPr>
        <xdr:cNvPr id="101" name="ลูกศรเชื่อมต่อแบบตรง 100">
          <a:extLst>
            <a:ext uri="{FF2B5EF4-FFF2-40B4-BE49-F238E27FC236}">
              <a16:creationId xmlns:a16="http://schemas.microsoft.com/office/drawing/2014/main" id="{DE78CACD-E2D4-44FF-A8D9-12BDF961EC97}"/>
            </a:ext>
          </a:extLst>
        </xdr:cNvPr>
        <xdr:cNvCxnSpPr/>
      </xdr:nvCxnSpPr>
      <xdr:spPr>
        <a:xfrm flipV="1">
          <a:off x="5759903" y="31682872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6804</xdr:colOff>
      <xdr:row>107</xdr:row>
      <xdr:rowOff>149679</xdr:rowOff>
    </xdr:from>
    <xdr:to>
      <xdr:col>17</xdr:col>
      <xdr:colOff>13607</xdr:colOff>
      <xdr:row>107</xdr:row>
      <xdr:rowOff>163286</xdr:rowOff>
    </xdr:to>
    <xdr:cxnSp macro="">
      <xdr:nvCxnSpPr>
        <xdr:cNvPr id="102" name="ลูกศรเชื่อมต่อแบบตรง 101">
          <a:extLst>
            <a:ext uri="{FF2B5EF4-FFF2-40B4-BE49-F238E27FC236}">
              <a16:creationId xmlns:a16="http://schemas.microsoft.com/office/drawing/2014/main" id="{90912BD6-FFB7-471E-9CF5-CEAC87E78B63}"/>
            </a:ext>
          </a:extLst>
        </xdr:cNvPr>
        <xdr:cNvCxnSpPr/>
      </xdr:nvCxnSpPr>
      <xdr:spPr>
        <a:xfrm flipV="1">
          <a:off x="5769429" y="31972704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519794</xdr:colOff>
      <xdr:row>108</xdr:row>
      <xdr:rowOff>166008</xdr:rowOff>
    </xdr:from>
    <xdr:to>
      <xdr:col>17</xdr:col>
      <xdr:colOff>2722</xdr:colOff>
      <xdr:row>108</xdr:row>
      <xdr:rowOff>179615</xdr:rowOff>
    </xdr:to>
    <xdr:cxnSp macro="">
      <xdr:nvCxnSpPr>
        <xdr:cNvPr id="103" name="ลูกศรเชื่อมต่อแบบตรง 102">
          <a:extLst>
            <a:ext uri="{FF2B5EF4-FFF2-40B4-BE49-F238E27FC236}">
              <a16:creationId xmlns:a16="http://schemas.microsoft.com/office/drawing/2014/main" id="{8E062F0E-1026-410C-B218-22BCCFDA3CC4}"/>
            </a:ext>
          </a:extLst>
        </xdr:cNvPr>
        <xdr:cNvCxnSpPr/>
      </xdr:nvCxnSpPr>
      <xdr:spPr>
        <a:xfrm flipV="1">
          <a:off x="5758544" y="32255733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515711</xdr:colOff>
      <xdr:row>109</xdr:row>
      <xdr:rowOff>148318</xdr:rowOff>
    </xdr:from>
    <xdr:to>
      <xdr:col>16</xdr:col>
      <xdr:colOff>291192</xdr:colOff>
      <xdr:row>109</xdr:row>
      <xdr:rowOff>161925</xdr:rowOff>
    </xdr:to>
    <xdr:cxnSp macro="">
      <xdr:nvCxnSpPr>
        <xdr:cNvPr id="104" name="ลูกศรเชื่อมต่อแบบตรง 103">
          <a:extLst>
            <a:ext uri="{FF2B5EF4-FFF2-40B4-BE49-F238E27FC236}">
              <a16:creationId xmlns:a16="http://schemas.microsoft.com/office/drawing/2014/main" id="{22B09E59-20AE-4931-A611-FD45B8BF0175}"/>
            </a:ext>
          </a:extLst>
        </xdr:cNvPr>
        <xdr:cNvCxnSpPr/>
      </xdr:nvCxnSpPr>
      <xdr:spPr>
        <a:xfrm flipV="1">
          <a:off x="5763986" y="32771443"/>
          <a:ext cx="3537856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1361</xdr:colOff>
      <xdr:row>110</xdr:row>
      <xdr:rowOff>117022</xdr:rowOff>
    </xdr:from>
    <xdr:to>
      <xdr:col>17</xdr:col>
      <xdr:colOff>8164</xdr:colOff>
      <xdr:row>110</xdr:row>
      <xdr:rowOff>130629</xdr:rowOff>
    </xdr:to>
    <xdr:cxnSp macro="">
      <xdr:nvCxnSpPr>
        <xdr:cNvPr id="105" name="ลูกศรเชื่อมต่อแบบตรง 104">
          <a:extLst>
            <a:ext uri="{FF2B5EF4-FFF2-40B4-BE49-F238E27FC236}">
              <a16:creationId xmlns:a16="http://schemas.microsoft.com/office/drawing/2014/main" id="{E72C3D18-1F84-4B4C-91A7-FC01890492C5}"/>
            </a:ext>
          </a:extLst>
        </xdr:cNvPr>
        <xdr:cNvCxnSpPr/>
      </xdr:nvCxnSpPr>
      <xdr:spPr>
        <a:xfrm flipV="1">
          <a:off x="5763986" y="33273547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521154</xdr:colOff>
      <xdr:row>111</xdr:row>
      <xdr:rowOff>126548</xdr:rowOff>
    </xdr:from>
    <xdr:to>
      <xdr:col>17</xdr:col>
      <xdr:colOff>4082</xdr:colOff>
      <xdr:row>111</xdr:row>
      <xdr:rowOff>140155</xdr:rowOff>
    </xdr:to>
    <xdr:cxnSp macro="">
      <xdr:nvCxnSpPr>
        <xdr:cNvPr id="106" name="ลูกศรเชื่อมต่อแบบตรง 105">
          <a:extLst>
            <a:ext uri="{FF2B5EF4-FFF2-40B4-BE49-F238E27FC236}">
              <a16:creationId xmlns:a16="http://schemas.microsoft.com/office/drawing/2014/main" id="{875E8B97-EE4B-4392-B63B-032E66EC95E2}"/>
            </a:ext>
          </a:extLst>
        </xdr:cNvPr>
        <xdr:cNvCxnSpPr/>
      </xdr:nvCxnSpPr>
      <xdr:spPr>
        <a:xfrm flipV="1">
          <a:off x="5759904" y="33816473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6804</xdr:colOff>
      <xdr:row>112</xdr:row>
      <xdr:rowOff>149679</xdr:rowOff>
    </xdr:from>
    <xdr:to>
      <xdr:col>17</xdr:col>
      <xdr:colOff>13607</xdr:colOff>
      <xdr:row>112</xdr:row>
      <xdr:rowOff>163286</xdr:rowOff>
    </xdr:to>
    <xdr:cxnSp macro="">
      <xdr:nvCxnSpPr>
        <xdr:cNvPr id="107" name="ลูกศรเชื่อมต่อแบบตรง 106">
          <a:extLst>
            <a:ext uri="{FF2B5EF4-FFF2-40B4-BE49-F238E27FC236}">
              <a16:creationId xmlns:a16="http://schemas.microsoft.com/office/drawing/2014/main" id="{1A1B14C8-9DA6-4A25-B24A-BCC85AF88A8F}"/>
            </a:ext>
          </a:extLst>
        </xdr:cNvPr>
        <xdr:cNvCxnSpPr/>
      </xdr:nvCxnSpPr>
      <xdr:spPr>
        <a:xfrm flipV="1">
          <a:off x="5769429" y="34373004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1361</xdr:colOff>
      <xdr:row>115</xdr:row>
      <xdr:rowOff>117023</xdr:rowOff>
    </xdr:from>
    <xdr:to>
      <xdr:col>17</xdr:col>
      <xdr:colOff>8164</xdr:colOff>
      <xdr:row>115</xdr:row>
      <xdr:rowOff>130630</xdr:rowOff>
    </xdr:to>
    <xdr:cxnSp macro="">
      <xdr:nvCxnSpPr>
        <xdr:cNvPr id="108" name="ลูกศรเชื่อมต่อแบบตรง 107">
          <a:extLst>
            <a:ext uri="{FF2B5EF4-FFF2-40B4-BE49-F238E27FC236}">
              <a16:creationId xmlns:a16="http://schemas.microsoft.com/office/drawing/2014/main" id="{7ED3DFFB-67A7-4203-9D26-854C1F92A8E7}"/>
            </a:ext>
          </a:extLst>
        </xdr:cNvPr>
        <xdr:cNvCxnSpPr/>
      </xdr:nvCxnSpPr>
      <xdr:spPr>
        <a:xfrm flipV="1">
          <a:off x="5763986" y="35407148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521153</xdr:colOff>
      <xdr:row>116</xdr:row>
      <xdr:rowOff>126547</xdr:rowOff>
    </xdr:from>
    <xdr:to>
      <xdr:col>17</xdr:col>
      <xdr:colOff>4081</xdr:colOff>
      <xdr:row>116</xdr:row>
      <xdr:rowOff>140154</xdr:rowOff>
    </xdr:to>
    <xdr:cxnSp macro="">
      <xdr:nvCxnSpPr>
        <xdr:cNvPr id="109" name="ลูกศรเชื่อมต่อแบบตรง 108">
          <a:extLst>
            <a:ext uri="{FF2B5EF4-FFF2-40B4-BE49-F238E27FC236}">
              <a16:creationId xmlns:a16="http://schemas.microsoft.com/office/drawing/2014/main" id="{45106CAD-81CC-40AA-A31F-20E1C00709B5}"/>
            </a:ext>
          </a:extLst>
        </xdr:cNvPr>
        <xdr:cNvCxnSpPr/>
      </xdr:nvCxnSpPr>
      <xdr:spPr>
        <a:xfrm flipV="1">
          <a:off x="5759903" y="35683372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6804</xdr:colOff>
      <xdr:row>117</xdr:row>
      <xdr:rowOff>149679</xdr:rowOff>
    </xdr:from>
    <xdr:to>
      <xdr:col>17</xdr:col>
      <xdr:colOff>13607</xdr:colOff>
      <xdr:row>117</xdr:row>
      <xdr:rowOff>163286</xdr:rowOff>
    </xdr:to>
    <xdr:cxnSp macro="">
      <xdr:nvCxnSpPr>
        <xdr:cNvPr id="110" name="ลูกศรเชื่อมต่อแบบตรง 109">
          <a:extLst>
            <a:ext uri="{FF2B5EF4-FFF2-40B4-BE49-F238E27FC236}">
              <a16:creationId xmlns:a16="http://schemas.microsoft.com/office/drawing/2014/main" id="{62C8D367-F576-4649-AA34-8B63BD86CC99}"/>
            </a:ext>
          </a:extLst>
        </xdr:cNvPr>
        <xdr:cNvCxnSpPr/>
      </xdr:nvCxnSpPr>
      <xdr:spPr>
        <a:xfrm flipV="1">
          <a:off x="5769429" y="35973204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519794</xdr:colOff>
      <xdr:row>118</xdr:row>
      <xdr:rowOff>166008</xdr:rowOff>
    </xdr:from>
    <xdr:to>
      <xdr:col>17</xdr:col>
      <xdr:colOff>2722</xdr:colOff>
      <xdr:row>118</xdr:row>
      <xdr:rowOff>179615</xdr:rowOff>
    </xdr:to>
    <xdr:cxnSp macro="">
      <xdr:nvCxnSpPr>
        <xdr:cNvPr id="111" name="ลูกศรเชื่อมต่อแบบตรง 110">
          <a:extLst>
            <a:ext uri="{FF2B5EF4-FFF2-40B4-BE49-F238E27FC236}">
              <a16:creationId xmlns:a16="http://schemas.microsoft.com/office/drawing/2014/main" id="{113DA318-FC53-4874-8552-AE417221B23E}"/>
            </a:ext>
          </a:extLst>
        </xdr:cNvPr>
        <xdr:cNvCxnSpPr/>
      </xdr:nvCxnSpPr>
      <xdr:spPr>
        <a:xfrm flipV="1">
          <a:off x="5758544" y="36256233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515711</xdr:colOff>
      <xdr:row>119</xdr:row>
      <xdr:rowOff>148318</xdr:rowOff>
    </xdr:from>
    <xdr:to>
      <xdr:col>16</xdr:col>
      <xdr:colOff>291192</xdr:colOff>
      <xdr:row>119</xdr:row>
      <xdr:rowOff>161925</xdr:rowOff>
    </xdr:to>
    <xdr:cxnSp macro="">
      <xdr:nvCxnSpPr>
        <xdr:cNvPr id="112" name="ลูกศรเชื่อมต่อแบบตรง 111">
          <a:extLst>
            <a:ext uri="{FF2B5EF4-FFF2-40B4-BE49-F238E27FC236}">
              <a16:creationId xmlns:a16="http://schemas.microsoft.com/office/drawing/2014/main" id="{372675DA-3E22-4908-8521-44A655E9173A}"/>
            </a:ext>
          </a:extLst>
        </xdr:cNvPr>
        <xdr:cNvCxnSpPr/>
      </xdr:nvCxnSpPr>
      <xdr:spPr>
        <a:xfrm flipV="1">
          <a:off x="5763986" y="36505243"/>
          <a:ext cx="3537856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1361</xdr:colOff>
      <xdr:row>120</xdr:row>
      <xdr:rowOff>117022</xdr:rowOff>
    </xdr:from>
    <xdr:to>
      <xdr:col>17</xdr:col>
      <xdr:colOff>8164</xdr:colOff>
      <xdr:row>120</xdr:row>
      <xdr:rowOff>130629</xdr:rowOff>
    </xdr:to>
    <xdr:cxnSp macro="">
      <xdr:nvCxnSpPr>
        <xdr:cNvPr id="113" name="ลูกศรเชื่อมต่อแบบตรง 112">
          <a:extLst>
            <a:ext uri="{FF2B5EF4-FFF2-40B4-BE49-F238E27FC236}">
              <a16:creationId xmlns:a16="http://schemas.microsoft.com/office/drawing/2014/main" id="{CB25B87E-D8BB-4336-A8D1-9BE622B04590}"/>
            </a:ext>
          </a:extLst>
        </xdr:cNvPr>
        <xdr:cNvCxnSpPr/>
      </xdr:nvCxnSpPr>
      <xdr:spPr>
        <a:xfrm flipV="1">
          <a:off x="5763986" y="36740647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521154</xdr:colOff>
      <xdr:row>121</xdr:row>
      <xdr:rowOff>126548</xdr:rowOff>
    </xdr:from>
    <xdr:to>
      <xdr:col>17</xdr:col>
      <xdr:colOff>4082</xdr:colOff>
      <xdr:row>121</xdr:row>
      <xdr:rowOff>140155</xdr:rowOff>
    </xdr:to>
    <xdr:cxnSp macro="">
      <xdr:nvCxnSpPr>
        <xdr:cNvPr id="114" name="ลูกศรเชื่อมต่อแบบตรง 113">
          <a:extLst>
            <a:ext uri="{FF2B5EF4-FFF2-40B4-BE49-F238E27FC236}">
              <a16:creationId xmlns:a16="http://schemas.microsoft.com/office/drawing/2014/main" id="{8AE85577-CFB6-4821-BA35-039AB43BCFCD}"/>
            </a:ext>
          </a:extLst>
        </xdr:cNvPr>
        <xdr:cNvCxnSpPr/>
      </xdr:nvCxnSpPr>
      <xdr:spPr>
        <a:xfrm flipV="1">
          <a:off x="5759904" y="37016873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6804</xdr:colOff>
      <xdr:row>122</xdr:row>
      <xdr:rowOff>149679</xdr:rowOff>
    </xdr:from>
    <xdr:to>
      <xdr:col>17</xdr:col>
      <xdr:colOff>13607</xdr:colOff>
      <xdr:row>122</xdr:row>
      <xdr:rowOff>163286</xdr:rowOff>
    </xdr:to>
    <xdr:cxnSp macro="">
      <xdr:nvCxnSpPr>
        <xdr:cNvPr id="115" name="ลูกศรเชื่อมต่อแบบตรง 114">
          <a:extLst>
            <a:ext uri="{FF2B5EF4-FFF2-40B4-BE49-F238E27FC236}">
              <a16:creationId xmlns:a16="http://schemas.microsoft.com/office/drawing/2014/main" id="{D625C889-371F-48EC-B2B5-41A69D62F24D}"/>
            </a:ext>
          </a:extLst>
        </xdr:cNvPr>
        <xdr:cNvCxnSpPr/>
      </xdr:nvCxnSpPr>
      <xdr:spPr>
        <a:xfrm flipV="1">
          <a:off x="5769429" y="37306704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9526</xdr:colOff>
      <xdr:row>123</xdr:row>
      <xdr:rowOff>159204</xdr:rowOff>
    </xdr:from>
    <xdr:to>
      <xdr:col>17</xdr:col>
      <xdr:colOff>16329</xdr:colOff>
      <xdr:row>123</xdr:row>
      <xdr:rowOff>172811</xdr:rowOff>
    </xdr:to>
    <xdr:cxnSp macro="">
      <xdr:nvCxnSpPr>
        <xdr:cNvPr id="116" name="ลูกศรเชื่อมต่อแบบตรง 115">
          <a:extLst>
            <a:ext uri="{FF2B5EF4-FFF2-40B4-BE49-F238E27FC236}">
              <a16:creationId xmlns:a16="http://schemas.microsoft.com/office/drawing/2014/main" id="{898F6100-1DC0-4BB0-A308-5EE463348FE4}"/>
            </a:ext>
          </a:extLst>
        </xdr:cNvPr>
        <xdr:cNvCxnSpPr/>
      </xdr:nvCxnSpPr>
      <xdr:spPr>
        <a:xfrm flipV="1">
          <a:off x="5772151" y="37582929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515712</xdr:colOff>
      <xdr:row>124</xdr:row>
      <xdr:rowOff>148319</xdr:rowOff>
    </xdr:from>
    <xdr:to>
      <xdr:col>16</xdr:col>
      <xdr:colOff>291193</xdr:colOff>
      <xdr:row>124</xdr:row>
      <xdr:rowOff>161926</xdr:rowOff>
    </xdr:to>
    <xdr:cxnSp macro="">
      <xdr:nvCxnSpPr>
        <xdr:cNvPr id="117" name="ลูกศรเชื่อมต่อแบบตรง 116">
          <a:extLst>
            <a:ext uri="{FF2B5EF4-FFF2-40B4-BE49-F238E27FC236}">
              <a16:creationId xmlns:a16="http://schemas.microsoft.com/office/drawing/2014/main" id="{4326C81B-8366-412A-95F2-85BEC2554758}"/>
            </a:ext>
          </a:extLst>
        </xdr:cNvPr>
        <xdr:cNvCxnSpPr/>
      </xdr:nvCxnSpPr>
      <xdr:spPr>
        <a:xfrm flipV="1">
          <a:off x="5763987" y="37838744"/>
          <a:ext cx="3537856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1361</xdr:colOff>
      <xdr:row>125</xdr:row>
      <xdr:rowOff>117023</xdr:rowOff>
    </xdr:from>
    <xdr:to>
      <xdr:col>17</xdr:col>
      <xdr:colOff>8164</xdr:colOff>
      <xdr:row>125</xdr:row>
      <xdr:rowOff>130630</xdr:rowOff>
    </xdr:to>
    <xdr:cxnSp macro="">
      <xdr:nvCxnSpPr>
        <xdr:cNvPr id="118" name="ลูกศรเชื่อมต่อแบบตรง 117">
          <a:extLst>
            <a:ext uri="{FF2B5EF4-FFF2-40B4-BE49-F238E27FC236}">
              <a16:creationId xmlns:a16="http://schemas.microsoft.com/office/drawing/2014/main" id="{D4985C1D-F429-41CA-8650-CFEE1D674D6D}"/>
            </a:ext>
          </a:extLst>
        </xdr:cNvPr>
        <xdr:cNvCxnSpPr/>
      </xdr:nvCxnSpPr>
      <xdr:spPr>
        <a:xfrm flipV="1">
          <a:off x="5763986" y="38074148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521153</xdr:colOff>
      <xdr:row>126</xdr:row>
      <xdr:rowOff>126547</xdr:rowOff>
    </xdr:from>
    <xdr:to>
      <xdr:col>17</xdr:col>
      <xdr:colOff>4081</xdr:colOff>
      <xdr:row>126</xdr:row>
      <xdr:rowOff>140154</xdr:rowOff>
    </xdr:to>
    <xdr:cxnSp macro="">
      <xdr:nvCxnSpPr>
        <xdr:cNvPr id="119" name="ลูกศรเชื่อมต่อแบบตรง 118">
          <a:extLst>
            <a:ext uri="{FF2B5EF4-FFF2-40B4-BE49-F238E27FC236}">
              <a16:creationId xmlns:a16="http://schemas.microsoft.com/office/drawing/2014/main" id="{FAA9DA23-489B-44BC-A740-32972C62C69F}"/>
            </a:ext>
          </a:extLst>
        </xdr:cNvPr>
        <xdr:cNvCxnSpPr/>
      </xdr:nvCxnSpPr>
      <xdr:spPr>
        <a:xfrm flipV="1">
          <a:off x="5759903" y="38350372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6804</xdr:colOff>
      <xdr:row>127</xdr:row>
      <xdr:rowOff>149679</xdr:rowOff>
    </xdr:from>
    <xdr:to>
      <xdr:col>17</xdr:col>
      <xdr:colOff>13607</xdr:colOff>
      <xdr:row>127</xdr:row>
      <xdr:rowOff>163286</xdr:rowOff>
    </xdr:to>
    <xdr:cxnSp macro="">
      <xdr:nvCxnSpPr>
        <xdr:cNvPr id="120" name="ลูกศรเชื่อมต่อแบบตรง 119">
          <a:extLst>
            <a:ext uri="{FF2B5EF4-FFF2-40B4-BE49-F238E27FC236}">
              <a16:creationId xmlns:a16="http://schemas.microsoft.com/office/drawing/2014/main" id="{AECB6408-E0C8-43F8-A02B-5E59A68CFF34}"/>
            </a:ext>
          </a:extLst>
        </xdr:cNvPr>
        <xdr:cNvCxnSpPr/>
      </xdr:nvCxnSpPr>
      <xdr:spPr>
        <a:xfrm flipV="1">
          <a:off x="5769429" y="38640204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1361</xdr:colOff>
      <xdr:row>130</xdr:row>
      <xdr:rowOff>117023</xdr:rowOff>
    </xdr:from>
    <xdr:to>
      <xdr:col>17</xdr:col>
      <xdr:colOff>8164</xdr:colOff>
      <xdr:row>130</xdr:row>
      <xdr:rowOff>130630</xdr:rowOff>
    </xdr:to>
    <xdr:cxnSp macro="">
      <xdr:nvCxnSpPr>
        <xdr:cNvPr id="121" name="ลูกศรเชื่อมต่อแบบตรง 120">
          <a:extLst>
            <a:ext uri="{FF2B5EF4-FFF2-40B4-BE49-F238E27FC236}">
              <a16:creationId xmlns:a16="http://schemas.microsoft.com/office/drawing/2014/main" id="{DA6BFBA5-EFC8-4B2D-9173-01CE5B37BA28}"/>
            </a:ext>
          </a:extLst>
        </xdr:cNvPr>
        <xdr:cNvCxnSpPr/>
      </xdr:nvCxnSpPr>
      <xdr:spPr>
        <a:xfrm flipV="1">
          <a:off x="5763986" y="39407648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6804</xdr:colOff>
      <xdr:row>134</xdr:row>
      <xdr:rowOff>149679</xdr:rowOff>
    </xdr:from>
    <xdr:to>
      <xdr:col>17</xdr:col>
      <xdr:colOff>13607</xdr:colOff>
      <xdr:row>134</xdr:row>
      <xdr:rowOff>163286</xdr:rowOff>
    </xdr:to>
    <xdr:cxnSp macro="">
      <xdr:nvCxnSpPr>
        <xdr:cNvPr id="122" name="ลูกศรเชื่อมต่อแบบตรง 121">
          <a:extLst>
            <a:ext uri="{FF2B5EF4-FFF2-40B4-BE49-F238E27FC236}">
              <a16:creationId xmlns:a16="http://schemas.microsoft.com/office/drawing/2014/main" id="{2B0D6065-F97C-45DA-8630-F245270DDE79}"/>
            </a:ext>
          </a:extLst>
        </xdr:cNvPr>
        <xdr:cNvCxnSpPr/>
      </xdr:nvCxnSpPr>
      <xdr:spPr>
        <a:xfrm flipV="1">
          <a:off x="5769429" y="40773804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9526</xdr:colOff>
      <xdr:row>135</xdr:row>
      <xdr:rowOff>159204</xdr:rowOff>
    </xdr:from>
    <xdr:to>
      <xdr:col>17</xdr:col>
      <xdr:colOff>16329</xdr:colOff>
      <xdr:row>135</xdr:row>
      <xdr:rowOff>172811</xdr:rowOff>
    </xdr:to>
    <xdr:cxnSp macro="">
      <xdr:nvCxnSpPr>
        <xdr:cNvPr id="123" name="ลูกศรเชื่อมต่อแบบตรง 122">
          <a:extLst>
            <a:ext uri="{FF2B5EF4-FFF2-40B4-BE49-F238E27FC236}">
              <a16:creationId xmlns:a16="http://schemas.microsoft.com/office/drawing/2014/main" id="{C92C6D5D-2B4A-4C4A-BB2D-95D1027B316D}"/>
            </a:ext>
          </a:extLst>
        </xdr:cNvPr>
        <xdr:cNvCxnSpPr/>
      </xdr:nvCxnSpPr>
      <xdr:spPr>
        <a:xfrm flipV="1">
          <a:off x="5772151" y="41316729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515712</xdr:colOff>
      <xdr:row>136</xdr:row>
      <xdr:rowOff>148319</xdr:rowOff>
    </xdr:from>
    <xdr:to>
      <xdr:col>16</xdr:col>
      <xdr:colOff>291193</xdr:colOff>
      <xdr:row>136</xdr:row>
      <xdr:rowOff>161926</xdr:rowOff>
    </xdr:to>
    <xdr:cxnSp macro="">
      <xdr:nvCxnSpPr>
        <xdr:cNvPr id="124" name="ลูกศรเชื่อมต่อแบบตรง 123">
          <a:extLst>
            <a:ext uri="{FF2B5EF4-FFF2-40B4-BE49-F238E27FC236}">
              <a16:creationId xmlns:a16="http://schemas.microsoft.com/office/drawing/2014/main" id="{2E597A14-79C7-4292-9626-F4E2B653E3B4}"/>
            </a:ext>
          </a:extLst>
        </xdr:cNvPr>
        <xdr:cNvCxnSpPr/>
      </xdr:nvCxnSpPr>
      <xdr:spPr>
        <a:xfrm flipV="1">
          <a:off x="5763987" y="41839244"/>
          <a:ext cx="3537856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1361</xdr:colOff>
      <xdr:row>137</xdr:row>
      <xdr:rowOff>117023</xdr:rowOff>
    </xdr:from>
    <xdr:to>
      <xdr:col>17</xdr:col>
      <xdr:colOff>8164</xdr:colOff>
      <xdr:row>137</xdr:row>
      <xdr:rowOff>130630</xdr:rowOff>
    </xdr:to>
    <xdr:cxnSp macro="">
      <xdr:nvCxnSpPr>
        <xdr:cNvPr id="125" name="ลูกศรเชื่อมต่อแบบตรง 124">
          <a:extLst>
            <a:ext uri="{FF2B5EF4-FFF2-40B4-BE49-F238E27FC236}">
              <a16:creationId xmlns:a16="http://schemas.microsoft.com/office/drawing/2014/main" id="{F83BF097-94F9-475A-AFD0-67D7260423C0}"/>
            </a:ext>
          </a:extLst>
        </xdr:cNvPr>
        <xdr:cNvCxnSpPr/>
      </xdr:nvCxnSpPr>
      <xdr:spPr>
        <a:xfrm flipV="1">
          <a:off x="5763986" y="42455648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515711</xdr:colOff>
      <xdr:row>141</xdr:row>
      <xdr:rowOff>148318</xdr:rowOff>
    </xdr:from>
    <xdr:to>
      <xdr:col>16</xdr:col>
      <xdr:colOff>291192</xdr:colOff>
      <xdr:row>141</xdr:row>
      <xdr:rowOff>161925</xdr:rowOff>
    </xdr:to>
    <xdr:cxnSp macro="">
      <xdr:nvCxnSpPr>
        <xdr:cNvPr id="126" name="ลูกศรเชื่อมต่อแบบตรง 125">
          <a:extLst>
            <a:ext uri="{FF2B5EF4-FFF2-40B4-BE49-F238E27FC236}">
              <a16:creationId xmlns:a16="http://schemas.microsoft.com/office/drawing/2014/main" id="{E07C68A3-CB3B-447A-9BBD-11447E02D182}"/>
            </a:ext>
          </a:extLst>
        </xdr:cNvPr>
        <xdr:cNvCxnSpPr/>
      </xdr:nvCxnSpPr>
      <xdr:spPr>
        <a:xfrm flipV="1">
          <a:off x="5763986" y="43820443"/>
          <a:ext cx="3537856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521154</xdr:colOff>
      <xdr:row>145</xdr:row>
      <xdr:rowOff>126548</xdr:rowOff>
    </xdr:from>
    <xdr:to>
      <xdr:col>17</xdr:col>
      <xdr:colOff>4082</xdr:colOff>
      <xdr:row>145</xdr:row>
      <xdr:rowOff>140155</xdr:rowOff>
    </xdr:to>
    <xdr:cxnSp macro="">
      <xdr:nvCxnSpPr>
        <xdr:cNvPr id="127" name="ลูกศรเชื่อมต่อแบบตรง 126">
          <a:extLst>
            <a:ext uri="{FF2B5EF4-FFF2-40B4-BE49-F238E27FC236}">
              <a16:creationId xmlns:a16="http://schemas.microsoft.com/office/drawing/2014/main" id="{57B16B45-939E-41DF-BD26-1DA1608A925E}"/>
            </a:ext>
          </a:extLst>
        </xdr:cNvPr>
        <xdr:cNvCxnSpPr/>
      </xdr:nvCxnSpPr>
      <xdr:spPr>
        <a:xfrm flipV="1">
          <a:off x="5759904" y="44865473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515712</xdr:colOff>
      <xdr:row>148</xdr:row>
      <xdr:rowOff>148319</xdr:rowOff>
    </xdr:from>
    <xdr:to>
      <xdr:col>16</xdr:col>
      <xdr:colOff>291193</xdr:colOff>
      <xdr:row>148</xdr:row>
      <xdr:rowOff>161926</xdr:rowOff>
    </xdr:to>
    <xdr:cxnSp macro="">
      <xdr:nvCxnSpPr>
        <xdr:cNvPr id="128" name="ลูกศรเชื่อมต่อแบบตรง 127">
          <a:extLst>
            <a:ext uri="{FF2B5EF4-FFF2-40B4-BE49-F238E27FC236}">
              <a16:creationId xmlns:a16="http://schemas.microsoft.com/office/drawing/2014/main" id="{9FB0D05C-FD6A-4951-BB7A-B36876A41819}"/>
            </a:ext>
          </a:extLst>
        </xdr:cNvPr>
        <xdr:cNvCxnSpPr/>
      </xdr:nvCxnSpPr>
      <xdr:spPr>
        <a:xfrm flipV="1">
          <a:off x="5763987" y="45687344"/>
          <a:ext cx="3537856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1361</xdr:colOff>
      <xdr:row>149</xdr:row>
      <xdr:rowOff>117023</xdr:rowOff>
    </xdr:from>
    <xdr:to>
      <xdr:col>17</xdr:col>
      <xdr:colOff>8164</xdr:colOff>
      <xdr:row>149</xdr:row>
      <xdr:rowOff>130630</xdr:rowOff>
    </xdr:to>
    <xdr:cxnSp macro="">
      <xdr:nvCxnSpPr>
        <xdr:cNvPr id="129" name="ลูกศรเชื่อมต่อแบบตรง 128">
          <a:extLst>
            <a:ext uri="{FF2B5EF4-FFF2-40B4-BE49-F238E27FC236}">
              <a16:creationId xmlns:a16="http://schemas.microsoft.com/office/drawing/2014/main" id="{060673CF-12AA-4E33-8294-C79E7B95E8C0}"/>
            </a:ext>
          </a:extLst>
        </xdr:cNvPr>
        <xdr:cNvCxnSpPr/>
      </xdr:nvCxnSpPr>
      <xdr:spPr>
        <a:xfrm flipV="1">
          <a:off x="5763986" y="45922748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521153</xdr:colOff>
      <xdr:row>150</xdr:row>
      <xdr:rowOff>126547</xdr:rowOff>
    </xdr:from>
    <xdr:to>
      <xdr:col>17</xdr:col>
      <xdr:colOff>4081</xdr:colOff>
      <xdr:row>150</xdr:row>
      <xdr:rowOff>140154</xdr:rowOff>
    </xdr:to>
    <xdr:cxnSp macro="">
      <xdr:nvCxnSpPr>
        <xdr:cNvPr id="130" name="ลูกศรเชื่อมต่อแบบตรง 129">
          <a:extLst>
            <a:ext uri="{FF2B5EF4-FFF2-40B4-BE49-F238E27FC236}">
              <a16:creationId xmlns:a16="http://schemas.microsoft.com/office/drawing/2014/main" id="{CC9F50D7-26FB-4DD1-887F-24615FC1213C}"/>
            </a:ext>
          </a:extLst>
        </xdr:cNvPr>
        <xdr:cNvCxnSpPr/>
      </xdr:nvCxnSpPr>
      <xdr:spPr>
        <a:xfrm flipV="1">
          <a:off x="5759903" y="46465672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515711</xdr:colOff>
      <xdr:row>153</xdr:row>
      <xdr:rowOff>148318</xdr:rowOff>
    </xdr:from>
    <xdr:to>
      <xdr:col>16</xdr:col>
      <xdr:colOff>291192</xdr:colOff>
      <xdr:row>153</xdr:row>
      <xdr:rowOff>161925</xdr:rowOff>
    </xdr:to>
    <xdr:cxnSp macro="">
      <xdr:nvCxnSpPr>
        <xdr:cNvPr id="131" name="ลูกศรเชื่อมต่อแบบตรง 130">
          <a:extLst>
            <a:ext uri="{FF2B5EF4-FFF2-40B4-BE49-F238E27FC236}">
              <a16:creationId xmlns:a16="http://schemas.microsoft.com/office/drawing/2014/main" id="{0A65B515-F297-4B35-9117-1379B66EA3D4}"/>
            </a:ext>
          </a:extLst>
        </xdr:cNvPr>
        <xdr:cNvCxnSpPr/>
      </xdr:nvCxnSpPr>
      <xdr:spPr>
        <a:xfrm flipV="1">
          <a:off x="5763986" y="47287543"/>
          <a:ext cx="3537856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1361</xdr:colOff>
      <xdr:row>154</xdr:row>
      <xdr:rowOff>117022</xdr:rowOff>
    </xdr:from>
    <xdr:to>
      <xdr:col>17</xdr:col>
      <xdr:colOff>8164</xdr:colOff>
      <xdr:row>154</xdr:row>
      <xdr:rowOff>130629</xdr:rowOff>
    </xdr:to>
    <xdr:cxnSp macro="">
      <xdr:nvCxnSpPr>
        <xdr:cNvPr id="132" name="ลูกศรเชื่อมต่อแบบตรง 131">
          <a:extLst>
            <a:ext uri="{FF2B5EF4-FFF2-40B4-BE49-F238E27FC236}">
              <a16:creationId xmlns:a16="http://schemas.microsoft.com/office/drawing/2014/main" id="{962B9F1B-1ED2-4DAB-BE37-24A6F52FF87E}"/>
            </a:ext>
          </a:extLst>
        </xdr:cNvPr>
        <xdr:cNvCxnSpPr/>
      </xdr:nvCxnSpPr>
      <xdr:spPr>
        <a:xfrm flipV="1">
          <a:off x="5763986" y="47522947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521154</xdr:colOff>
      <xdr:row>155</xdr:row>
      <xdr:rowOff>126548</xdr:rowOff>
    </xdr:from>
    <xdr:to>
      <xdr:col>17</xdr:col>
      <xdr:colOff>4082</xdr:colOff>
      <xdr:row>155</xdr:row>
      <xdr:rowOff>140155</xdr:rowOff>
    </xdr:to>
    <xdr:cxnSp macro="">
      <xdr:nvCxnSpPr>
        <xdr:cNvPr id="133" name="ลูกศรเชื่อมต่อแบบตรง 132">
          <a:extLst>
            <a:ext uri="{FF2B5EF4-FFF2-40B4-BE49-F238E27FC236}">
              <a16:creationId xmlns:a16="http://schemas.microsoft.com/office/drawing/2014/main" id="{26579955-37D1-4853-9A3B-890585E659B3}"/>
            </a:ext>
          </a:extLst>
        </xdr:cNvPr>
        <xdr:cNvCxnSpPr/>
      </xdr:nvCxnSpPr>
      <xdr:spPr>
        <a:xfrm flipV="1">
          <a:off x="5759904" y="48065873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6804</xdr:colOff>
      <xdr:row>156</xdr:row>
      <xdr:rowOff>149679</xdr:rowOff>
    </xdr:from>
    <xdr:to>
      <xdr:col>17</xdr:col>
      <xdr:colOff>13607</xdr:colOff>
      <xdr:row>156</xdr:row>
      <xdr:rowOff>163286</xdr:rowOff>
    </xdr:to>
    <xdr:cxnSp macro="">
      <xdr:nvCxnSpPr>
        <xdr:cNvPr id="134" name="ลูกศรเชื่อมต่อแบบตรง 133">
          <a:extLst>
            <a:ext uri="{FF2B5EF4-FFF2-40B4-BE49-F238E27FC236}">
              <a16:creationId xmlns:a16="http://schemas.microsoft.com/office/drawing/2014/main" id="{48198D50-F297-4B9B-AAA4-417E20FDCDC3}"/>
            </a:ext>
          </a:extLst>
        </xdr:cNvPr>
        <xdr:cNvCxnSpPr/>
      </xdr:nvCxnSpPr>
      <xdr:spPr>
        <a:xfrm flipV="1">
          <a:off x="5769429" y="48622404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9526</xdr:colOff>
      <xdr:row>157</xdr:row>
      <xdr:rowOff>159204</xdr:rowOff>
    </xdr:from>
    <xdr:to>
      <xdr:col>17</xdr:col>
      <xdr:colOff>16329</xdr:colOff>
      <xdr:row>157</xdr:row>
      <xdr:rowOff>172811</xdr:rowOff>
    </xdr:to>
    <xdr:cxnSp macro="">
      <xdr:nvCxnSpPr>
        <xdr:cNvPr id="135" name="ลูกศรเชื่อมต่อแบบตรง 134">
          <a:extLst>
            <a:ext uri="{FF2B5EF4-FFF2-40B4-BE49-F238E27FC236}">
              <a16:creationId xmlns:a16="http://schemas.microsoft.com/office/drawing/2014/main" id="{A8964BC9-EBCA-4341-95F3-907EBA9B7BD0}"/>
            </a:ext>
          </a:extLst>
        </xdr:cNvPr>
        <xdr:cNvCxnSpPr/>
      </xdr:nvCxnSpPr>
      <xdr:spPr>
        <a:xfrm flipV="1">
          <a:off x="5772151" y="48898629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521153</xdr:colOff>
      <xdr:row>160</xdr:row>
      <xdr:rowOff>126547</xdr:rowOff>
    </xdr:from>
    <xdr:to>
      <xdr:col>17</xdr:col>
      <xdr:colOff>4081</xdr:colOff>
      <xdr:row>160</xdr:row>
      <xdr:rowOff>140154</xdr:rowOff>
    </xdr:to>
    <xdr:cxnSp macro="">
      <xdr:nvCxnSpPr>
        <xdr:cNvPr id="136" name="ลูกศรเชื่อมต่อแบบตรง 135">
          <a:extLst>
            <a:ext uri="{FF2B5EF4-FFF2-40B4-BE49-F238E27FC236}">
              <a16:creationId xmlns:a16="http://schemas.microsoft.com/office/drawing/2014/main" id="{E6D7F103-ED4A-446B-B0C8-378A94D5109D}"/>
            </a:ext>
          </a:extLst>
        </xdr:cNvPr>
        <xdr:cNvCxnSpPr/>
      </xdr:nvCxnSpPr>
      <xdr:spPr>
        <a:xfrm flipV="1">
          <a:off x="5759903" y="49932772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6804</xdr:colOff>
      <xdr:row>161</xdr:row>
      <xdr:rowOff>149679</xdr:rowOff>
    </xdr:from>
    <xdr:to>
      <xdr:col>17</xdr:col>
      <xdr:colOff>13607</xdr:colOff>
      <xdr:row>161</xdr:row>
      <xdr:rowOff>163286</xdr:rowOff>
    </xdr:to>
    <xdr:cxnSp macro="">
      <xdr:nvCxnSpPr>
        <xdr:cNvPr id="137" name="ลูกศรเชื่อมต่อแบบตรง 136">
          <a:extLst>
            <a:ext uri="{FF2B5EF4-FFF2-40B4-BE49-F238E27FC236}">
              <a16:creationId xmlns:a16="http://schemas.microsoft.com/office/drawing/2014/main" id="{8AAE9F8C-3EDC-4BD5-857A-F799458845C0}"/>
            </a:ext>
          </a:extLst>
        </xdr:cNvPr>
        <xdr:cNvCxnSpPr/>
      </xdr:nvCxnSpPr>
      <xdr:spPr>
        <a:xfrm flipV="1">
          <a:off x="5769429" y="50489304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519794</xdr:colOff>
      <xdr:row>162</xdr:row>
      <xdr:rowOff>166008</xdr:rowOff>
    </xdr:from>
    <xdr:to>
      <xdr:col>17</xdr:col>
      <xdr:colOff>2722</xdr:colOff>
      <xdr:row>162</xdr:row>
      <xdr:rowOff>179615</xdr:rowOff>
    </xdr:to>
    <xdr:cxnSp macro="">
      <xdr:nvCxnSpPr>
        <xdr:cNvPr id="138" name="ลูกศรเชื่อมต่อแบบตรง 137">
          <a:extLst>
            <a:ext uri="{FF2B5EF4-FFF2-40B4-BE49-F238E27FC236}">
              <a16:creationId xmlns:a16="http://schemas.microsoft.com/office/drawing/2014/main" id="{0F6C1DE9-1185-4B10-B068-2277A8F7CD24}"/>
            </a:ext>
          </a:extLst>
        </xdr:cNvPr>
        <xdr:cNvCxnSpPr/>
      </xdr:nvCxnSpPr>
      <xdr:spPr>
        <a:xfrm flipV="1">
          <a:off x="5758544" y="50772333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515711</xdr:colOff>
      <xdr:row>163</xdr:row>
      <xdr:rowOff>148318</xdr:rowOff>
    </xdr:from>
    <xdr:to>
      <xdr:col>16</xdr:col>
      <xdr:colOff>291192</xdr:colOff>
      <xdr:row>163</xdr:row>
      <xdr:rowOff>161925</xdr:rowOff>
    </xdr:to>
    <xdr:cxnSp macro="">
      <xdr:nvCxnSpPr>
        <xdr:cNvPr id="139" name="ลูกศรเชื่อมต่อแบบตรง 138">
          <a:extLst>
            <a:ext uri="{FF2B5EF4-FFF2-40B4-BE49-F238E27FC236}">
              <a16:creationId xmlns:a16="http://schemas.microsoft.com/office/drawing/2014/main" id="{8792046F-CABF-4B97-B5D7-090D438E7C03}"/>
            </a:ext>
          </a:extLst>
        </xdr:cNvPr>
        <xdr:cNvCxnSpPr/>
      </xdr:nvCxnSpPr>
      <xdr:spPr>
        <a:xfrm flipV="1">
          <a:off x="5763986" y="51288043"/>
          <a:ext cx="3537856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1361</xdr:colOff>
      <xdr:row>164</xdr:row>
      <xdr:rowOff>117022</xdr:rowOff>
    </xdr:from>
    <xdr:to>
      <xdr:col>17</xdr:col>
      <xdr:colOff>8164</xdr:colOff>
      <xdr:row>164</xdr:row>
      <xdr:rowOff>130629</xdr:rowOff>
    </xdr:to>
    <xdr:cxnSp macro="">
      <xdr:nvCxnSpPr>
        <xdr:cNvPr id="140" name="ลูกศรเชื่อมต่อแบบตรง 139">
          <a:extLst>
            <a:ext uri="{FF2B5EF4-FFF2-40B4-BE49-F238E27FC236}">
              <a16:creationId xmlns:a16="http://schemas.microsoft.com/office/drawing/2014/main" id="{1B28A4FD-65E6-4C2B-B7B0-889EAA3C8122}"/>
            </a:ext>
          </a:extLst>
        </xdr:cNvPr>
        <xdr:cNvCxnSpPr/>
      </xdr:nvCxnSpPr>
      <xdr:spPr>
        <a:xfrm flipV="1">
          <a:off x="5763986" y="52056847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515712</xdr:colOff>
      <xdr:row>168</xdr:row>
      <xdr:rowOff>148319</xdr:rowOff>
    </xdr:from>
    <xdr:to>
      <xdr:col>16</xdr:col>
      <xdr:colOff>291193</xdr:colOff>
      <xdr:row>168</xdr:row>
      <xdr:rowOff>161926</xdr:rowOff>
    </xdr:to>
    <xdr:cxnSp macro="">
      <xdr:nvCxnSpPr>
        <xdr:cNvPr id="141" name="ลูกศรเชื่อมต่อแบบตรง 140">
          <a:extLst>
            <a:ext uri="{FF2B5EF4-FFF2-40B4-BE49-F238E27FC236}">
              <a16:creationId xmlns:a16="http://schemas.microsoft.com/office/drawing/2014/main" id="{BF15EAB3-6E70-4B3A-8B44-C5E552E9A5E6}"/>
            </a:ext>
          </a:extLst>
        </xdr:cNvPr>
        <xdr:cNvCxnSpPr/>
      </xdr:nvCxnSpPr>
      <xdr:spPr>
        <a:xfrm flipV="1">
          <a:off x="5763987" y="54221744"/>
          <a:ext cx="3537856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1361</xdr:colOff>
      <xdr:row>169</xdr:row>
      <xdr:rowOff>117023</xdr:rowOff>
    </xdr:from>
    <xdr:to>
      <xdr:col>17</xdr:col>
      <xdr:colOff>8164</xdr:colOff>
      <xdr:row>169</xdr:row>
      <xdr:rowOff>130630</xdr:rowOff>
    </xdr:to>
    <xdr:cxnSp macro="">
      <xdr:nvCxnSpPr>
        <xdr:cNvPr id="142" name="ลูกศรเชื่อมต่อแบบตรง 141">
          <a:extLst>
            <a:ext uri="{FF2B5EF4-FFF2-40B4-BE49-F238E27FC236}">
              <a16:creationId xmlns:a16="http://schemas.microsoft.com/office/drawing/2014/main" id="{AFC2C306-CEA4-43BE-9EB9-E11A27E41C56}"/>
            </a:ext>
          </a:extLst>
        </xdr:cNvPr>
        <xdr:cNvCxnSpPr/>
      </xdr:nvCxnSpPr>
      <xdr:spPr>
        <a:xfrm flipV="1">
          <a:off x="5763986" y="54723848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521153</xdr:colOff>
      <xdr:row>170</xdr:row>
      <xdr:rowOff>126547</xdr:rowOff>
    </xdr:from>
    <xdr:to>
      <xdr:col>17</xdr:col>
      <xdr:colOff>4081</xdr:colOff>
      <xdr:row>170</xdr:row>
      <xdr:rowOff>140154</xdr:rowOff>
    </xdr:to>
    <xdr:cxnSp macro="">
      <xdr:nvCxnSpPr>
        <xdr:cNvPr id="143" name="ลูกศรเชื่อมต่อแบบตรง 142">
          <a:extLst>
            <a:ext uri="{FF2B5EF4-FFF2-40B4-BE49-F238E27FC236}">
              <a16:creationId xmlns:a16="http://schemas.microsoft.com/office/drawing/2014/main" id="{70BB2AFB-B55D-491F-B782-EE59E9605D78}"/>
            </a:ext>
          </a:extLst>
        </xdr:cNvPr>
        <xdr:cNvCxnSpPr/>
      </xdr:nvCxnSpPr>
      <xdr:spPr>
        <a:xfrm flipV="1">
          <a:off x="5759903" y="55000072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6804</xdr:colOff>
      <xdr:row>171</xdr:row>
      <xdr:rowOff>149679</xdr:rowOff>
    </xdr:from>
    <xdr:to>
      <xdr:col>17</xdr:col>
      <xdr:colOff>13607</xdr:colOff>
      <xdr:row>171</xdr:row>
      <xdr:rowOff>163286</xdr:rowOff>
    </xdr:to>
    <xdr:cxnSp macro="">
      <xdr:nvCxnSpPr>
        <xdr:cNvPr id="144" name="ลูกศรเชื่อมต่อแบบตรง 143">
          <a:extLst>
            <a:ext uri="{FF2B5EF4-FFF2-40B4-BE49-F238E27FC236}">
              <a16:creationId xmlns:a16="http://schemas.microsoft.com/office/drawing/2014/main" id="{4611EE0E-BE60-4CBC-A460-6C17647346A2}"/>
            </a:ext>
          </a:extLst>
        </xdr:cNvPr>
        <xdr:cNvCxnSpPr/>
      </xdr:nvCxnSpPr>
      <xdr:spPr>
        <a:xfrm flipV="1">
          <a:off x="5769429" y="55289904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519794</xdr:colOff>
      <xdr:row>172</xdr:row>
      <xdr:rowOff>166008</xdr:rowOff>
    </xdr:from>
    <xdr:to>
      <xdr:col>17</xdr:col>
      <xdr:colOff>2722</xdr:colOff>
      <xdr:row>172</xdr:row>
      <xdr:rowOff>179615</xdr:rowOff>
    </xdr:to>
    <xdr:cxnSp macro="">
      <xdr:nvCxnSpPr>
        <xdr:cNvPr id="145" name="ลูกศรเชื่อมต่อแบบตรง 144">
          <a:extLst>
            <a:ext uri="{FF2B5EF4-FFF2-40B4-BE49-F238E27FC236}">
              <a16:creationId xmlns:a16="http://schemas.microsoft.com/office/drawing/2014/main" id="{57D9B46A-8758-420E-849B-4C43533E2698}"/>
            </a:ext>
          </a:extLst>
        </xdr:cNvPr>
        <xdr:cNvCxnSpPr/>
      </xdr:nvCxnSpPr>
      <xdr:spPr>
        <a:xfrm flipV="1">
          <a:off x="5758544" y="55572933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515711</xdr:colOff>
      <xdr:row>173</xdr:row>
      <xdr:rowOff>148318</xdr:rowOff>
    </xdr:from>
    <xdr:to>
      <xdr:col>16</xdr:col>
      <xdr:colOff>291192</xdr:colOff>
      <xdr:row>173</xdr:row>
      <xdr:rowOff>161925</xdr:rowOff>
    </xdr:to>
    <xdr:cxnSp macro="">
      <xdr:nvCxnSpPr>
        <xdr:cNvPr id="146" name="ลูกศรเชื่อมต่อแบบตรง 145">
          <a:extLst>
            <a:ext uri="{FF2B5EF4-FFF2-40B4-BE49-F238E27FC236}">
              <a16:creationId xmlns:a16="http://schemas.microsoft.com/office/drawing/2014/main" id="{A99DBB4C-6B77-4D96-8BC5-BED2DCF36E87}"/>
            </a:ext>
          </a:extLst>
        </xdr:cNvPr>
        <xdr:cNvCxnSpPr/>
      </xdr:nvCxnSpPr>
      <xdr:spPr>
        <a:xfrm flipV="1">
          <a:off x="5763986" y="55821943"/>
          <a:ext cx="3537856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1361</xdr:colOff>
      <xdr:row>174</xdr:row>
      <xdr:rowOff>117022</xdr:rowOff>
    </xdr:from>
    <xdr:to>
      <xdr:col>17</xdr:col>
      <xdr:colOff>8164</xdr:colOff>
      <xdr:row>174</xdr:row>
      <xdr:rowOff>130629</xdr:rowOff>
    </xdr:to>
    <xdr:cxnSp macro="">
      <xdr:nvCxnSpPr>
        <xdr:cNvPr id="147" name="ลูกศรเชื่อมต่อแบบตรง 146">
          <a:extLst>
            <a:ext uri="{FF2B5EF4-FFF2-40B4-BE49-F238E27FC236}">
              <a16:creationId xmlns:a16="http://schemas.microsoft.com/office/drawing/2014/main" id="{35133181-BA56-4C21-84EB-8348993A29A6}"/>
            </a:ext>
          </a:extLst>
        </xdr:cNvPr>
        <xdr:cNvCxnSpPr/>
      </xdr:nvCxnSpPr>
      <xdr:spPr>
        <a:xfrm flipV="1">
          <a:off x="5763986" y="56057347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521154</xdr:colOff>
      <xdr:row>175</xdr:row>
      <xdr:rowOff>126548</xdr:rowOff>
    </xdr:from>
    <xdr:to>
      <xdr:col>17</xdr:col>
      <xdr:colOff>4082</xdr:colOff>
      <xdr:row>175</xdr:row>
      <xdr:rowOff>140155</xdr:rowOff>
    </xdr:to>
    <xdr:cxnSp macro="">
      <xdr:nvCxnSpPr>
        <xdr:cNvPr id="148" name="ลูกศรเชื่อมต่อแบบตรง 147">
          <a:extLst>
            <a:ext uri="{FF2B5EF4-FFF2-40B4-BE49-F238E27FC236}">
              <a16:creationId xmlns:a16="http://schemas.microsoft.com/office/drawing/2014/main" id="{AF674993-3F56-4553-909F-410CD5189B7C}"/>
            </a:ext>
          </a:extLst>
        </xdr:cNvPr>
        <xdr:cNvCxnSpPr/>
      </xdr:nvCxnSpPr>
      <xdr:spPr>
        <a:xfrm flipV="1">
          <a:off x="5759904" y="56333573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6804</xdr:colOff>
      <xdr:row>176</xdr:row>
      <xdr:rowOff>149679</xdr:rowOff>
    </xdr:from>
    <xdr:to>
      <xdr:col>17</xdr:col>
      <xdr:colOff>13607</xdr:colOff>
      <xdr:row>176</xdr:row>
      <xdr:rowOff>163286</xdr:rowOff>
    </xdr:to>
    <xdr:cxnSp macro="">
      <xdr:nvCxnSpPr>
        <xdr:cNvPr id="149" name="ลูกศรเชื่อมต่อแบบตรง 148">
          <a:extLst>
            <a:ext uri="{FF2B5EF4-FFF2-40B4-BE49-F238E27FC236}">
              <a16:creationId xmlns:a16="http://schemas.microsoft.com/office/drawing/2014/main" id="{C1062DC2-DEBD-44C2-B0FA-3B3465A5B4B2}"/>
            </a:ext>
          </a:extLst>
        </xdr:cNvPr>
        <xdr:cNvCxnSpPr/>
      </xdr:nvCxnSpPr>
      <xdr:spPr>
        <a:xfrm flipV="1">
          <a:off x="5769429" y="56623404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9526</xdr:colOff>
      <xdr:row>177</xdr:row>
      <xdr:rowOff>159204</xdr:rowOff>
    </xdr:from>
    <xdr:to>
      <xdr:col>17</xdr:col>
      <xdr:colOff>16329</xdr:colOff>
      <xdr:row>177</xdr:row>
      <xdr:rowOff>172811</xdr:rowOff>
    </xdr:to>
    <xdr:cxnSp macro="">
      <xdr:nvCxnSpPr>
        <xdr:cNvPr id="150" name="ลูกศรเชื่อมต่อแบบตรง 149">
          <a:extLst>
            <a:ext uri="{FF2B5EF4-FFF2-40B4-BE49-F238E27FC236}">
              <a16:creationId xmlns:a16="http://schemas.microsoft.com/office/drawing/2014/main" id="{1D7391B7-7727-44E9-AC80-3CD6C803093C}"/>
            </a:ext>
          </a:extLst>
        </xdr:cNvPr>
        <xdr:cNvCxnSpPr/>
      </xdr:nvCxnSpPr>
      <xdr:spPr>
        <a:xfrm flipV="1">
          <a:off x="5772151" y="56899629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515712</xdr:colOff>
      <xdr:row>178</xdr:row>
      <xdr:rowOff>148319</xdr:rowOff>
    </xdr:from>
    <xdr:to>
      <xdr:col>16</xdr:col>
      <xdr:colOff>291193</xdr:colOff>
      <xdr:row>178</xdr:row>
      <xdr:rowOff>161926</xdr:rowOff>
    </xdr:to>
    <xdr:cxnSp macro="">
      <xdr:nvCxnSpPr>
        <xdr:cNvPr id="151" name="ลูกศรเชื่อมต่อแบบตรง 150">
          <a:extLst>
            <a:ext uri="{FF2B5EF4-FFF2-40B4-BE49-F238E27FC236}">
              <a16:creationId xmlns:a16="http://schemas.microsoft.com/office/drawing/2014/main" id="{1EB73C69-6AB5-40FF-9835-A620E645DDC7}"/>
            </a:ext>
          </a:extLst>
        </xdr:cNvPr>
        <xdr:cNvCxnSpPr/>
      </xdr:nvCxnSpPr>
      <xdr:spPr>
        <a:xfrm flipV="1">
          <a:off x="5763987" y="57155444"/>
          <a:ext cx="3537856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1361</xdr:colOff>
      <xdr:row>179</xdr:row>
      <xdr:rowOff>117023</xdr:rowOff>
    </xdr:from>
    <xdr:to>
      <xdr:col>17</xdr:col>
      <xdr:colOff>8164</xdr:colOff>
      <xdr:row>179</xdr:row>
      <xdr:rowOff>130630</xdr:rowOff>
    </xdr:to>
    <xdr:cxnSp macro="">
      <xdr:nvCxnSpPr>
        <xdr:cNvPr id="152" name="ลูกศรเชื่อมต่อแบบตรง 151">
          <a:extLst>
            <a:ext uri="{FF2B5EF4-FFF2-40B4-BE49-F238E27FC236}">
              <a16:creationId xmlns:a16="http://schemas.microsoft.com/office/drawing/2014/main" id="{F48BFDA2-0417-442D-AA27-7232B03F2C49}"/>
            </a:ext>
          </a:extLst>
        </xdr:cNvPr>
        <xdr:cNvCxnSpPr/>
      </xdr:nvCxnSpPr>
      <xdr:spPr>
        <a:xfrm flipV="1">
          <a:off x="5763986" y="57390848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6804</xdr:colOff>
      <xdr:row>180</xdr:row>
      <xdr:rowOff>149679</xdr:rowOff>
    </xdr:from>
    <xdr:to>
      <xdr:col>17</xdr:col>
      <xdr:colOff>13607</xdr:colOff>
      <xdr:row>180</xdr:row>
      <xdr:rowOff>163286</xdr:rowOff>
    </xdr:to>
    <xdr:cxnSp macro="">
      <xdr:nvCxnSpPr>
        <xdr:cNvPr id="153" name="ลูกศรเชื่อมต่อแบบตรง 152">
          <a:extLst>
            <a:ext uri="{FF2B5EF4-FFF2-40B4-BE49-F238E27FC236}">
              <a16:creationId xmlns:a16="http://schemas.microsoft.com/office/drawing/2014/main" id="{8D7FF5E6-9728-40EC-8431-9F8FA3CA0FB8}"/>
            </a:ext>
          </a:extLst>
        </xdr:cNvPr>
        <xdr:cNvCxnSpPr/>
      </xdr:nvCxnSpPr>
      <xdr:spPr>
        <a:xfrm flipV="1">
          <a:off x="5769429" y="57690204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519794</xdr:colOff>
      <xdr:row>181</xdr:row>
      <xdr:rowOff>166008</xdr:rowOff>
    </xdr:from>
    <xdr:to>
      <xdr:col>17</xdr:col>
      <xdr:colOff>2722</xdr:colOff>
      <xdr:row>181</xdr:row>
      <xdr:rowOff>179615</xdr:rowOff>
    </xdr:to>
    <xdr:cxnSp macro="">
      <xdr:nvCxnSpPr>
        <xdr:cNvPr id="154" name="ลูกศรเชื่อมต่อแบบตรง 153">
          <a:extLst>
            <a:ext uri="{FF2B5EF4-FFF2-40B4-BE49-F238E27FC236}">
              <a16:creationId xmlns:a16="http://schemas.microsoft.com/office/drawing/2014/main" id="{68E6D574-250B-4E8E-BBA3-00C7F7784A19}"/>
            </a:ext>
          </a:extLst>
        </xdr:cNvPr>
        <xdr:cNvCxnSpPr/>
      </xdr:nvCxnSpPr>
      <xdr:spPr>
        <a:xfrm flipV="1">
          <a:off x="5758544" y="57973233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515711</xdr:colOff>
      <xdr:row>182</xdr:row>
      <xdr:rowOff>148318</xdr:rowOff>
    </xdr:from>
    <xdr:to>
      <xdr:col>16</xdr:col>
      <xdr:colOff>291192</xdr:colOff>
      <xdr:row>182</xdr:row>
      <xdr:rowOff>161925</xdr:rowOff>
    </xdr:to>
    <xdr:cxnSp macro="">
      <xdr:nvCxnSpPr>
        <xdr:cNvPr id="155" name="ลูกศรเชื่อมต่อแบบตรง 154">
          <a:extLst>
            <a:ext uri="{FF2B5EF4-FFF2-40B4-BE49-F238E27FC236}">
              <a16:creationId xmlns:a16="http://schemas.microsoft.com/office/drawing/2014/main" id="{22A3FC63-4A90-4B0A-8A5D-664B217CFDFB}"/>
            </a:ext>
          </a:extLst>
        </xdr:cNvPr>
        <xdr:cNvCxnSpPr/>
      </xdr:nvCxnSpPr>
      <xdr:spPr>
        <a:xfrm flipV="1">
          <a:off x="5763986" y="58222243"/>
          <a:ext cx="3537856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1361</xdr:colOff>
      <xdr:row>183</xdr:row>
      <xdr:rowOff>117022</xdr:rowOff>
    </xdr:from>
    <xdr:to>
      <xdr:col>17</xdr:col>
      <xdr:colOff>8164</xdr:colOff>
      <xdr:row>183</xdr:row>
      <xdr:rowOff>130629</xdr:rowOff>
    </xdr:to>
    <xdr:cxnSp macro="">
      <xdr:nvCxnSpPr>
        <xdr:cNvPr id="156" name="ลูกศรเชื่อมต่อแบบตรง 155">
          <a:extLst>
            <a:ext uri="{FF2B5EF4-FFF2-40B4-BE49-F238E27FC236}">
              <a16:creationId xmlns:a16="http://schemas.microsoft.com/office/drawing/2014/main" id="{CB6F976A-C408-4173-8199-343F87A40303}"/>
            </a:ext>
          </a:extLst>
        </xdr:cNvPr>
        <xdr:cNvCxnSpPr/>
      </xdr:nvCxnSpPr>
      <xdr:spPr>
        <a:xfrm flipV="1">
          <a:off x="5763986" y="58457647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521154</xdr:colOff>
      <xdr:row>184</xdr:row>
      <xdr:rowOff>126548</xdr:rowOff>
    </xdr:from>
    <xdr:to>
      <xdr:col>17</xdr:col>
      <xdr:colOff>4082</xdr:colOff>
      <xdr:row>184</xdr:row>
      <xdr:rowOff>140155</xdr:rowOff>
    </xdr:to>
    <xdr:cxnSp macro="">
      <xdr:nvCxnSpPr>
        <xdr:cNvPr id="157" name="ลูกศรเชื่อมต่อแบบตรง 156">
          <a:extLst>
            <a:ext uri="{FF2B5EF4-FFF2-40B4-BE49-F238E27FC236}">
              <a16:creationId xmlns:a16="http://schemas.microsoft.com/office/drawing/2014/main" id="{919D5CDE-A1FC-4F87-941E-60E8FDB9B50D}"/>
            </a:ext>
          </a:extLst>
        </xdr:cNvPr>
        <xdr:cNvCxnSpPr/>
      </xdr:nvCxnSpPr>
      <xdr:spPr>
        <a:xfrm flipV="1">
          <a:off x="5759904" y="58733873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6804</xdr:colOff>
      <xdr:row>185</xdr:row>
      <xdr:rowOff>149679</xdr:rowOff>
    </xdr:from>
    <xdr:to>
      <xdr:col>17</xdr:col>
      <xdr:colOff>13607</xdr:colOff>
      <xdr:row>185</xdr:row>
      <xdr:rowOff>163286</xdr:rowOff>
    </xdr:to>
    <xdr:cxnSp macro="">
      <xdr:nvCxnSpPr>
        <xdr:cNvPr id="158" name="ลูกศรเชื่อมต่อแบบตรง 157">
          <a:extLst>
            <a:ext uri="{FF2B5EF4-FFF2-40B4-BE49-F238E27FC236}">
              <a16:creationId xmlns:a16="http://schemas.microsoft.com/office/drawing/2014/main" id="{9FB1FEEB-8B20-4970-A838-D5144520A1D0}"/>
            </a:ext>
          </a:extLst>
        </xdr:cNvPr>
        <xdr:cNvCxnSpPr/>
      </xdr:nvCxnSpPr>
      <xdr:spPr>
        <a:xfrm flipV="1">
          <a:off x="5769429" y="59023704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9526</xdr:colOff>
      <xdr:row>186</xdr:row>
      <xdr:rowOff>159204</xdr:rowOff>
    </xdr:from>
    <xdr:to>
      <xdr:col>17</xdr:col>
      <xdr:colOff>16329</xdr:colOff>
      <xdr:row>186</xdr:row>
      <xdr:rowOff>172811</xdr:rowOff>
    </xdr:to>
    <xdr:cxnSp macro="">
      <xdr:nvCxnSpPr>
        <xdr:cNvPr id="159" name="ลูกศรเชื่อมต่อแบบตรง 158">
          <a:extLst>
            <a:ext uri="{FF2B5EF4-FFF2-40B4-BE49-F238E27FC236}">
              <a16:creationId xmlns:a16="http://schemas.microsoft.com/office/drawing/2014/main" id="{A7C6B574-6533-4C18-A066-5E2A3A60E146}"/>
            </a:ext>
          </a:extLst>
        </xdr:cNvPr>
        <xdr:cNvCxnSpPr/>
      </xdr:nvCxnSpPr>
      <xdr:spPr>
        <a:xfrm flipV="1">
          <a:off x="5772151" y="59299929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515712</xdr:colOff>
      <xdr:row>187</xdr:row>
      <xdr:rowOff>148319</xdr:rowOff>
    </xdr:from>
    <xdr:to>
      <xdr:col>16</xdr:col>
      <xdr:colOff>291193</xdr:colOff>
      <xdr:row>187</xdr:row>
      <xdr:rowOff>161926</xdr:rowOff>
    </xdr:to>
    <xdr:cxnSp macro="">
      <xdr:nvCxnSpPr>
        <xdr:cNvPr id="160" name="ลูกศรเชื่อมต่อแบบตรง 159">
          <a:extLst>
            <a:ext uri="{FF2B5EF4-FFF2-40B4-BE49-F238E27FC236}">
              <a16:creationId xmlns:a16="http://schemas.microsoft.com/office/drawing/2014/main" id="{CAA20226-BD2F-458B-8A20-294DBD648BF6}"/>
            </a:ext>
          </a:extLst>
        </xdr:cNvPr>
        <xdr:cNvCxnSpPr/>
      </xdr:nvCxnSpPr>
      <xdr:spPr>
        <a:xfrm flipV="1">
          <a:off x="5763987" y="59555744"/>
          <a:ext cx="3537856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1361</xdr:colOff>
      <xdr:row>188</xdr:row>
      <xdr:rowOff>117023</xdr:rowOff>
    </xdr:from>
    <xdr:to>
      <xdr:col>17</xdr:col>
      <xdr:colOff>8164</xdr:colOff>
      <xdr:row>188</xdr:row>
      <xdr:rowOff>130630</xdr:rowOff>
    </xdr:to>
    <xdr:cxnSp macro="">
      <xdr:nvCxnSpPr>
        <xdr:cNvPr id="161" name="ลูกศรเชื่อมต่อแบบตรง 160">
          <a:extLst>
            <a:ext uri="{FF2B5EF4-FFF2-40B4-BE49-F238E27FC236}">
              <a16:creationId xmlns:a16="http://schemas.microsoft.com/office/drawing/2014/main" id="{3BC08A79-0E4C-4FD2-8EA8-E4B872A3B12C}"/>
            </a:ext>
          </a:extLst>
        </xdr:cNvPr>
        <xdr:cNvCxnSpPr/>
      </xdr:nvCxnSpPr>
      <xdr:spPr>
        <a:xfrm flipV="1">
          <a:off x="5763986" y="59791148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521153</xdr:colOff>
      <xdr:row>189</xdr:row>
      <xdr:rowOff>126547</xdr:rowOff>
    </xdr:from>
    <xdr:to>
      <xdr:col>17</xdr:col>
      <xdr:colOff>4081</xdr:colOff>
      <xdr:row>189</xdr:row>
      <xdr:rowOff>140154</xdr:rowOff>
    </xdr:to>
    <xdr:cxnSp macro="">
      <xdr:nvCxnSpPr>
        <xdr:cNvPr id="162" name="ลูกศรเชื่อมต่อแบบตรง 161">
          <a:extLst>
            <a:ext uri="{FF2B5EF4-FFF2-40B4-BE49-F238E27FC236}">
              <a16:creationId xmlns:a16="http://schemas.microsoft.com/office/drawing/2014/main" id="{8A436811-7BCA-43D2-9C4C-BA427C1FE71D}"/>
            </a:ext>
          </a:extLst>
        </xdr:cNvPr>
        <xdr:cNvCxnSpPr/>
      </xdr:nvCxnSpPr>
      <xdr:spPr>
        <a:xfrm flipV="1">
          <a:off x="5759903" y="60067372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6804</xdr:colOff>
      <xdr:row>190</xdr:row>
      <xdr:rowOff>149679</xdr:rowOff>
    </xdr:from>
    <xdr:to>
      <xdr:col>17</xdr:col>
      <xdr:colOff>13607</xdr:colOff>
      <xdr:row>190</xdr:row>
      <xdr:rowOff>163286</xdr:rowOff>
    </xdr:to>
    <xdr:cxnSp macro="">
      <xdr:nvCxnSpPr>
        <xdr:cNvPr id="163" name="ลูกศรเชื่อมต่อแบบตรง 162">
          <a:extLst>
            <a:ext uri="{FF2B5EF4-FFF2-40B4-BE49-F238E27FC236}">
              <a16:creationId xmlns:a16="http://schemas.microsoft.com/office/drawing/2014/main" id="{3B8E34AC-976B-41DF-897E-BF9F49FD40F4}"/>
            </a:ext>
          </a:extLst>
        </xdr:cNvPr>
        <xdr:cNvCxnSpPr/>
      </xdr:nvCxnSpPr>
      <xdr:spPr>
        <a:xfrm flipV="1">
          <a:off x="5769429" y="60357204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519794</xdr:colOff>
      <xdr:row>191</xdr:row>
      <xdr:rowOff>166008</xdr:rowOff>
    </xdr:from>
    <xdr:to>
      <xdr:col>17</xdr:col>
      <xdr:colOff>2722</xdr:colOff>
      <xdr:row>191</xdr:row>
      <xdr:rowOff>179615</xdr:rowOff>
    </xdr:to>
    <xdr:cxnSp macro="">
      <xdr:nvCxnSpPr>
        <xdr:cNvPr id="164" name="ลูกศรเชื่อมต่อแบบตรง 163">
          <a:extLst>
            <a:ext uri="{FF2B5EF4-FFF2-40B4-BE49-F238E27FC236}">
              <a16:creationId xmlns:a16="http://schemas.microsoft.com/office/drawing/2014/main" id="{959EB5AF-CF7E-4BF0-A841-24435345CC0C}"/>
            </a:ext>
          </a:extLst>
        </xdr:cNvPr>
        <xdr:cNvCxnSpPr/>
      </xdr:nvCxnSpPr>
      <xdr:spPr>
        <a:xfrm flipV="1">
          <a:off x="5758544" y="60640233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515711</xdr:colOff>
      <xdr:row>192</xdr:row>
      <xdr:rowOff>148318</xdr:rowOff>
    </xdr:from>
    <xdr:to>
      <xdr:col>16</xdr:col>
      <xdr:colOff>291192</xdr:colOff>
      <xdr:row>192</xdr:row>
      <xdr:rowOff>161925</xdr:rowOff>
    </xdr:to>
    <xdr:cxnSp macro="">
      <xdr:nvCxnSpPr>
        <xdr:cNvPr id="165" name="ลูกศรเชื่อมต่อแบบตรง 164">
          <a:extLst>
            <a:ext uri="{FF2B5EF4-FFF2-40B4-BE49-F238E27FC236}">
              <a16:creationId xmlns:a16="http://schemas.microsoft.com/office/drawing/2014/main" id="{6393B3C1-37A5-464D-B42B-7C8CC5D20A80}"/>
            </a:ext>
          </a:extLst>
        </xdr:cNvPr>
        <xdr:cNvCxnSpPr/>
      </xdr:nvCxnSpPr>
      <xdr:spPr>
        <a:xfrm flipV="1">
          <a:off x="5763986" y="60889243"/>
          <a:ext cx="3537856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1361</xdr:colOff>
      <xdr:row>193</xdr:row>
      <xdr:rowOff>117022</xdr:rowOff>
    </xdr:from>
    <xdr:to>
      <xdr:col>17</xdr:col>
      <xdr:colOff>8164</xdr:colOff>
      <xdr:row>193</xdr:row>
      <xdr:rowOff>130629</xdr:rowOff>
    </xdr:to>
    <xdr:cxnSp macro="">
      <xdr:nvCxnSpPr>
        <xdr:cNvPr id="166" name="ลูกศรเชื่อมต่อแบบตรง 165">
          <a:extLst>
            <a:ext uri="{FF2B5EF4-FFF2-40B4-BE49-F238E27FC236}">
              <a16:creationId xmlns:a16="http://schemas.microsoft.com/office/drawing/2014/main" id="{035A1D98-2943-4935-89D9-18294C18C042}"/>
            </a:ext>
          </a:extLst>
        </xdr:cNvPr>
        <xdr:cNvCxnSpPr/>
      </xdr:nvCxnSpPr>
      <xdr:spPr>
        <a:xfrm flipV="1">
          <a:off x="5763986" y="61124647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521154</xdr:colOff>
      <xdr:row>194</xdr:row>
      <xdr:rowOff>126548</xdr:rowOff>
    </xdr:from>
    <xdr:to>
      <xdr:col>17</xdr:col>
      <xdr:colOff>4082</xdr:colOff>
      <xdr:row>194</xdr:row>
      <xdr:rowOff>140155</xdr:rowOff>
    </xdr:to>
    <xdr:cxnSp macro="">
      <xdr:nvCxnSpPr>
        <xdr:cNvPr id="167" name="ลูกศรเชื่อมต่อแบบตรง 166">
          <a:extLst>
            <a:ext uri="{FF2B5EF4-FFF2-40B4-BE49-F238E27FC236}">
              <a16:creationId xmlns:a16="http://schemas.microsoft.com/office/drawing/2014/main" id="{8B5F6F63-9590-4919-A955-086B3A40C671}"/>
            </a:ext>
          </a:extLst>
        </xdr:cNvPr>
        <xdr:cNvCxnSpPr/>
      </xdr:nvCxnSpPr>
      <xdr:spPr>
        <a:xfrm flipV="1">
          <a:off x="5759904" y="61400873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6804</xdr:colOff>
      <xdr:row>195</xdr:row>
      <xdr:rowOff>149679</xdr:rowOff>
    </xdr:from>
    <xdr:to>
      <xdr:col>17</xdr:col>
      <xdr:colOff>13607</xdr:colOff>
      <xdr:row>195</xdr:row>
      <xdr:rowOff>163286</xdr:rowOff>
    </xdr:to>
    <xdr:cxnSp macro="">
      <xdr:nvCxnSpPr>
        <xdr:cNvPr id="168" name="ลูกศรเชื่อมต่อแบบตรง 167">
          <a:extLst>
            <a:ext uri="{FF2B5EF4-FFF2-40B4-BE49-F238E27FC236}">
              <a16:creationId xmlns:a16="http://schemas.microsoft.com/office/drawing/2014/main" id="{84496070-1891-4FBE-B413-243711397102}"/>
            </a:ext>
          </a:extLst>
        </xdr:cNvPr>
        <xdr:cNvCxnSpPr/>
      </xdr:nvCxnSpPr>
      <xdr:spPr>
        <a:xfrm flipV="1">
          <a:off x="5769429" y="61690704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9526</xdr:colOff>
      <xdr:row>196</xdr:row>
      <xdr:rowOff>159204</xdr:rowOff>
    </xdr:from>
    <xdr:to>
      <xdr:col>17</xdr:col>
      <xdr:colOff>16329</xdr:colOff>
      <xdr:row>196</xdr:row>
      <xdr:rowOff>172811</xdr:rowOff>
    </xdr:to>
    <xdr:cxnSp macro="">
      <xdr:nvCxnSpPr>
        <xdr:cNvPr id="169" name="ลูกศรเชื่อมต่อแบบตรง 168">
          <a:extLst>
            <a:ext uri="{FF2B5EF4-FFF2-40B4-BE49-F238E27FC236}">
              <a16:creationId xmlns:a16="http://schemas.microsoft.com/office/drawing/2014/main" id="{ED420232-6EB7-4CAC-B263-E4CD5BBF952F}"/>
            </a:ext>
          </a:extLst>
        </xdr:cNvPr>
        <xdr:cNvCxnSpPr/>
      </xdr:nvCxnSpPr>
      <xdr:spPr>
        <a:xfrm flipV="1">
          <a:off x="5772151" y="61966929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515712</xdr:colOff>
      <xdr:row>197</xdr:row>
      <xdr:rowOff>148319</xdr:rowOff>
    </xdr:from>
    <xdr:to>
      <xdr:col>16</xdr:col>
      <xdr:colOff>291193</xdr:colOff>
      <xdr:row>197</xdr:row>
      <xdr:rowOff>161926</xdr:rowOff>
    </xdr:to>
    <xdr:cxnSp macro="">
      <xdr:nvCxnSpPr>
        <xdr:cNvPr id="170" name="ลูกศรเชื่อมต่อแบบตรง 169">
          <a:extLst>
            <a:ext uri="{FF2B5EF4-FFF2-40B4-BE49-F238E27FC236}">
              <a16:creationId xmlns:a16="http://schemas.microsoft.com/office/drawing/2014/main" id="{97F0E103-AFB6-4640-8F85-43C69E0C997D}"/>
            </a:ext>
          </a:extLst>
        </xdr:cNvPr>
        <xdr:cNvCxnSpPr/>
      </xdr:nvCxnSpPr>
      <xdr:spPr>
        <a:xfrm flipV="1">
          <a:off x="5763987" y="62222744"/>
          <a:ext cx="3537856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1361</xdr:colOff>
      <xdr:row>198</xdr:row>
      <xdr:rowOff>117023</xdr:rowOff>
    </xdr:from>
    <xdr:to>
      <xdr:col>17</xdr:col>
      <xdr:colOff>8164</xdr:colOff>
      <xdr:row>198</xdr:row>
      <xdr:rowOff>130630</xdr:rowOff>
    </xdr:to>
    <xdr:cxnSp macro="">
      <xdr:nvCxnSpPr>
        <xdr:cNvPr id="171" name="ลูกศรเชื่อมต่อแบบตรง 170">
          <a:extLst>
            <a:ext uri="{FF2B5EF4-FFF2-40B4-BE49-F238E27FC236}">
              <a16:creationId xmlns:a16="http://schemas.microsoft.com/office/drawing/2014/main" id="{5598211B-2F8C-4AAF-8E9D-CB080B1CC825}"/>
            </a:ext>
          </a:extLst>
        </xdr:cNvPr>
        <xdr:cNvCxnSpPr/>
      </xdr:nvCxnSpPr>
      <xdr:spPr>
        <a:xfrm flipV="1">
          <a:off x="5763986" y="62458148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521153</xdr:colOff>
      <xdr:row>199</xdr:row>
      <xdr:rowOff>126547</xdr:rowOff>
    </xdr:from>
    <xdr:to>
      <xdr:col>17</xdr:col>
      <xdr:colOff>4081</xdr:colOff>
      <xdr:row>199</xdr:row>
      <xdr:rowOff>140154</xdr:rowOff>
    </xdr:to>
    <xdr:cxnSp macro="">
      <xdr:nvCxnSpPr>
        <xdr:cNvPr id="172" name="ลูกศรเชื่อมต่อแบบตรง 171">
          <a:extLst>
            <a:ext uri="{FF2B5EF4-FFF2-40B4-BE49-F238E27FC236}">
              <a16:creationId xmlns:a16="http://schemas.microsoft.com/office/drawing/2014/main" id="{88F8526A-2711-45B4-AB54-564FA3670E91}"/>
            </a:ext>
          </a:extLst>
        </xdr:cNvPr>
        <xdr:cNvCxnSpPr/>
      </xdr:nvCxnSpPr>
      <xdr:spPr>
        <a:xfrm flipV="1">
          <a:off x="5759903" y="62734372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6804</xdr:colOff>
      <xdr:row>200</xdr:row>
      <xdr:rowOff>149679</xdr:rowOff>
    </xdr:from>
    <xdr:to>
      <xdr:col>17</xdr:col>
      <xdr:colOff>13607</xdr:colOff>
      <xdr:row>200</xdr:row>
      <xdr:rowOff>163286</xdr:rowOff>
    </xdr:to>
    <xdr:cxnSp macro="">
      <xdr:nvCxnSpPr>
        <xdr:cNvPr id="173" name="ลูกศรเชื่อมต่อแบบตรง 172">
          <a:extLst>
            <a:ext uri="{FF2B5EF4-FFF2-40B4-BE49-F238E27FC236}">
              <a16:creationId xmlns:a16="http://schemas.microsoft.com/office/drawing/2014/main" id="{C77E8A75-DB4A-4D28-9104-439410F9C42A}"/>
            </a:ext>
          </a:extLst>
        </xdr:cNvPr>
        <xdr:cNvCxnSpPr/>
      </xdr:nvCxnSpPr>
      <xdr:spPr>
        <a:xfrm flipV="1">
          <a:off x="5769429" y="63024204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519794</xdr:colOff>
      <xdr:row>201</xdr:row>
      <xdr:rowOff>166008</xdr:rowOff>
    </xdr:from>
    <xdr:to>
      <xdr:col>17</xdr:col>
      <xdr:colOff>2722</xdr:colOff>
      <xdr:row>201</xdr:row>
      <xdr:rowOff>179615</xdr:rowOff>
    </xdr:to>
    <xdr:cxnSp macro="">
      <xdr:nvCxnSpPr>
        <xdr:cNvPr id="174" name="ลูกศรเชื่อมต่อแบบตรง 173">
          <a:extLst>
            <a:ext uri="{FF2B5EF4-FFF2-40B4-BE49-F238E27FC236}">
              <a16:creationId xmlns:a16="http://schemas.microsoft.com/office/drawing/2014/main" id="{4955BC67-E9B3-4538-B8CB-D0888DF55BD6}"/>
            </a:ext>
          </a:extLst>
        </xdr:cNvPr>
        <xdr:cNvCxnSpPr/>
      </xdr:nvCxnSpPr>
      <xdr:spPr>
        <a:xfrm flipV="1">
          <a:off x="5758544" y="63307233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515711</xdr:colOff>
      <xdr:row>202</xdr:row>
      <xdr:rowOff>148318</xdr:rowOff>
    </xdr:from>
    <xdr:to>
      <xdr:col>16</xdr:col>
      <xdr:colOff>291192</xdr:colOff>
      <xdr:row>202</xdr:row>
      <xdr:rowOff>161925</xdr:rowOff>
    </xdr:to>
    <xdr:cxnSp macro="">
      <xdr:nvCxnSpPr>
        <xdr:cNvPr id="175" name="ลูกศรเชื่อมต่อแบบตรง 174">
          <a:extLst>
            <a:ext uri="{FF2B5EF4-FFF2-40B4-BE49-F238E27FC236}">
              <a16:creationId xmlns:a16="http://schemas.microsoft.com/office/drawing/2014/main" id="{128B4706-85D5-4A95-9420-D5C64AFDF763}"/>
            </a:ext>
          </a:extLst>
        </xdr:cNvPr>
        <xdr:cNvCxnSpPr/>
      </xdr:nvCxnSpPr>
      <xdr:spPr>
        <a:xfrm flipV="1">
          <a:off x="5763986" y="63822943"/>
          <a:ext cx="3537856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1361</xdr:colOff>
      <xdr:row>203</xdr:row>
      <xdr:rowOff>117022</xdr:rowOff>
    </xdr:from>
    <xdr:to>
      <xdr:col>17</xdr:col>
      <xdr:colOff>8164</xdr:colOff>
      <xdr:row>203</xdr:row>
      <xdr:rowOff>130629</xdr:rowOff>
    </xdr:to>
    <xdr:cxnSp macro="">
      <xdr:nvCxnSpPr>
        <xdr:cNvPr id="176" name="ลูกศรเชื่อมต่อแบบตรง 175">
          <a:extLst>
            <a:ext uri="{FF2B5EF4-FFF2-40B4-BE49-F238E27FC236}">
              <a16:creationId xmlns:a16="http://schemas.microsoft.com/office/drawing/2014/main" id="{1DA8714F-E50A-4E45-8357-4EA0F0854C67}"/>
            </a:ext>
          </a:extLst>
        </xdr:cNvPr>
        <xdr:cNvCxnSpPr/>
      </xdr:nvCxnSpPr>
      <xdr:spPr>
        <a:xfrm flipV="1">
          <a:off x="5763986" y="64058347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521154</xdr:colOff>
      <xdr:row>204</xdr:row>
      <xdr:rowOff>126548</xdr:rowOff>
    </xdr:from>
    <xdr:to>
      <xdr:col>17</xdr:col>
      <xdr:colOff>4082</xdr:colOff>
      <xdr:row>204</xdr:row>
      <xdr:rowOff>140155</xdr:rowOff>
    </xdr:to>
    <xdr:cxnSp macro="">
      <xdr:nvCxnSpPr>
        <xdr:cNvPr id="177" name="ลูกศรเชื่อมต่อแบบตรง 176">
          <a:extLst>
            <a:ext uri="{FF2B5EF4-FFF2-40B4-BE49-F238E27FC236}">
              <a16:creationId xmlns:a16="http://schemas.microsoft.com/office/drawing/2014/main" id="{DDD6DCC9-795A-48EA-A3DF-AC88B124D36F}"/>
            </a:ext>
          </a:extLst>
        </xdr:cNvPr>
        <xdr:cNvCxnSpPr/>
      </xdr:nvCxnSpPr>
      <xdr:spPr>
        <a:xfrm flipV="1">
          <a:off x="5759904" y="64334573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6804</xdr:colOff>
      <xdr:row>205</xdr:row>
      <xdr:rowOff>149679</xdr:rowOff>
    </xdr:from>
    <xdr:to>
      <xdr:col>17</xdr:col>
      <xdr:colOff>13607</xdr:colOff>
      <xdr:row>205</xdr:row>
      <xdr:rowOff>163286</xdr:rowOff>
    </xdr:to>
    <xdr:cxnSp macro="">
      <xdr:nvCxnSpPr>
        <xdr:cNvPr id="178" name="ลูกศรเชื่อมต่อแบบตรง 177">
          <a:extLst>
            <a:ext uri="{FF2B5EF4-FFF2-40B4-BE49-F238E27FC236}">
              <a16:creationId xmlns:a16="http://schemas.microsoft.com/office/drawing/2014/main" id="{B8E051B4-2072-4AFF-918E-4539C3BADFFE}"/>
            </a:ext>
          </a:extLst>
        </xdr:cNvPr>
        <xdr:cNvCxnSpPr/>
      </xdr:nvCxnSpPr>
      <xdr:spPr>
        <a:xfrm flipV="1">
          <a:off x="5769429" y="64624404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9526</xdr:colOff>
      <xdr:row>206</xdr:row>
      <xdr:rowOff>159204</xdr:rowOff>
    </xdr:from>
    <xdr:to>
      <xdr:col>17</xdr:col>
      <xdr:colOff>16329</xdr:colOff>
      <xdr:row>206</xdr:row>
      <xdr:rowOff>172811</xdr:rowOff>
    </xdr:to>
    <xdr:cxnSp macro="">
      <xdr:nvCxnSpPr>
        <xdr:cNvPr id="179" name="ลูกศรเชื่อมต่อแบบตรง 178">
          <a:extLst>
            <a:ext uri="{FF2B5EF4-FFF2-40B4-BE49-F238E27FC236}">
              <a16:creationId xmlns:a16="http://schemas.microsoft.com/office/drawing/2014/main" id="{7BEA81F1-88D1-437D-B233-ED80A0ABB655}"/>
            </a:ext>
          </a:extLst>
        </xdr:cNvPr>
        <xdr:cNvCxnSpPr/>
      </xdr:nvCxnSpPr>
      <xdr:spPr>
        <a:xfrm flipV="1">
          <a:off x="5772151" y="64900629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515712</xdr:colOff>
      <xdr:row>207</xdr:row>
      <xdr:rowOff>148319</xdr:rowOff>
    </xdr:from>
    <xdr:to>
      <xdr:col>16</xdr:col>
      <xdr:colOff>291193</xdr:colOff>
      <xdr:row>207</xdr:row>
      <xdr:rowOff>161926</xdr:rowOff>
    </xdr:to>
    <xdr:cxnSp macro="">
      <xdr:nvCxnSpPr>
        <xdr:cNvPr id="180" name="ลูกศรเชื่อมต่อแบบตรง 179">
          <a:extLst>
            <a:ext uri="{FF2B5EF4-FFF2-40B4-BE49-F238E27FC236}">
              <a16:creationId xmlns:a16="http://schemas.microsoft.com/office/drawing/2014/main" id="{197A2239-D74D-40DC-ABBF-C35A98746192}"/>
            </a:ext>
          </a:extLst>
        </xdr:cNvPr>
        <xdr:cNvCxnSpPr/>
      </xdr:nvCxnSpPr>
      <xdr:spPr>
        <a:xfrm flipV="1">
          <a:off x="5763987" y="65156444"/>
          <a:ext cx="3537856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1361</xdr:colOff>
      <xdr:row>208</xdr:row>
      <xdr:rowOff>117023</xdr:rowOff>
    </xdr:from>
    <xdr:to>
      <xdr:col>17</xdr:col>
      <xdr:colOff>8164</xdr:colOff>
      <xdr:row>208</xdr:row>
      <xdr:rowOff>130630</xdr:rowOff>
    </xdr:to>
    <xdr:cxnSp macro="">
      <xdr:nvCxnSpPr>
        <xdr:cNvPr id="181" name="ลูกศรเชื่อมต่อแบบตรง 180">
          <a:extLst>
            <a:ext uri="{FF2B5EF4-FFF2-40B4-BE49-F238E27FC236}">
              <a16:creationId xmlns:a16="http://schemas.microsoft.com/office/drawing/2014/main" id="{A04E4B98-8B9F-40E6-BB34-C0DAACAD8D11}"/>
            </a:ext>
          </a:extLst>
        </xdr:cNvPr>
        <xdr:cNvCxnSpPr/>
      </xdr:nvCxnSpPr>
      <xdr:spPr>
        <a:xfrm flipV="1">
          <a:off x="5763986" y="65658548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521153</xdr:colOff>
      <xdr:row>209</xdr:row>
      <xdr:rowOff>126547</xdr:rowOff>
    </xdr:from>
    <xdr:to>
      <xdr:col>17</xdr:col>
      <xdr:colOff>4081</xdr:colOff>
      <xdr:row>209</xdr:row>
      <xdr:rowOff>140154</xdr:rowOff>
    </xdr:to>
    <xdr:cxnSp macro="">
      <xdr:nvCxnSpPr>
        <xdr:cNvPr id="182" name="ลูกศรเชื่อมต่อแบบตรง 181">
          <a:extLst>
            <a:ext uri="{FF2B5EF4-FFF2-40B4-BE49-F238E27FC236}">
              <a16:creationId xmlns:a16="http://schemas.microsoft.com/office/drawing/2014/main" id="{B42965F5-7F0A-4085-89A3-77D757E5F88C}"/>
            </a:ext>
          </a:extLst>
        </xdr:cNvPr>
        <xdr:cNvCxnSpPr/>
      </xdr:nvCxnSpPr>
      <xdr:spPr>
        <a:xfrm flipV="1">
          <a:off x="5759903" y="65934772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6804</xdr:colOff>
      <xdr:row>210</xdr:row>
      <xdr:rowOff>149679</xdr:rowOff>
    </xdr:from>
    <xdr:to>
      <xdr:col>17</xdr:col>
      <xdr:colOff>13607</xdr:colOff>
      <xdr:row>210</xdr:row>
      <xdr:rowOff>163286</xdr:rowOff>
    </xdr:to>
    <xdr:cxnSp macro="">
      <xdr:nvCxnSpPr>
        <xdr:cNvPr id="183" name="ลูกศรเชื่อมต่อแบบตรง 182">
          <a:extLst>
            <a:ext uri="{FF2B5EF4-FFF2-40B4-BE49-F238E27FC236}">
              <a16:creationId xmlns:a16="http://schemas.microsoft.com/office/drawing/2014/main" id="{2C10FB30-CAB5-42D0-83AF-AA917BCD8725}"/>
            </a:ext>
          </a:extLst>
        </xdr:cNvPr>
        <xdr:cNvCxnSpPr/>
      </xdr:nvCxnSpPr>
      <xdr:spPr>
        <a:xfrm flipV="1">
          <a:off x="5769429" y="66491304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519794</xdr:colOff>
      <xdr:row>211</xdr:row>
      <xdr:rowOff>166008</xdr:rowOff>
    </xdr:from>
    <xdr:to>
      <xdr:col>17</xdr:col>
      <xdr:colOff>2722</xdr:colOff>
      <xdr:row>211</xdr:row>
      <xdr:rowOff>179615</xdr:rowOff>
    </xdr:to>
    <xdr:cxnSp macro="">
      <xdr:nvCxnSpPr>
        <xdr:cNvPr id="184" name="ลูกศรเชื่อมต่อแบบตรง 183">
          <a:extLst>
            <a:ext uri="{FF2B5EF4-FFF2-40B4-BE49-F238E27FC236}">
              <a16:creationId xmlns:a16="http://schemas.microsoft.com/office/drawing/2014/main" id="{05285C0F-9D11-4DEA-860E-F7EE78A46732}"/>
            </a:ext>
          </a:extLst>
        </xdr:cNvPr>
        <xdr:cNvCxnSpPr/>
      </xdr:nvCxnSpPr>
      <xdr:spPr>
        <a:xfrm flipV="1">
          <a:off x="5758544" y="66774333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515711</xdr:colOff>
      <xdr:row>212</xdr:row>
      <xdr:rowOff>148318</xdr:rowOff>
    </xdr:from>
    <xdr:to>
      <xdr:col>16</xdr:col>
      <xdr:colOff>291192</xdr:colOff>
      <xdr:row>212</xdr:row>
      <xdr:rowOff>161925</xdr:rowOff>
    </xdr:to>
    <xdr:cxnSp macro="">
      <xdr:nvCxnSpPr>
        <xdr:cNvPr id="185" name="ลูกศรเชื่อมต่อแบบตรง 184">
          <a:extLst>
            <a:ext uri="{FF2B5EF4-FFF2-40B4-BE49-F238E27FC236}">
              <a16:creationId xmlns:a16="http://schemas.microsoft.com/office/drawing/2014/main" id="{F8BD288D-56F9-4F4D-9324-CE71AF991248}"/>
            </a:ext>
          </a:extLst>
        </xdr:cNvPr>
        <xdr:cNvCxnSpPr/>
      </xdr:nvCxnSpPr>
      <xdr:spPr>
        <a:xfrm flipV="1">
          <a:off x="5763986" y="67290043"/>
          <a:ext cx="3537856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1361</xdr:colOff>
      <xdr:row>213</xdr:row>
      <xdr:rowOff>117022</xdr:rowOff>
    </xdr:from>
    <xdr:to>
      <xdr:col>17</xdr:col>
      <xdr:colOff>8164</xdr:colOff>
      <xdr:row>213</xdr:row>
      <xdr:rowOff>130629</xdr:rowOff>
    </xdr:to>
    <xdr:cxnSp macro="">
      <xdr:nvCxnSpPr>
        <xdr:cNvPr id="186" name="ลูกศรเชื่อมต่อแบบตรง 185">
          <a:extLst>
            <a:ext uri="{FF2B5EF4-FFF2-40B4-BE49-F238E27FC236}">
              <a16:creationId xmlns:a16="http://schemas.microsoft.com/office/drawing/2014/main" id="{5443383B-B31D-4D06-9270-6369361BCF6E}"/>
            </a:ext>
          </a:extLst>
        </xdr:cNvPr>
        <xdr:cNvCxnSpPr/>
      </xdr:nvCxnSpPr>
      <xdr:spPr>
        <a:xfrm flipV="1">
          <a:off x="5763986" y="67525447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521154</xdr:colOff>
      <xdr:row>214</xdr:row>
      <xdr:rowOff>126548</xdr:rowOff>
    </xdr:from>
    <xdr:to>
      <xdr:col>17</xdr:col>
      <xdr:colOff>4082</xdr:colOff>
      <xdr:row>214</xdr:row>
      <xdr:rowOff>140155</xdr:rowOff>
    </xdr:to>
    <xdr:cxnSp macro="">
      <xdr:nvCxnSpPr>
        <xdr:cNvPr id="187" name="ลูกศรเชื่อมต่อแบบตรง 186">
          <a:extLst>
            <a:ext uri="{FF2B5EF4-FFF2-40B4-BE49-F238E27FC236}">
              <a16:creationId xmlns:a16="http://schemas.microsoft.com/office/drawing/2014/main" id="{78227988-5153-41D0-BEF5-25B9F261F9D4}"/>
            </a:ext>
          </a:extLst>
        </xdr:cNvPr>
        <xdr:cNvCxnSpPr/>
      </xdr:nvCxnSpPr>
      <xdr:spPr>
        <a:xfrm flipV="1">
          <a:off x="5759904" y="68068373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6804</xdr:colOff>
      <xdr:row>215</xdr:row>
      <xdr:rowOff>149679</xdr:rowOff>
    </xdr:from>
    <xdr:to>
      <xdr:col>17</xdr:col>
      <xdr:colOff>13607</xdr:colOff>
      <xdr:row>215</xdr:row>
      <xdr:rowOff>163286</xdr:rowOff>
    </xdr:to>
    <xdr:cxnSp macro="">
      <xdr:nvCxnSpPr>
        <xdr:cNvPr id="188" name="ลูกศรเชื่อมต่อแบบตรง 187">
          <a:extLst>
            <a:ext uri="{FF2B5EF4-FFF2-40B4-BE49-F238E27FC236}">
              <a16:creationId xmlns:a16="http://schemas.microsoft.com/office/drawing/2014/main" id="{EADC05B8-0E97-4731-B587-D083509EF065}"/>
            </a:ext>
          </a:extLst>
        </xdr:cNvPr>
        <xdr:cNvCxnSpPr/>
      </xdr:nvCxnSpPr>
      <xdr:spPr>
        <a:xfrm flipV="1">
          <a:off x="5769429" y="68358204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9526</xdr:colOff>
      <xdr:row>216</xdr:row>
      <xdr:rowOff>159204</xdr:rowOff>
    </xdr:from>
    <xdr:to>
      <xdr:col>17</xdr:col>
      <xdr:colOff>16329</xdr:colOff>
      <xdr:row>216</xdr:row>
      <xdr:rowOff>172811</xdr:rowOff>
    </xdr:to>
    <xdr:cxnSp macro="">
      <xdr:nvCxnSpPr>
        <xdr:cNvPr id="189" name="ลูกศรเชื่อมต่อแบบตรง 188">
          <a:extLst>
            <a:ext uri="{FF2B5EF4-FFF2-40B4-BE49-F238E27FC236}">
              <a16:creationId xmlns:a16="http://schemas.microsoft.com/office/drawing/2014/main" id="{6F7F7433-94DB-4383-9B55-90F8B7031780}"/>
            </a:ext>
          </a:extLst>
        </xdr:cNvPr>
        <xdr:cNvCxnSpPr/>
      </xdr:nvCxnSpPr>
      <xdr:spPr>
        <a:xfrm flipV="1">
          <a:off x="5772151" y="68901129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515712</xdr:colOff>
      <xdr:row>217</xdr:row>
      <xdr:rowOff>148319</xdr:rowOff>
    </xdr:from>
    <xdr:to>
      <xdr:col>16</xdr:col>
      <xdr:colOff>291193</xdr:colOff>
      <xdr:row>217</xdr:row>
      <xdr:rowOff>161926</xdr:rowOff>
    </xdr:to>
    <xdr:cxnSp macro="">
      <xdr:nvCxnSpPr>
        <xdr:cNvPr id="190" name="ลูกศรเชื่อมต่อแบบตรง 189">
          <a:extLst>
            <a:ext uri="{FF2B5EF4-FFF2-40B4-BE49-F238E27FC236}">
              <a16:creationId xmlns:a16="http://schemas.microsoft.com/office/drawing/2014/main" id="{F7623446-7F6F-4932-94C9-B73DAF1BB80A}"/>
            </a:ext>
          </a:extLst>
        </xdr:cNvPr>
        <xdr:cNvCxnSpPr/>
      </xdr:nvCxnSpPr>
      <xdr:spPr>
        <a:xfrm flipV="1">
          <a:off x="5763987" y="69156944"/>
          <a:ext cx="3537856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1361</xdr:colOff>
      <xdr:row>218</xdr:row>
      <xdr:rowOff>117023</xdr:rowOff>
    </xdr:from>
    <xdr:to>
      <xdr:col>17</xdr:col>
      <xdr:colOff>8164</xdr:colOff>
      <xdr:row>218</xdr:row>
      <xdr:rowOff>130630</xdr:rowOff>
    </xdr:to>
    <xdr:cxnSp macro="">
      <xdr:nvCxnSpPr>
        <xdr:cNvPr id="191" name="ลูกศรเชื่อมต่อแบบตรง 190">
          <a:extLst>
            <a:ext uri="{FF2B5EF4-FFF2-40B4-BE49-F238E27FC236}">
              <a16:creationId xmlns:a16="http://schemas.microsoft.com/office/drawing/2014/main" id="{42DF70FB-20CF-4766-99CF-A56974F5A2CB}"/>
            </a:ext>
          </a:extLst>
        </xdr:cNvPr>
        <xdr:cNvCxnSpPr/>
      </xdr:nvCxnSpPr>
      <xdr:spPr>
        <a:xfrm flipV="1">
          <a:off x="5763986" y="69659048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521153</xdr:colOff>
      <xdr:row>219</xdr:row>
      <xdr:rowOff>126547</xdr:rowOff>
    </xdr:from>
    <xdr:to>
      <xdr:col>17</xdr:col>
      <xdr:colOff>4081</xdr:colOff>
      <xdr:row>219</xdr:row>
      <xdr:rowOff>140154</xdr:rowOff>
    </xdr:to>
    <xdr:cxnSp macro="">
      <xdr:nvCxnSpPr>
        <xdr:cNvPr id="192" name="ลูกศรเชื่อมต่อแบบตรง 191">
          <a:extLst>
            <a:ext uri="{FF2B5EF4-FFF2-40B4-BE49-F238E27FC236}">
              <a16:creationId xmlns:a16="http://schemas.microsoft.com/office/drawing/2014/main" id="{C86A052E-7F41-411E-9342-2AAA4BA3778B}"/>
            </a:ext>
          </a:extLst>
        </xdr:cNvPr>
        <xdr:cNvCxnSpPr/>
      </xdr:nvCxnSpPr>
      <xdr:spPr>
        <a:xfrm flipV="1">
          <a:off x="5759903" y="69935272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6804</xdr:colOff>
      <xdr:row>220</xdr:row>
      <xdr:rowOff>149679</xdr:rowOff>
    </xdr:from>
    <xdr:to>
      <xdr:col>17</xdr:col>
      <xdr:colOff>13607</xdr:colOff>
      <xdr:row>220</xdr:row>
      <xdr:rowOff>163286</xdr:rowOff>
    </xdr:to>
    <xdr:cxnSp macro="">
      <xdr:nvCxnSpPr>
        <xdr:cNvPr id="193" name="ลูกศรเชื่อมต่อแบบตรง 192">
          <a:extLst>
            <a:ext uri="{FF2B5EF4-FFF2-40B4-BE49-F238E27FC236}">
              <a16:creationId xmlns:a16="http://schemas.microsoft.com/office/drawing/2014/main" id="{DAA43264-C12C-460F-8ADF-A69762278D25}"/>
            </a:ext>
          </a:extLst>
        </xdr:cNvPr>
        <xdr:cNvCxnSpPr/>
      </xdr:nvCxnSpPr>
      <xdr:spPr>
        <a:xfrm flipV="1">
          <a:off x="5769429" y="70491804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519794</xdr:colOff>
      <xdr:row>221</xdr:row>
      <xdr:rowOff>166008</xdr:rowOff>
    </xdr:from>
    <xdr:to>
      <xdr:col>17</xdr:col>
      <xdr:colOff>2722</xdr:colOff>
      <xdr:row>221</xdr:row>
      <xdr:rowOff>179615</xdr:rowOff>
    </xdr:to>
    <xdr:cxnSp macro="">
      <xdr:nvCxnSpPr>
        <xdr:cNvPr id="194" name="ลูกศรเชื่อมต่อแบบตรง 193">
          <a:extLst>
            <a:ext uri="{FF2B5EF4-FFF2-40B4-BE49-F238E27FC236}">
              <a16:creationId xmlns:a16="http://schemas.microsoft.com/office/drawing/2014/main" id="{5BC37DE6-87D1-445C-8E7D-4E50799CDE02}"/>
            </a:ext>
          </a:extLst>
        </xdr:cNvPr>
        <xdr:cNvCxnSpPr/>
      </xdr:nvCxnSpPr>
      <xdr:spPr>
        <a:xfrm flipV="1">
          <a:off x="5758544" y="70774833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515712</xdr:colOff>
      <xdr:row>222</xdr:row>
      <xdr:rowOff>148319</xdr:rowOff>
    </xdr:from>
    <xdr:to>
      <xdr:col>16</xdr:col>
      <xdr:colOff>291193</xdr:colOff>
      <xdr:row>222</xdr:row>
      <xdr:rowOff>161926</xdr:rowOff>
    </xdr:to>
    <xdr:cxnSp macro="">
      <xdr:nvCxnSpPr>
        <xdr:cNvPr id="195" name="ลูกศรเชื่อมต่อแบบตรง 194">
          <a:extLst>
            <a:ext uri="{FF2B5EF4-FFF2-40B4-BE49-F238E27FC236}">
              <a16:creationId xmlns:a16="http://schemas.microsoft.com/office/drawing/2014/main" id="{C4800CC7-634C-4C6C-82D5-F8C04A243CBF}"/>
            </a:ext>
          </a:extLst>
        </xdr:cNvPr>
        <xdr:cNvCxnSpPr/>
      </xdr:nvCxnSpPr>
      <xdr:spPr>
        <a:xfrm flipV="1">
          <a:off x="5763987" y="71023844"/>
          <a:ext cx="3537856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1361</xdr:colOff>
      <xdr:row>223</xdr:row>
      <xdr:rowOff>117023</xdr:rowOff>
    </xdr:from>
    <xdr:to>
      <xdr:col>17</xdr:col>
      <xdr:colOff>8164</xdr:colOff>
      <xdr:row>223</xdr:row>
      <xdr:rowOff>130630</xdr:rowOff>
    </xdr:to>
    <xdr:cxnSp macro="">
      <xdr:nvCxnSpPr>
        <xdr:cNvPr id="196" name="ลูกศรเชื่อมต่อแบบตรง 195">
          <a:extLst>
            <a:ext uri="{FF2B5EF4-FFF2-40B4-BE49-F238E27FC236}">
              <a16:creationId xmlns:a16="http://schemas.microsoft.com/office/drawing/2014/main" id="{89E38EA1-6A03-46DA-A8BD-F1F20953028C}"/>
            </a:ext>
          </a:extLst>
        </xdr:cNvPr>
        <xdr:cNvCxnSpPr/>
      </xdr:nvCxnSpPr>
      <xdr:spPr>
        <a:xfrm flipV="1">
          <a:off x="5763986" y="71259248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521153</xdr:colOff>
      <xdr:row>224</xdr:row>
      <xdr:rowOff>126547</xdr:rowOff>
    </xdr:from>
    <xdr:to>
      <xdr:col>17</xdr:col>
      <xdr:colOff>4081</xdr:colOff>
      <xdr:row>224</xdr:row>
      <xdr:rowOff>140154</xdr:rowOff>
    </xdr:to>
    <xdr:cxnSp macro="">
      <xdr:nvCxnSpPr>
        <xdr:cNvPr id="197" name="ลูกศรเชื่อมต่อแบบตรง 196">
          <a:extLst>
            <a:ext uri="{FF2B5EF4-FFF2-40B4-BE49-F238E27FC236}">
              <a16:creationId xmlns:a16="http://schemas.microsoft.com/office/drawing/2014/main" id="{C063D804-3975-47B4-A78B-4B651B7CE428}"/>
            </a:ext>
          </a:extLst>
        </xdr:cNvPr>
        <xdr:cNvCxnSpPr/>
      </xdr:nvCxnSpPr>
      <xdr:spPr>
        <a:xfrm flipV="1">
          <a:off x="5759903" y="71535472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6804</xdr:colOff>
      <xdr:row>225</xdr:row>
      <xdr:rowOff>149679</xdr:rowOff>
    </xdr:from>
    <xdr:to>
      <xdr:col>17</xdr:col>
      <xdr:colOff>13607</xdr:colOff>
      <xdr:row>225</xdr:row>
      <xdr:rowOff>163286</xdr:rowOff>
    </xdr:to>
    <xdr:cxnSp macro="">
      <xdr:nvCxnSpPr>
        <xdr:cNvPr id="198" name="ลูกศรเชื่อมต่อแบบตรง 197">
          <a:extLst>
            <a:ext uri="{FF2B5EF4-FFF2-40B4-BE49-F238E27FC236}">
              <a16:creationId xmlns:a16="http://schemas.microsoft.com/office/drawing/2014/main" id="{518E153D-F87B-4989-8702-E88CDCBFD674}"/>
            </a:ext>
          </a:extLst>
        </xdr:cNvPr>
        <xdr:cNvCxnSpPr/>
      </xdr:nvCxnSpPr>
      <xdr:spPr>
        <a:xfrm flipV="1">
          <a:off x="5769429" y="71825304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519794</xdr:colOff>
      <xdr:row>226</xdr:row>
      <xdr:rowOff>166008</xdr:rowOff>
    </xdr:from>
    <xdr:to>
      <xdr:col>17</xdr:col>
      <xdr:colOff>2722</xdr:colOff>
      <xdr:row>226</xdr:row>
      <xdr:rowOff>179615</xdr:rowOff>
    </xdr:to>
    <xdr:cxnSp macro="">
      <xdr:nvCxnSpPr>
        <xdr:cNvPr id="199" name="ลูกศรเชื่อมต่อแบบตรง 198">
          <a:extLst>
            <a:ext uri="{FF2B5EF4-FFF2-40B4-BE49-F238E27FC236}">
              <a16:creationId xmlns:a16="http://schemas.microsoft.com/office/drawing/2014/main" id="{7D940676-F7AC-4EDB-AFAB-C2B84BEDF593}"/>
            </a:ext>
          </a:extLst>
        </xdr:cNvPr>
        <xdr:cNvCxnSpPr/>
      </xdr:nvCxnSpPr>
      <xdr:spPr>
        <a:xfrm flipV="1">
          <a:off x="5758544" y="72108333"/>
          <a:ext cx="355010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134472</xdr:rowOff>
    </xdr:from>
    <xdr:to>
      <xdr:col>16</xdr:col>
      <xdr:colOff>288151</xdr:colOff>
      <xdr:row>7</xdr:row>
      <xdr:rowOff>148079</xdr:rowOff>
    </xdr:to>
    <xdr:cxnSp macro="">
      <xdr:nvCxnSpPr>
        <xdr:cNvPr id="27" name="ลูกศรเชื่อมต่อแบบตรง 26">
          <a:extLst>
            <a:ext uri="{FF2B5EF4-FFF2-40B4-BE49-F238E27FC236}">
              <a16:creationId xmlns:a16="http://schemas.microsoft.com/office/drawing/2014/main" id="{8115D72E-D24B-4276-97CD-D01D5480292C}"/>
            </a:ext>
          </a:extLst>
        </xdr:cNvPr>
        <xdr:cNvCxnSpPr/>
      </xdr:nvCxnSpPr>
      <xdr:spPr>
        <a:xfrm flipV="1">
          <a:off x="5513294" y="1546413"/>
          <a:ext cx="3493033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3448</xdr:colOff>
      <xdr:row>8</xdr:row>
      <xdr:rowOff>124993</xdr:rowOff>
    </xdr:from>
    <xdr:to>
      <xdr:col>16</xdr:col>
      <xdr:colOff>291599</xdr:colOff>
      <xdr:row>8</xdr:row>
      <xdr:rowOff>138600</xdr:rowOff>
    </xdr:to>
    <xdr:cxnSp macro="">
      <xdr:nvCxnSpPr>
        <xdr:cNvPr id="28" name="ลูกศรเชื่อมต่อแบบตรง 27">
          <a:extLst>
            <a:ext uri="{FF2B5EF4-FFF2-40B4-BE49-F238E27FC236}">
              <a16:creationId xmlns:a16="http://schemas.microsoft.com/office/drawing/2014/main" id="{19F762B9-A035-456A-BE07-B38CA516BA84}"/>
            </a:ext>
          </a:extLst>
        </xdr:cNvPr>
        <xdr:cNvCxnSpPr/>
      </xdr:nvCxnSpPr>
      <xdr:spPr>
        <a:xfrm flipV="1">
          <a:off x="5513294" y="1839493"/>
          <a:ext cx="3511997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3447</xdr:colOff>
      <xdr:row>9</xdr:row>
      <xdr:rowOff>124990</xdr:rowOff>
    </xdr:from>
    <xdr:to>
      <xdr:col>16</xdr:col>
      <xdr:colOff>291598</xdr:colOff>
      <xdr:row>9</xdr:row>
      <xdr:rowOff>138597</xdr:rowOff>
    </xdr:to>
    <xdr:cxnSp macro="">
      <xdr:nvCxnSpPr>
        <xdr:cNvPr id="29" name="ลูกศรเชื่อมต่อแบบตรง 28">
          <a:extLst>
            <a:ext uri="{FF2B5EF4-FFF2-40B4-BE49-F238E27FC236}">
              <a16:creationId xmlns:a16="http://schemas.microsoft.com/office/drawing/2014/main" id="{C6ABC8B2-D5D9-43A2-9070-F636C0FD1207}"/>
            </a:ext>
          </a:extLst>
        </xdr:cNvPr>
        <xdr:cNvCxnSpPr/>
      </xdr:nvCxnSpPr>
      <xdr:spPr>
        <a:xfrm flipV="1">
          <a:off x="5513293" y="2103259"/>
          <a:ext cx="3511997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6895</xdr:colOff>
      <xdr:row>10</xdr:row>
      <xdr:rowOff>115511</xdr:rowOff>
    </xdr:from>
    <xdr:to>
      <xdr:col>17</xdr:col>
      <xdr:colOff>0</xdr:colOff>
      <xdr:row>10</xdr:row>
      <xdr:rowOff>129118</xdr:rowOff>
    </xdr:to>
    <xdr:cxnSp macro="">
      <xdr:nvCxnSpPr>
        <xdr:cNvPr id="30" name="ลูกศรเชื่อมต่อแบบตรง 29">
          <a:extLst>
            <a:ext uri="{FF2B5EF4-FFF2-40B4-BE49-F238E27FC236}">
              <a16:creationId xmlns:a16="http://schemas.microsoft.com/office/drawing/2014/main" id="{410F8788-2D79-4DED-AA1D-A5D5A0AEBE24}"/>
            </a:ext>
          </a:extLst>
        </xdr:cNvPr>
        <xdr:cNvCxnSpPr/>
      </xdr:nvCxnSpPr>
      <xdr:spPr>
        <a:xfrm flipV="1">
          <a:off x="5516741" y="2357549"/>
          <a:ext cx="3511997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11</xdr:row>
      <xdr:rowOff>132317</xdr:rowOff>
    </xdr:from>
    <xdr:to>
      <xdr:col>16</xdr:col>
      <xdr:colOff>276944</xdr:colOff>
      <xdr:row>11</xdr:row>
      <xdr:rowOff>145924</xdr:rowOff>
    </xdr:to>
    <xdr:cxnSp macro="">
      <xdr:nvCxnSpPr>
        <xdr:cNvPr id="31" name="ลูกศรเชื่อมต่อแบบตรง 30">
          <a:extLst>
            <a:ext uri="{FF2B5EF4-FFF2-40B4-BE49-F238E27FC236}">
              <a16:creationId xmlns:a16="http://schemas.microsoft.com/office/drawing/2014/main" id="{00E86799-2053-4786-BB53-2404F0F6203A}"/>
            </a:ext>
          </a:extLst>
        </xdr:cNvPr>
        <xdr:cNvCxnSpPr/>
      </xdr:nvCxnSpPr>
      <xdr:spPr>
        <a:xfrm flipV="1">
          <a:off x="5498639" y="2638125"/>
          <a:ext cx="3511997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12</xdr:row>
      <xdr:rowOff>122838</xdr:rowOff>
    </xdr:from>
    <xdr:to>
      <xdr:col>16</xdr:col>
      <xdr:colOff>280392</xdr:colOff>
      <xdr:row>12</xdr:row>
      <xdr:rowOff>136445</xdr:rowOff>
    </xdr:to>
    <xdr:cxnSp macro="">
      <xdr:nvCxnSpPr>
        <xdr:cNvPr id="32" name="ลูกศรเชื่อมต่อแบบตรง 31">
          <a:extLst>
            <a:ext uri="{FF2B5EF4-FFF2-40B4-BE49-F238E27FC236}">
              <a16:creationId xmlns:a16="http://schemas.microsoft.com/office/drawing/2014/main" id="{C5952B4E-7410-49A0-8335-6A7D7D32B0BC}"/>
            </a:ext>
          </a:extLst>
        </xdr:cNvPr>
        <xdr:cNvCxnSpPr/>
      </xdr:nvCxnSpPr>
      <xdr:spPr>
        <a:xfrm flipV="1">
          <a:off x="5502087" y="2892415"/>
          <a:ext cx="3511997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13</xdr:row>
      <xdr:rowOff>122835</xdr:rowOff>
    </xdr:from>
    <xdr:to>
      <xdr:col>16</xdr:col>
      <xdr:colOff>280391</xdr:colOff>
      <xdr:row>13</xdr:row>
      <xdr:rowOff>136442</xdr:rowOff>
    </xdr:to>
    <xdr:cxnSp macro="">
      <xdr:nvCxnSpPr>
        <xdr:cNvPr id="33" name="ลูกศรเชื่อมต่อแบบตรง 32">
          <a:extLst>
            <a:ext uri="{FF2B5EF4-FFF2-40B4-BE49-F238E27FC236}">
              <a16:creationId xmlns:a16="http://schemas.microsoft.com/office/drawing/2014/main" id="{5AACC8D3-8CD5-4DD2-8A6A-56ACC0087D9F}"/>
            </a:ext>
          </a:extLst>
        </xdr:cNvPr>
        <xdr:cNvCxnSpPr/>
      </xdr:nvCxnSpPr>
      <xdr:spPr>
        <a:xfrm flipV="1">
          <a:off x="5502086" y="3156181"/>
          <a:ext cx="3511997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14</xdr:row>
      <xdr:rowOff>113356</xdr:rowOff>
    </xdr:from>
    <xdr:to>
      <xdr:col>16</xdr:col>
      <xdr:colOff>283839</xdr:colOff>
      <xdr:row>14</xdr:row>
      <xdr:rowOff>126963</xdr:rowOff>
    </xdr:to>
    <xdr:cxnSp macro="">
      <xdr:nvCxnSpPr>
        <xdr:cNvPr id="34" name="ลูกศรเชื่อมต่อแบบตรง 33">
          <a:extLst>
            <a:ext uri="{FF2B5EF4-FFF2-40B4-BE49-F238E27FC236}">
              <a16:creationId xmlns:a16="http://schemas.microsoft.com/office/drawing/2014/main" id="{3B6000D1-0EA5-4F39-B091-8FFC1EBDCFFA}"/>
            </a:ext>
          </a:extLst>
        </xdr:cNvPr>
        <xdr:cNvCxnSpPr/>
      </xdr:nvCxnSpPr>
      <xdr:spPr>
        <a:xfrm flipV="1">
          <a:off x="5505534" y="3410471"/>
          <a:ext cx="3511997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9308</xdr:colOff>
      <xdr:row>15</xdr:row>
      <xdr:rowOff>145505</xdr:rowOff>
    </xdr:from>
    <xdr:to>
      <xdr:col>17</xdr:col>
      <xdr:colOff>0</xdr:colOff>
      <xdr:row>15</xdr:row>
      <xdr:rowOff>159112</xdr:rowOff>
    </xdr:to>
    <xdr:cxnSp macro="">
      <xdr:nvCxnSpPr>
        <xdr:cNvPr id="35" name="ลูกศรเชื่อมต่อแบบตรง 34">
          <a:extLst>
            <a:ext uri="{FF2B5EF4-FFF2-40B4-BE49-F238E27FC236}">
              <a16:creationId xmlns:a16="http://schemas.microsoft.com/office/drawing/2014/main" id="{BC88494E-A9C5-4291-8324-39506D01AFA1}"/>
            </a:ext>
          </a:extLst>
        </xdr:cNvPr>
        <xdr:cNvCxnSpPr/>
      </xdr:nvCxnSpPr>
      <xdr:spPr>
        <a:xfrm flipV="1">
          <a:off x="5519154" y="3706390"/>
          <a:ext cx="3511997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12756</xdr:colOff>
      <xdr:row>16</xdr:row>
      <xdr:rowOff>136026</xdr:rowOff>
    </xdr:from>
    <xdr:to>
      <xdr:col>17</xdr:col>
      <xdr:colOff>0</xdr:colOff>
      <xdr:row>16</xdr:row>
      <xdr:rowOff>149633</xdr:rowOff>
    </xdr:to>
    <xdr:cxnSp macro="">
      <xdr:nvCxnSpPr>
        <xdr:cNvPr id="36" name="ลูกศรเชื่อมต่อแบบตรง 35">
          <a:extLst>
            <a:ext uri="{FF2B5EF4-FFF2-40B4-BE49-F238E27FC236}">
              <a16:creationId xmlns:a16="http://schemas.microsoft.com/office/drawing/2014/main" id="{F39F2B0E-EC26-4E2A-B2F1-064C649A1F4F}"/>
            </a:ext>
          </a:extLst>
        </xdr:cNvPr>
        <xdr:cNvCxnSpPr/>
      </xdr:nvCxnSpPr>
      <xdr:spPr>
        <a:xfrm flipV="1">
          <a:off x="5522602" y="3960680"/>
          <a:ext cx="3511997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12755</xdr:colOff>
      <xdr:row>17</xdr:row>
      <xdr:rowOff>136023</xdr:rowOff>
    </xdr:from>
    <xdr:to>
      <xdr:col>17</xdr:col>
      <xdr:colOff>0</xdr:colOff>
      <xdr:row>17</xdr:row>
      <xdr:rowOff>149630</xdr:rowOff>
    </xdr:to>
    <xdr:cxnSp macro="">
      <xdr:nvCxnSpPr>
        <xdr:cNvPr id="37" name="ลูกศรเชื่อมต่อแบบตรง 36">
          <a:extLst>
            <a:ext uri="{FF2B5EF4-FFF2-40B4-BE49-F238E27FC236}">
              <a16:creationId xmlns:a16="http://schemas.microsoft.com/office/drawing/2014/main" id="{4B637F99-A24C-4CB8-8D1B-E461E4E6BA41}"/>
            </a:ext>
          </a:extLst>
        </xdr:cNvPr>
        <xdr:cNvCxnSpPr/>
      </xdr:nvCxnSpPr>
      <xdr:spPr>
        <a:xfrm flipV="1">
          <a:off x="5522601" y="4224446"/>
          <a:ext cx="3511997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16203</xdr:colOff>
      <xdr:row>18</xdr:row>
      <xdr:rowOff>126544</xdr:rowOff>
    </xdr:from>
    <xdr:to>
      <xdr:col>17</xdr:col>
      <xdr:colOff>0</xdr:colOff>
      <xdr:row>18</xdr:row>
      <xdr:rowOff>140151</xdr:rowOff>
    </xdr:to>
    <xdr:cxnSp macro="">
      <xdr:nvCxnSpPr>
        <xdr:cNvPr id="38" name="ลูกศรเชื่อมต่อแบบตรง 37">
          <a:extLst>
            <a:ext uri="{FF2B5EF4-FFF2-40B4-BE49-F238E27FC236}">
              <a16:creationId xmlns:a16="http://schemas.microsoft.com/office/drawing/2014/main" id="{9BC885B4-C890-4F67-BF85-C8FE4A2CF126}"/>
            </a:ext>
          </a:extLst>
        </xdr:cNvPr>
        <xdr:cNvCxnSpPr/>
      </xdr:nvCxnSpPr>
      <xdr:spPr>
        <a:xfrm flipV="1">
          <a:off x="5526049" y="4478736"/>
          <a:ext cx="3511997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21</xdr:row>
      <xdr:rowOff>122835</xdr:rowOff>
    </xdr:from>
    <xdr:to>
      <xdr:col>16</xdr:col>
      <xdr:colOff>284271</xdr:colOff>
      <xdr:row>21</xdr:row>
      <xdr:rowOff>136442</xdr:rowOff>
    </xdr:to>
    <xdr:cxnSp macro="">
      <xdr:nvCxnSpPr>
        <xdr:cNvPr id="52" name="ลูกศรเชื่อมต่อแบบตรง 51">
          <a:extLst>
            <a:ext uri="{FF2B5EF4-FFF2-40B4-BE49-F238E27FC236}">
              <a16:creationId xmlns:a16="http://schemas.microsoft.com/office/drawing/2014/main" id="{B27ED4E5-9CA9-4186-9555-7D40066855EF}"/>
            </a:ext>
          </a:extLst>
        </xdr:cNvPr>
        <xdr:cNvCxnSpPr/>
      </xdr:nvCxnSpPr>
      <xdr:spPr>
        <a:xfrm flipV="1">
          <a:off x="5505966" y="5266335"/>
          <a:ext cx="3511997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22</xdr:row>
      <xdr:rowOff>113356</xdr:rowOff>
    </xdr:from>
    <xdr:to>
      <xdr:col>16</xdr:col>
      <xdr:colOff>287719</xdr:colOff>
      <xdr:row>22</xdr:row>
      <xdr:rowOff>126963</xdr:rowOff>
    </xdr:to>
    <xdr:cxnSp macro="">
      <xdr:nvCxnSpPr>
        <xdr:cNvPr id="53" name="ลูกศรเชื่อมต่อแบบตรง 52">
          <a:extLst>
            <a:ext uri="{FF2B5EF4-FFF2-40B4-BE49-F238E27FC236}">
              <a16:creationId xmlns:a16="http://schemas.microsoft.com/office/drawing/2014/main" id="{22B7A3F4-AC77-4B3E-A84F-E422771DF7BF}"/>
            </a:ext>
          </a:extLst>
        </xdr:cNvPr>
        <xdr:cNvCxnSpPr/>
      </xdr:nvCxnSpPr>
      <xdr:spPr>
        <a:xfrm flipV="1">
          <a:off x="5509414" y="5520625"/>
          <a:ext cx="3511997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23</xdr:row>
      <xdr:rowOff>130163</xdr:rowOff>
    </xdr:from>
    <xdr:to>
      <xdr:col>16</xdr:col>
      <xdr:colOff>269617</xdr:colOff>
      <xdr:row>23</xdr:row>
      <xdr:rowOff>143770</xdr:rowOff>
    </xdr:to>
    <xdr:cxnSp macro="">
      <xdr:nvCxnSpPr>
        <xdr:cNvPr id="54" name="ลูกศรเชื่อมต่อแบบตรง 53">
          <a:extLst>
            <a:ext uri="{FF2B5EF4-FFF2-40B4-BE49-F238E27FC236}">
              <a16:creationId xmlns:a16="http://schemas.microsoft.com/office/drawing/2014/main" id="{AC9F3952-7207-40B2-9DAB-BD660E30E1BB}"/>
            </a:ext>
          </a:extLst>
        </xdr:cNvPr>
        <xdr:cNvCxnSpPr/>
      </xdr:nvCxnSpPr>
      <xdr:spPr>
        <a:xfrm flipV="1">
          <a:off x="5491312" y="5801201"/>
          <a:ext cx="3511997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24</xdr:row>
      <xdr:rowOff>120683</xdr:rowOff>
    </xdr:from>
    <xdr:to>
      <xdr:col>16</xdr:col>
      <xdr:colOff>273065</xdr:colOff>
      <xdr:row>24</xdr:row>
      <xdr:rowOff>134290</xdr:rowOff>
    </xdr:to>
    <xdr:cxnSp macro="">
      <xdr:nvCxnSpPr>
        <xdr:cNvPr id="55" name="ลูกศรเชื่อมต่อแบบตรง 54">
          <a:extLst>
            <a:ext uri="{FF2B5EF4-FFF2-40B4-BE49-F238E27FC236}">
              <a16:creationId xmlns:a16="http://schemas.microsoft.com/office/drawing/2014/main" id="{CB28E30E-76AA-4809-B6B9-66C672DE7832}"/>
            </a:ext>
          </a:extLst>
        </xdr:cNvPr>
        <xdr:cNvCxnSpPr/>
      </xdr:nvCxnSpPr>
      <xdr:spPr>
        <a:xfrm flipV="1">
          <a:off x="5494760" y="6055491"/>
          <a:ext cx="3511997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1981</xdr:colOff>
      <xdr:row>27</xdr:row>
      <xdr:rowOff>143351</xdr:rowOff>
    </xdr:from>
    <xdr:to>
      <xdr:col>16</xdr:col>
      <xdr:colOff>290132</xdr:colOff>
      <xdr:row>27</xdr:row>
      <xdr:rowOff>156958</xdr:rowOff>
    </xdr:to>
    <xdr:cxnSp macro="">
      <xdr:nvCxnSpPr>
        <xdr:cNvPr id="58" name="ลูกศรเชื่อมต่อแบบตรง 57">
          <a:extLst>
            <a:ext uri="{FF2B5EF4-FFF2-40B4-BE49-F238E27FC236}">
              <a16:creationId xmlns:a16="http://schemas.microsoft.com/office/drawing/2014/main" id="{BE5F5E0F-05A2-42E3-9FA6-7C32C0FC65F9}"/>
            </a:ext>
          </a:extLst>
        </xdr:cNvPr>
        <xdr:cNvCxnSpPr/>
      </xdr:nvCxnSpPr>
      <xdr:spPr>
        <a:xfrm flipV="1">
          <a:off x="5511827" y="6869466"/>
          <a:ext cx="3511997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5429</xdr:colOff>
      <xdr:row>28</xdr:row>
      <xdr:rowOff>133871</xdr:rowOff>
    </xdr:from>
    <xdr:to>
      <xdr:col>17</xdr:col>
      <xdr:colOff>0</xdr:colOff>
      <xdr:row>28</xdr:row>
      <xdr:rowOff>147478</xdr:rowOff>
    </xdr:to>
    <xdr:cxnSp macro="">
      <xdr:nvCxnSpPr>
        <xdr:cNvPr id="59" name="ลูกศรเชื่อมต่อแบบตรง 58">
          <a:extLst>
            <a:ext uri="{FF2B5EF4-FFF2-40B4-BE49-F238E27FC236}">
              <a16:creationId xmlns:a16="http://schemas.microsoft.com/office/drawing/2014/main" id="{C902E34E-9B73-4531-B666-E4A5751B7A8D}"/>
            </a:ext>
          </a:extLst>
        </xdr:cNvPr>
        <xdr:cNvCxnSpPr/>
      </xdr:nvCxnSpPr>
      <xdr:spPr>
        <a:xfrm flipV="1">
          <a:off x="5515275" y="7123756"/>
          <a:ext cx="3511997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5428</xdr:colOff>
      <xdr:row>29</xdr:row>
      <xdr:rowOff>133868</xdr:rowOff>
    </xdr:from>
    <xdr:to>
      <xdr:col>17</xdr:col>
      <xdr:colOff>0</xdr:colOff>
      <xdr:row>29</xdr:row>
      <xdr:rowOff>147475</xdr:rowOff>
    </xdr:to>
    <xdr:cxnSp macro="">
      <xdr:nvCxnSpPr>
        <xdr:cNvPr id="60" name="ลูกศรเชื่อมต่อแบบตรง 59">
          <a:extLst>
            <a:ext uri="{FF2B5EF4-FFF2-40B4-BE49-F238E27FC236}">
              <a16:creationId xmlns:a16="http://schemas.microsoft.com/office/drawing/2014/main" id="{532179DF-D56E-4556-9E97-4215C5E7CDB3}"/>
            </a:ext>
          </a:extLst>
        </xdr:cNvPr>
        <xdr:cNvCxnSpPr/>
      </xdr:nvCxnSpPr>
      <xdr:spPr>
        <a:xfrm flipV="1">
          <a:off x="5515274" y="7387522"/>
          <a:ext cx="3511997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9308</xdr:colOff>
      <xdr:row>32</xdr:row>
      <xdr:rowOff>143355</xdr:rowOff>
    </xdr:from>
    <xdr:to>
      <xdr:col>17</xdr:col>
      <xdr:colOff>0</xdr:colOff>
      <xdr:row>32</xdr:row>
      <xdr:rowOff>156962</xdr:rowOff>
    </xdr:to>
    <xdr:cxnSp macro="">
      <xdr:nvCxnSpPr>
        <xdr:cNvPr id="64" name="ลูกศรเชื่อมต่อแบบตรง 63">
          <a:extLst>
            <a:ext uri="{FF2B5EF4-FFF2-40B4-BE49-F238E27FC236}">
              <a16:creationId xmlns:a16="http://schemas.microsoft.com/office/drawing/2014/main" id="{361CD7F6-3B75-4860-BB61-7E54B63740BA}"/>
            </a:ext>
          </a:extLst>
        </xdr:cNvPr>
        <xdr:cNvCxnSpPr/>
      </xdr:nvCxnSpPr>
      <xdr:spPr>
        <a:xfrm flipV="1">
          <a:off x="5519154" y="8452086"/>
          <a:ext cx="3511997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12756</xdr:colOff>
      <xdr:row>33</xdr:row>
      <xdr:rowOff>133876</xdr:rowOff>
    </xdr:from>
    <xdr:to>
      <xdr:col>17</xdr:col>
      <xdr:colOff>0</xdr:colOff>
      <xdr:row>33</xdr:row>
      <xdr:rowOff>147483</xdr:rowOff>
    </xdr:to>
    <xdr:cxnSp macro="">
      <xdr:nvCxnSpPr>
        <xdr:cNvPr id="65" name="ลูกศรเชื่อมต่อแบบตรง 64">
          <a:extLst>
            <a:ext uri="{FF2B5EF4-FFF2-40B4-BE49-F238E27FC236}">
              <a16:creationId xmlns:a16="http://schemas.microsoft.com/office/drawing/2014/main" id="{1D72EEAC-C8A2-4AD7-967D-B6CED0AD504B}"/>
            </a:ext>
          </a:extLst>
        </xdr:cNvPr>
        <xdr:cNvCxnSpPr/>
      </xdr:nvCxnSpPr>
      <xdr:spPr>
        <a:xfrm flipV="1">
          <a:off x="5522602" y="8706376"/>
          <a:ext cx="3511997" cy="13607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29308</xdr:colOff>
      <xdr:row>78</xdr:row>
      <xdr:rowOff>36632</xdr:rowOff>
    </xdr:from>
    <xdr:to>
      <xdr:col>14</xdr:col>
      <xdr:colOff>75027</xdr:colOff>
      <xdr:row>85</xdr:row>
      <xdr:rowOff>227135</xdr:rowOff>
    </xdr:to>
    <xdr:sp macro="" textlink="">
      <xdr:nvSpPr>
        <xdr:cNvPr id="2" name="วงเล็บปีกกาขวา 1">
          <a:extLst>
            <a:ext uri="{FF2B5EF4-FFF2-40B4-BE49-F238E27FC236}">
              <a16:creationId xmlns:a16="http://schemas.microsoft.com/office/drawing/2014/main" id="{BC1AAF4A-11DA-4FFA-896F-DCC96ED195F2}"/>
            </a:ext>
          </a:extLst>
        </xdr:cNvPr>
        <xdr:cNvSpPr/>
      </xdr:nvSpPr>
      <xdr:spPr>
        <a:xfrm>
          <a:off x="9116158" y="10637957"/>
          <a:ext cx="45719" cy="1562103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</xdr:col>
      <xdr:colOff>1714953</xdr:colOff>
      <xdr:row>157</xdr:row>
      <xdr:rowOff>65314</xdr:rowOff>
    </xdr:from>
    <xdr:to>
      <xdr:col>1</xdr:col>
      <xdr:colOff>1848303</xdr:colOff>
      <xdr:row>159</xdr:row>
      <xdr:rowOff>175078</xdr:rowOff>
    </xdr:to>
    <xdr:sp macro="" textlink="">
      <xdr:nvSpPr>
        <xdr:cNvPr id="3" name="วงเล็บปีกกาขวา 2">
          <a:extLst>
            <a:ext uri="{FF2B5EF4-FFF2-40B4-BE49-F238E27FC236}">
              <a16:creationId xmlns:a16="http://schemas.microsoft.com/office/drawing/2014/main" id="{EC1F9A68-8870-47C0-B12F-F83CF0387CE6}"/>
            </a:ext>
          </a:extLst>
        </xdr:cNvPr>
        <xdr:cNvSpPr/>
      </xdr:nvSpPr>
      <xdr:spPr>
        <a:xfrm>
          <a:off x="1962603" y="28545064"/>
          <a:ext cx="133350" cy="509814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</xdr:col>
      <xdr:colOff>1901825</xdr:colOff>
      <xdr:row>158</xdr:row>
      <xdr:rowOff>6802</xdr:rowOff>
    </xdr:from>
    <xdr:to>
      <xdr:col>1</xdr:col>
      <xdr:colOff>3070225</xdr:colOff>
      <xdr:row>159</xdr:row>
      <xdr:rowOff>26760</xdr:rowOff>
    </xdr:to>
    <xdr:sp macro="" textlink="">
      <xdr:nvSpPr>
        <xdr:cNvPr id="4" name="TextBox 12">
          <a:extLst>
            <a:ext uri="{FF2B5EF4-FFF2-40B4-BE49-F238E27FC236}">
              <a16:creationId xmlns:a16="http://schemas.microsoft.com/office/drawing/2014/main" id="{47536912-7B7F-44E5-AE20-E5B960367A59}"/>
            </a:ext>
          </a:extLst>
        </xdr:cNvPr>
        <xdr:cNvSpPr txBox="1"/>
      </xdr:nvSpPr>
      <xdr:spPr>
        <a:xfrm>
          <a:off x="2149475" y="28686577"/>
          <a:ext cx="1168400" cy="2199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th-TH" sz="1200">
              <a:latin typeface="TH SarabunPSK" pitchFamily="34" charset="-34"/>
              <a:cs typeface="TH SarabunPSK" pitchFamily="34" charset="-34"/>
            </a:rPr>
            <a:t>ปรับภูมิทัศน์ข่วงนคร</a:t>
          </a:r>
        </a:p>
        <a:p>
          <a:endParaRPr lang="th-TH" sz="1200">
            <a:latin typeface="TH SarabunPSK" pitchFamily="34" charset="-34"/>
            <a:cs typeface="TH SarabunPSK" pitchFamily="34" charset="-34"/>
          </a:endParaRPr>
        </a:p>
      </xdr:txBody>
    </xdr:sp>
    <xdr:clientData/>
  </xdr:twoCellAnchor>
  <xdr:twoCellAnchor>
    <xdr:from>
      <xdr:col>1</xdr:col>
      <xdr:colOff>1606547</xdr:colOff>
      <xdr:row>161</xdr:row>
      <xdr:rowOff>88901</xdr:rowOff>
    </xdr:from>
    <xdr:to>
      <xdr:col>1</xdr:col>
      <xdr:colOff>3422198</xdr:colOff>
      <xdr:row>162</xdr:row>
      <xdr:rowOff>95250</xdr:rowOff>
    </xdr:to>
    <xdr:sp macro="" textlink="">
      <xdr:nvSpPr>
        <xdr:cNvPr id="5" name="TextBox 13">
          <a:extLst>
            <a:ext uri="{FF2B5EF4-FFF2-40B4-BE49-F238E27FC236}">
              <a16:creationId xmlns:a16="http://schemas.microsoft.com/office/drawing/2014/main" id="{35FF6D84-0B06-41E0-A462-E55530C56BDB}"/>
            </a:ext>
          </a:extLst>
        </xdr:cNvPr>
        <xdr:cNvSpPr txBox="1"/>
      </xdr:nvSpPr>
      <xdr:spPr>
        <a:xfrm>
          <a:off x="1854197" y="29368751"/>
          <a:ext cx="1815651" cy="206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th-TH" sz="1200">
              <a:latin typeface="TH SarabunPSK" pitchFamily="34" charset="-34"/>
              <a:cs typeface="TH SarabunPSK" pitchFamily="34" charset="-34"/>
            </a:rPr>
            <a:t>ปรับภูมิทัศน์ข่วงนคร ร้านอาหารสวนห้าแยก</a:t>
          </a:r>
        </a:p>
        <a:p>
          <a:endParaRPr lang="th-TH" sz="1200">
            <a:latin typeface="TH SarabunPSK" pitchFamily="34" charset="-34"/>
            <a:cs typeface="TH SarabunPSK" pitchFamily="34" charset="-34"/>
          </a:endParaRPr>
        </a:p>
      </xdr:txBody>
    </xdr:sp>
    <xdr:clientData/>
  </xdr:twoCellAnchor>
  <xdr:twoCellAnchor>
    <xdr:from>
      <xdr:col>1</xdr:col>
      <xdr:colOff>1467304</xdr:colOff>
      <xdr:row>160</xdr:row>
      <xdr:rowOff>18143</xdr:rowOff>
    </xdr:from>
    <xdr:to>
      <xdr:col>1</xdr:col>
      <xdr:colOff>1568904</xdr:colOff>
      <xdr:row>163</xdr:row>
      <xdr:rowOff>0</xdr:rowOff>
    </xdr:to>
    <xdr:sp macro="" textlink="">
      <xdr:nvSpPr>
        <xdr:cNvPr id="6" name="วงเล็บปีกกาขวา 5">
          <a:extLst>
            <a:ext uri="{FF2B5EF4-FFF2-40B4-BE49-F238E27FC236}">
              <a16:creationId xmlns:a16="http://schemas.microsoft.com/office/drawing/2014/main" id="{C09FEC61-C246-4B1A-BFB7-8771B1371F90}"/>
            </a:ext>
          </a:extLst>
        </xdr:cNvPr>
        <xdr:cNvSpPr/>
      </xdr:nvSpPr>
      <xdr:spPr>
        <a:xfrm>
          <a:off x="1714954" y="29097968"/>
          <a:ext cx="101600" cy="758826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</xdr:col>
      <xdr:colOff>850900</xdr:colOff>
      <xdr:row>139</xdr:row>
      <xdr:rowOff>76200</xdr:rowOff>
    </xdr:from>
    <xdr:to>
      <xdr:col>1</xdr:col>
      <xdr:colOff>984250</xdr:colOff>
      <xdr:row>141</xdr:row>
      <xdr:rowOff>158750</xdr:rowOff>
    </xdr:to>
    <xdr:sp macro="" textlink="">
      <xdr:nvSpPr>
        <xdr:cNvPr id="7" name="วงเล็บปีกกาขวา 6">
          <a:extLst>
            <a:ext uri="{FF2B5EF4-FFF2-40B4-BE49-F238E27FC236}">
              <a16:creationId xmlns:a16="http://schemas.microsoft.com/office/drawing/2014/main" id="{2ECCF247-9294-4133-AF80-7DECEBEEAD66}"/>
            </a:ext>
          </a:extLst>
        </xdr:cNvPr>
        <xdr:cNvSpPr/>
      </xdr:nvSpPr>
      <xdr:spPr>
        <a:xfrm>
          <a:off x="1098550" y="25136475"/>
          <a:ext cx="133350" cy="4826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</xdr:col>
      <xdr:colOff>933450</xdr:colOff>
      <xdr:row>139</xdr:row>
      <xdr:rowOff>170542</xdr:rowOff>
    </xdr:from>
    <xdr:to>
      <xdr:col>1</xdr:col>
      <xdr:colOff>3124200</xdr:colOff>
      <xdr:row>140</xdr:row>
      <xdr:rowOff>176892</xdr:rowOff>
    </xdr:to>
    <xdr:sp macro="" textlink="">
      <xdr:nvSpPr>
        <xdr:cNvPr id="8" name="TextBox 21">
          <a:extLst>
            <a:ext uri="{FF2B5EF4-FFF2-40B4-BE49-F238E27FC236}">
              <a16:creationId xmlns:a16="http://schemas.microsoft.com/office/drawing/2014/main" id="{DD5604FD-A7C9-4190-857E-AD4FCBF57E88}"/>
            </a:ext>
          </a:extLst>
        </xdr:cNvPr>
        <xdr:cNvSpPr txBox="1"/>
      </xdr:nvSpPr>
      <xdr:spPr>
        <a:xfrm>
          <a:off x="1181100" y="25230817"/>
          <a:ext cx="2190750" cy="206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th-TH" sz="1200">
              <a:latin typeface="TH SarabunPSK" pitchFamily="34" charset="-34"/>
              <a:cs typeface="TH SarabunPSK" pitchFamily="34" charset="-34"/>
            </a:rPr>
            <a:t>ปรับภูมิทัศน์ข่วงนคร (หน่วยบริการประชาชนฯ)</a:t>
          </a:r>
        </a:p>
        <a:p>
          <a:endParaRPr lang="th-TH" sz="1200">
            <a:latin typeface="TH SarabunPSK" pitchFamily="34" charset="-34"/>
            <a:cs typeface="TH SarabunPSK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53C53-A3B8-49BA-9D0D-E7AD155B9FEF}">
  <sheetPr>
    <tabColor theme="8" tint="-0.249977111117893"/>
  </sheetPr>
  <dimension ref="A1:O204"/>
  <sheetViews>
    <sheetView topLeftCell="A191" zoomScale="85" zoomScaleNormal="85" workbookViewId="0">
      <selection activeCell="O7" sqref="O7:O202"/>
    </sheetView>
  </sheetViews>
  <sheetFormatPr defaultColWidth="9" defaultRowHeight="15.75"/>
  <cols>
    <col min="1" max="1" width="3.25" style="1" bestFit="1" customWidth="1"/>
    <col min="2" max="2" width="50.5" style="1" customWidth="1"/>
    <col min="3" max="3" width="3.125" style="1" bestFit="1" customWidth="1"/>
    <col min="4" max="4" width="2.75" style="1" bestFit="1" customWidth="1"/>
    <col min="5" max="5" width="3.875" style="1" bestFit="1" customWidth="1"/>
    <col min="6" max="6" width="7.125" style="1" bestFit="1" customWidth="1"/>
    <col min="7" max="7" width="10.75" style="1" bestFit="1" customWidth="1"/>
    <col min="8" max="8" width="11.125" style="1" bestFit="1" customWidth="1"/>
    <col min="9" max="9" width="6.125" style="1" bestFit="1" customWidth="1"/>
    <col min="10" max="10" width="4.125" style="1" customWidth="1"/>
    <col min="11" max="11" width="4.375" style="1" bestFit="1" customWidth="1"/>
    <col min="12" max="13" width="3.875" style="1" bestFit="1" customWidth="1"/>
    <col min="14" max="14" width="4.375" style="1" bestFit="1" customWidth="1"/>
    <col min="15" max="15" width="10.5" style="1" customWidth="1"/>
    <col min="16" max="16384" width="9" style="1"/>
  </cols>
  <sheetData>
    <row r="1" spans="1:15" ht="21">
      <c r="A1" s="493" t="s">
        <v>467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493"/>
      <c r="M1" s="493"/>
      <c r="N1" s="493"/>
      <c r="O1" s="493"/>
    </row>
    <row r="2" spans="1:15" ht="21">
      <c r="A2" s="494" t="s">
        <v>0</v>
      </c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</row>
    <row r="3" spans="1:15">
      <c r="A3" s="495" t="s">
        <v>1</v>
      </c>
      <c r="B3" s="495" t="s">
        <v>2</v>
      </c>
      <c r="C3" s="497" t="s">
        <v>3</v>
      </c>
      <c r="D3" s="498"/>
      <c r="E3" s="499"/>
      <c r="F3" s="503" t="s">
        <v>4</v>
      </c>
      <c r="G3" s="504" t="s">
        <v>5</v>
      </c>
      <c r="H3" s="505" t="s">
        <v>6</v>
      </c>
      <c r="I3" s="506" t="s">
        <v>7</v>
      </c>
      <c r="J3" s="506"/>
      <c r="K3" s="506"/>
      <c r="L3" s="506"/>
      <c r="M3" s="506"/>
      <c r="N3" s="506"/>
      <c r="O3" s="507" t="s">
        <v>8</v>
      </c>
    </row>
    <row r="4" spans="1:15" ht="51" customHeight="1">
      <c r="A4" s="496"/>
      <c r="B4" s="496"/>
      <c r="C4" s="500"/>
      <c r="D4" s="501"/>
      <c r="E4" s="502"/>
      <c r="F4" s="503"/>
      <c r="G4" s="504"/>
      <c r="H4" s="505"/>
      <c r="I4" s="2" t="s">
        <v>9</v>
      </c>
      <c r="J4" s="2" t="s">
        <v>10</v>
      </c>
      <c r="K4" s="3" t="s">
        <v>11</v>
      </c>
      <c r="L4" s="3" t="s">
        <v>12</v>
      </c>
      <c r="M4" s="2" t="s">
        <v>13</v>
      </c>
      <c r="N4" s="2" t="s">
        <v>14</v>
      </c>
      <c r="O4" s="507"/>
    </row>
    <row r="5" spans="1:15">
      <c r="A5" s="4">
        <v>1</v>
      </c>
      <c r="B5" s="5" t="s">
        <v>15</v>
      </c>
      <c r="C5" s="6"/>
      <c r="D5" s="6"/>
      <c r="E5" s="7"/>
      <c r="F5" s="8"/>
      <c r="G5" s="9"/>
      <c r="H5" s="10"/>
      <c r="I5" s="11"/>
      <c r="J5" s="11"/>
      <c r="K5" s="12"/>
      <c r="L5" s="12"/>
      <c r="M5" s="11"/>
      <c r="N5" s="11"/>
      <c r="O5" s="7"/>
    </row>
    <row r="6" spans="1:15">
      <c r="A6" s="13" t="s">
        <v>16</v>
      </c>
      <c r="B6" s="14" t="s">
        <v>17</v>
      </c>
      <c r="C6" s="15"/>
      <c r="D6" s="16"/>
      <c r="E6" s="17"/>
      <c r="F6" s="18"/>
      <c r="G6" s="19"/>
      <c r="H6" s="20"/>
      <c r="I6" s="21"/>
      <c r="J6" s="22"/>
      <c r="K6" s="22"/>
      <c r="L6" s="23"/>
      <c r="M6" s="22"/>
      <c r="N6" s="22"/>
      <c r="O6" s="24"/>
    </row>
    <row r="7" spans="1:15">
      <c r="A7" s="25">
        <v>1</v>
      </c>
      <c r="B7" s="26" t="s">
        <v>18</v>
      </c>
      <c r="C7" s="27">
        <v>400</v>
      </c>
      <c r="D7" s="28">
        <v>19</v>
      </c>
      <c r="E7" s="29" t="s">
        <v>19</v>
      </c>
      <c r="F7" s="30" t="s">
        <v>20</v>
      </c>
      <c r="G7" s="31"/>
      <c r="H7" s="32" t="s">
        <v>21</v>
      </c>
      <c r="I7" s="33">
        <v>1</v>
      </c>
      <c r="J7" s="22"/>
      <c r="K7" s="22"/>
      <c r="L7" s="22"/>
      <c r="M7" s="22"/>
      <c r="N7" s="22"/>
      <c r="O7" s="24" t="s">
        <v>22</v>
      </c>
    </row>
    <row r="8" spans="1:15">
      <c r="A8" s="25">
        <v>4</v>
      </c>
      <c r="B8" s="34" t="s">
        <v>30</v>
      </c>
      <c r="C8" s="35" t="s">
        <v>16</v>
      </c>
      <c r="D8" s="16">
        <v>38</v>
      </c>
      <c r="E8" s="29" t="s">
        <v>31</v>
      </c>
      <c r="F8" s="18" t="s">
        <v>32</v>
      </c>
      <c r="G8" s="36">
        <v>12915</v>
      </c>
      <c r="H8" s="32" t="s">
        <v>21</v>
      </c>
      <c r="I8" s="33">
        <v>1</v>
      </c>
      <c r="J8" s="22"/>
      <c r="K8" s="22"/>
      <c r="L8" s="22"/>
      <c r="M8" s="22"/>
      <c r="O8" s="24"/>
    </row>
    <row r="9" spans="1:15">
      <c r="A9" s="25">
        <v>23</v>
      </c>
      <c r="B9" s="37" t="s">
        <v>72</v>
      </c>
      <c r="C9" s="15" t="s">
        <v>16</v>
      </c>
      <c r="D9" s="16">
        <v>57</v>
      </c>
      <c r="E9" s="29" t="s">
        <v>73</v>
      </c>
      <c r="F9" s="18" t="s">
        <v>74</v>
      </c>
      <c r="G9" s="38">
        <v>11770</v>
      </c>
      <c r="H9" s="32" t="s">
        <v>26</v>
      </c>
      <c r="I9" s="33">
        <v>1</v>
      </c>
      <c r="J9" s="22"/>
      <c r="K9" s="22"/>
      <c r="L9" s="22"/>
      <c r="M9" s="22"/>
      <c r="N9" s="22"/>
      <c r="O9" s="24"/>
    </row>
    <row r="10" spans="1:15">
      <c r="A10" s="25">
        <v>24</v>
      </c>
      <c r="B10" s="251" t="s">
        <v>603</v>
      </c>
      <c r="C10" s="252">
        <v>400</v>
      </c>
      <c r="D10" s="253">
        <v>67</v>
      </c>
      <c r="E10" s="254" t="s">
        <v>566</v>
      </c>
      <c r="F10" s="255"/>
      <c r="G10" s="256">
        <v>9400</v>
      </c>
      <c r="H10" s="257" t="s">
        <v>21</v>
      </c>
      <c r="I10" s="258">
        <v>1</v>
      </c>
      <c r="J10" s="259"/>
      <c r="K10" s="259"/>
      <c r="L10" s="259"/>
      <c r="M10" s="259"/>
      <c r="N10" s="259"/>
      <c r="O10" s="257" t="s">
        <v>368</v>
      </c>
    </row>
    <row r="11" spans="1:15">
      <c r="A11" s="25">
        <v>25</v>
      </c>
      <c r="B11" s="251" t="s">
        <v>603</v>
      </c>
      <c r="C11" s="252">
        <v>400</v>
      </c>
      <c r="D11" s="253">
        <v>67</v>
      </c>
      <c r="E11" s="254" t="s">
        <v>567</v>
      </c>
      <c r="F11" s="260"/>
      <c r="G11" s="256">
        <v>9400</v>
      </c>
      <c r="H11" s="257" t="s">
        <v>26</v>
      </c>
      <c r="I11" s="258">
        <v>1</v>
      </c>
      <c r="J11" s="259"/>
      <c r="K11" s="259"/>
      <c r="L11" s="259"/>
      <c r="M11" s="259"/>
      <c r="N11" s="258"/>
      <c r="O11" s="257" t="s">
        <v>473</v>
      </c>
    </row>
    <row r="12" spans="1:15">
      <c r="A12" s="25">
        <v>26</v>
      </c>
      <c r="B12" s="251" t="s">
        <v>603</v>
      </c>
      <c r="C12" s="252">
        <v>400</v>
      </c>
      <c r="D12" s="253">
        <v>67</v>
      </c>
      <c r="E12" s="254" t="s">
        <v>568</v>
      </c>
      <c r="F12" s="260"/>
      <c r="G12" s="256">
        <v>9400</v>
      </c>
      <c r="H12" s="257" t="s">
        <v>26</v>
      </c>
      <c r="I12" s="258">
        <v>1</v>
      </c>
      <c r="J12" s="259"/>
      <c r="K12" s="259"/>
      <c r="L12" s="259"/>
      <c r="M12" s="259"/>
      <c r="N12" s="258"/>
      <c r="O12" s="257" t="s">
        <v>598</v>
      </c>
    </row>
    <row r="13" spans="1:15">
      <c r="A13" s="25">
        <v>27</v>
      </c>
      <c r="B13" s="251" t="s">
        <v>603</v>
      </c>
      <c r="C13" s="252">
        <v>400</v>
      </c>
      <c r="D13" s="253">
        <v>67</v>
      </c>
      <c r="E13" s="254" t="s">
        <v>569</v>
      </c>
      <c r="F13" s="260"/>
      <c r="G13" s="256">
        <v>9400</v>
      </c>
      <c r="H13" s="257" t="s">
        <v>21</v>
      </c>
      <c r="I13" s="258">
        <v>1</v>
      </c>
      <c r="J13" s="259"/>
      <c r="K13" s="259"/>
      <c r="L13" s="259"/>
      <c r="M13" s="259"/>
      <c r="N13" s="261"/>
      <c r="O13" s="257" t="s">
        <v>431</v>
      </c>
    </row>
    <row r="14" spans="1:15">
      <c r="A14" s="25">
        <v>28</v>
      </c>
      <c r="B14" s="251" t="s">
        <v>603</v>
      </c>
      <c r="C14" s="252">
        <v>400</v>
      </c>
      <c r="D14" s="253">
        <v>67</v>
      </c>
      <c r="E14" s="254" t="s">
        <v>570</v>
      </c>
      <c r="F14" s="260"/>
      <c r="G14" s="256">
        <v>9400</v>
      </c>
      <c r="H14" s="257" t="s">
        <v>26</v>
      </c>
      <c r="I14" s="258">
        <v>1</v>
      </c>
      <c r="J14" s="259"/>
      <c r="K14" s="259"/>
      <c r="L14" s="259"/>
      <c r="M14" s="259"/>
      <c r="N14" s="258"/>
      <c r="O14" s="257" t="s">
        <v>405</v>
      </c>
    </row>
    <row r="15" spans="1:15">
      <c r="A15" s="25">
        <v>29</v>
      </c>
      <c r="B15" s="251" t="s">
        <v>603</v>
      </c>
      <c r="C15" s="252">
        <v>400</v>
      </c>
      <c r="D15" s="253">
        <v>67</v>
      </c>
      <c r="E15" s="254" t="s">
        <v>571</v>
      </c>
      <c r="F15" s="260"/>
      <c r="G15" s="256">
        <v>9400</v>
      </c>
      <c r="H15" s="257" t="s">
        <v>26</v>
      </c>
      <c r="I15" s="258">
        <v>1</v>
      </c>
      <c r="J15" s="259"/>
      <c r="K15" s="259"/>
      <c r="L15" s="259"/>
      <c r="M15" s="259"/>
      <c r="N15" s="258"/>
      <c r="O15" s="257" t="s">
        <v>450</v>
      </c>
    </row>
    <row r="16" spans="1:15">
      <c r="A16" s="25">
        <v>30</v>
      </c>
      <c r="B16" s="251" t="s">
        <v>603</v>
      </c>
      <c r="C16" s="252">
        <v>400</v>
      </c>
      <c r="D16" s="253">
        <v>67</v>
      </c>
      <c r="E16" s="254" t="s">
        <v>572</v>
      </c>
      <c r="F16" s="260"/>
      <c r="G16" s="256">
        <v>9400</v>
      </c>
      <c r="H16" s="257" t="s">
        <v>26</v>
      </c>
      <c r="I16" s="258">
        <v>1</v>
      </c>
      <c r="J16" s="259"/>
      <c r="K16" s="259"/>
      <c r="L16" s="259"/>
      <c r="M16" s="259"/>
      <c r="N16" s="258"/>
      <c r="O16" s="257" t="s">
        <v>358</v>
      </c>
    </row>
    <row r="17" spans="1:15">
      <c r="A17" s="25">
        <v>31</v>
      </c>
      <c r="B17" s="251" t="s">
        <v>603</v>
      </c>
      <c r="C17" s="252">
        <v>400</v>
      </c>
      <c r="D17" s="253">
        <v>67</v>
      </c>
      <c r="E17" s="254" t="s">
        <v>573</v>
      </c>
      <c r="F17" s="260"/>
      <c r="G17" s="256">
        <v>9400</v>
      </c>
      <c r="H17" s="257" t="s">
        <v>26</v>
      </c>
      <c r="I17" s="258">
        <v>1</v>
      </c>
      <c r="J17" s="259"/>
      <c r="K17" s="259"/>
      <c r="L17" s="259"/>
      <c r="M17" s="259"/>
      <c r="N17" s="258"/>
      <c r="O17" s="257" t="s">
        <v>358</v>
      </c>
    </row>
    <row r="18" spans="1:15">
      <c r="A18" s="25">
        <v>32</v>
      </c>
      <c r="B18" s="251" t="s">
        <v>603</v>
      </c>
      <c r="C18" s="252">
        <v>400</v>
      </c>
      <c r="D18" s="253">
        <v>67</v>
      </c>
      <c r="E18" s="254" t="s">
        <v>574</v>
      </c>
      <c r="F18" s="260"/>
      <c r="G18" s="256">
        <v>9400</v>
      </c>
      <c r="H18" s="257" t="s">
        <v>26</v>
      </c>
      <c r="I18" s="258">
        <v>1</v>
      </c>
      <c r="J18" s="259"/>
      <c r="K18" s="259"/>
      <c r="L18" s="259"/>
      <c r="M18" s="259"/>
      <c r="N18" s="258"/>
      <c r="O18" s="257" t="s">
        <v>491</v>
      </c>
    </row>
    <row r="19" spans="1:15">
      <c r="A19" s="25">
        <v>33</v>
      </c>
      <c r="B19" s="251" t="s">
        <v>603</v>
      </c>
      <c r="C19" s="252">
        <v>400</v>
      </c>
      <c r="D19" s="253">
        <v>67</v>
      </c>
      <c r="E19" s="254" t="s">
        <v>575</v>
      </c>
      <c r="F19" s="260"/>
      <c r="G19" s="256">
        <v>9400</v>
      </c>
      <c r="H19" s="257" t="s">
        <v>26</v>
      </c>
      <c r="I19" s="258">
        <v>1</v>
      </c>
      <c r="J19" s="259"/>
      <c r="K19" s="259"/>
      <c r="L19" s="259"/>
      <c r="M19" s="259"/>
      <c r="N19" s="258"/>
      <c r="O19" s="257" t="s">
        <v>351</v>
      </c>
    </row>
    <row r="20" spans="1:15">
      <c r="A20" s="25">
        <v>34</v>
      </c>
      <c r="B20" s="251" t="s">
        <v>603</v>
      </c>
      <c r="C20" s="252">
        <v>400</v>
      </c>
      <c r="D20" s="253">
        <v>67</v>
      </c>
      <c r="E20" s="254" t="s">
        <v>576</v>
      </c>
      <c r="F20" s="260"/>
      <c r="G20" s="256">
        <v>9400</v>
      </c>
      <c r="H20" s="257" t="s">
        <v>26</v>
      </c>
      <c r="I20" s="258">
        <v>1</v>
      </c>
      <c r="J20" s="259"/>
      <c r="K20" s="259"/>
      <c r="L20" s="259"/>
      <c r="M20" s="259"/>
      <c r="N20" s="261"/>
      <c r="O20" s="257" t="s">
        <v>384</v>
      </c>
    </row>
    <row r="21" spans="1:15">
      <c r="A21" s="25">
        <v>35</v>
      </c>
      <c r="B21" s="251" t="s">
        <v>603</v>
      </c>
      <c r="C21" s="252">
        <v>400</v>
      </c>
      <c r="D21" s="253">
        <v>67</v>
      </c>
      <c r="E21" s="254" t="s">
        <v>577</v>
      </c>
      <c r="F21" s="260"/>
      <c r="G21" s="256">
        <v>9400</v>
      </c>
      <c r="H21" s="257" t="s">
        <v>26</v>
      </c>
      <c r="I21" s="258">
        <v>1</v>
      </c>
      <c r="J21" s="259"/>
      <c r="K21" s="259"/>
      <c r="L21" s="259"/>
      <c r="M21" s="259"/>
      <c r="N21" s="258"/>
      <c r="O21" s="257" t="s">
        <v>599</v>
      </c>
    </row>
    <row r="22" spans="1:15">
      <c r="A22" s="25">
        <v>36</v>
      </c>
      <c r="B22" s="251" t="s">
        <v>603</v>
      </c>
      <c r="C22" s="252">
        <v>400</v>
      </c>
      <c r="D22" s="253">
        <v>67</v>
      </c>
      <c r="E22" s="254" t="s">
        <v>578</v>
      </c>
      <c r="F22" s="260"/>
      <c r="G22" s="256">
        <v>9400</v>
      </c>
      <c r="H22" s="257" t="s">
        <v>26</v>
      </c>
      <c r="I22" s="258">
        <v>1</v>
      </c>
      <c r="J22" s="259"/>
      <c r="K22" s="259"/>
      <c r="L22" s="259"/>
      <c r="M22" s="259"/>
      <c r="N22" s="258"/>
      <c r="O22" s="257" t="s">
        <v>468</v>
      </c>
    </row>
    <row r="23" spans="1:15">
      <c r="A23" s="25">
        <v>37</v>
      </c>
      <c r="B23" s="251" t="s">
        <v>603</v>
      </c>
      <c r="C23" s="252">
        <v>400</v>
      </c>
      <c r="D23" s="253">
        <v>67</v>
      </c>
      <c r="E23" s="254" t="s">
        <v>579</v>
      </c>
      <c r="F23" s="260"/>
      <c r="G23" s="256">
        <v>9400</v>
      </c>
      <c r="H23" s="257" t="s">
        <v>26</v>
      </c>
      <c r="I23" s="258">
        <v>1</v>
      </c>
      <c r="J23" s="259"/>
      <c r="K23" s="259"/>
      <c r="L23" s="259"/>
      <c r="M23" s="259"/>
      <c r="N23" s="258"/>
      <c r="O23" s="257" t="s">
        <v>409</v>
      </c>
    </row>
    <row r="24" spans="1:15">
      <c r="A24" s="25">
        <v>38</v>
      </c>
      <c r="B24" s="251" t="s">
        <v>603</v>
      </c>
      <c r="C24" s="252">
        <v>400</v>
      </c>
      <c r="D24" s="253">
        <v>67</v>
      </c>
      <c r="E24" s="254" t="s">
        <v>580</v>
      </c>
      <c r="F24" s="260"/>
      <c r="G24" s="256">
        <v>9400</v>
      </c>
      <c r="H24" s="257" t="s">
        <v>26</v>
      </c>
      <c r="I24" s="258">
        <v>1</v>
      </c>
      <c r="J24" s="259"/>
      <c r="K24" s="259"/>
      <c r="L24" s="259"/>
      <c r="M24" s="259"/>
      <c r="N24" s="258"/>
      <c r="O24" s="257" t="s">
        <v>442</v>
      </c>
    </row>
    <row r="25" spans="1:15">
      <c r="A25" s="25">
        <v>39</v>
      </c>
      <c r="B25" s="251" t="s">
        <v>603</v>
      </c>
      <c r="C25" s="252">
        <v>400</v>
      </c>
      <c r="D25" s="253">
        <v>67</v>
      </c>
      <c r="E25" s="254" t="s">
        <v>581</v>
      </c>
      <c r="F25" s="260"/>
      <c r="G25" s="256">
        <v>9400</v>
      </c>
      <c r="H25" s="257" t="s">
        <v>26</v>
      </c>
      <c r="I25" s="258">
        <v>1</v>
      </c>
      <c r="J25" s="259"/>
      <c r="K25" s="259"/>
      <c r="L25" s="259"/>
      <c r="M25" s="259"/>
      <c r="N25" s="258"/>
      <c r="O25" s="257" t="s">
        <v>442</v>
      </c>
    </row>
    <row r="26" spans="1:15">
      <c r="A26" s="25">
        <v>40</v>
      </c>
      <c r="B26" s="251" t="s">
        <v>603</v>
      </c>
      <c r="C26" s="252">
        <v>400</v>
      </c>
      <c r="D26" s="253">
        <v>67</v>
      </c>
      <c r="E26" s="254" t="s">
        <v>582</v>
      </c>
      <c r="F26" s="260"/>
      <c r="G26" s="256">
        <v>9400</v>
      </c>
      <c r="H26" s="257" t="s">
        <v>26</v>
      </c>
      <c r="I26" s="258">
        <v>1</v>
      </c>
      <c r="J26" s="259"/>
      <c r="K26" s="259"/>
      <c r="L26" s="259"/>
      <c r="M26" s="259"/>
      <c r="N26" s="258"/>
      <c r="O26" s="257" t="s">
        <v>599</v>
      </c>
    </row>
    <row r="27" spans="1:15">
      <c r="A27" s="25">
        <v>41</v>
      </c>
      <c r="B27" s="251" t="s">
        <v>603</v>
      </c>
      <c r="C27" s="252">
        <v>400</v>
      </c>
      <c r="D27" s="253">
        <v>67</v>
      </c>
      <c r="E27" s="254" t="s">
        <v>583</v>
      </c>
      <c r="F27" s="260"/>
      <c r="G27" s="256">
        <v>9400</v>
      </c>
      <c r="H27" s="257" t="s">
        <v>26</v>
      </c>
      <c r="I27" s="258">
        <v>1</v>
      </c>
      <c r="J27" s="259"/>
      <c r="K27" s="259"/>
      <c r="L27" s="259"/>
      <c r="M27" s="259"/>
      <c r="N27" s="258"/>
      <c r="O27" s="257" t="s">
        <v>373</v>
      </c>
    </row>
    <row r="28" spans="1:15">
      <c r="A28" s="25">
        <v>42</v>
      </c>
      <c r="B28" s="251" t="s">
        <v>603</v>
      </c>
      <c r="C28" s="252">
        <v>400</v>
      </c>
      <c r="D28" s="253">
        <v>67</v>
      </c>
      <c r="E28" s="254" t="s">
        <v>584</v>
      </c>
      <c r="F28" s="260"/>
      <c r="G28" s="256">
        <v>9400</v>
      </c>
      <c r="H28" s="257" t="s">
        <v>26</v>
      </c>
      <c r="I28" s="258">
        <v>1</v>
      </c>
      <c r="J28" s="259"/>
      <c r="K28" s="259"/>
      <c r="L28" s="259"/>
      <c r="M28" s="259"/>
      <c r="N28" s="258"/>
      <c r="O28" s="257" t="s">
        <v>600</v>
      </c>
    </row>
    <row r="29" spans="1:15">
      <c r="A29" s="25">
        <v>43</v>
      </c>
      <c r="B29" s="251" t="s">
        <v>603</v>
      </c>
      <c r="C29" s="252">
        <v>400</v>
      </c>
      <c r="D29" s="253">
        <v>67</v>
      </c>
      <c r="E29" s="254" t="s">
        <v>585</v>
      </c>
      <c r="F29" s="260"/>
      <c r="G29" s="256">
        <v>9400</v>
      </c>
      <c r="H29" s="257" t="s">
        <v>26</v>
      </c>
      <c r="I29" s="258">
        <v>1</v>
      </c>
      <c r="J29" s="259"/>
      <c r="K29" s="259"/>
      <c r="L29" s="259"/>
      <c r="M29" s="259"/>
      <c r="N29" s="258"/>
      <c r="O29" s="257" t="s">
        <v>472</v>
      </c>
    </row>
    <row r="30" spans="1:15">
      <c r="A30" s="25">
        <v>44</v>
      </c>
      <c r="B30" s="251" t="s">
        <v>603</v>
      </c>
      <c r="C30" s="252">
        <v>400</v>
      </c>
      <c r="D30" s="253">
        <v>67</v>
      </c>
      <c r="E30" s="254" t="s">
        <v>586</v>
      </c>
      <c r="F30" s="260"/>
      <c r="G30" s="256">
        <v>9400</v>
      </c>
      <c r="H30" s="257" t="s">
        <v>26</v>
      </c>
      <c r="I30" s="258">
        <v>1</v>
      </c>
      <c r="J30" s="259"/>
      <c r="K30" s="259"/>
      <c r="L30" s="259"/>
      <c r="M30" s="259"/>
      <c r="N30" s="258"/>
      <c r="O30" s="257" t="s">
        <v>377</v>
      </c>
    </row>
    <row r="31" spans="1:15">
      <c r="A31" s="25">
        <v>45</v>
      </c>
      <c r="B31" s="251" t="s">
        <v>603</v>
      </c>
      <c r="C31" s="252">
        <v>400</v>
      </c>
      <c r="D31" s="253">
        <v>67</v>
      </c>
      <c r="E31" s="254" t="s">
        <v>587</v>
      </c>
      <c r="F31" s="260"/>
      <c r="G31" s="256">
        <v>9400</v>
      </c>
      <c r="H31" s="257" t="s">
        <v>26</v>
      </c>
      <c r="I31" s="258">
        <v>1</v>
      </c>
      <c r="J31" s="259"/>
      <c r="K31" s="259"/>
      <c r="L31" s="259"/>
      <c r="M31" s="259"/>
      <c r="N31" s="258"/>
      <c r="O31" s="257" t="s">
        <v>601</v>
      </c>
    </row>
    <row r="32" spans="1:15">
      <c r="A32" s="25">
        <v>46</v>
      </c>
      <c r="B32" s="251" t="s">
        <v>603</v>
      </c>
      <c r="C32" s="252">
        <v>400</v>
      </c>
      <c r="D32" s="253">
        <v>67</v>
      </c>
      <c r="E32" s="254" t="s">
        <v>588</v>
      </c>
      <c r="F32" s="260"/>
      <c r="G32" s="256">
        <v>9400</v>
      </c>
      <c r="H32" s="257" t="s">
        <v>26</v>
      </c>
      <c r="I32" s="258">
        <v>1</v>
      </c>
      <c r="J32" s="259"/>
      <c r="K32" s="259"/>
      <c r="L32" s="259"/>
      <c r="M32" s="259"/>
      <c r="N32" s="258"/>
      <c r="O32" s="257" t="s">
        <v>65</v>
      </c>
    </row>
    <row r="33" spans="1:15">
      <c r="A33" s="25">
        <v>47</v>
      </c>
      <c r="B33" s="251" t="s">
        <v>603</v>
      </c>
      <c r="C33" s="252">
        <v>400</v>
      </c>
      <c r="D33" s="253">
        <v>67</v>
      </c>
      <c r="E33" s="254" t="s">
        <v>589</v>
      </c>
      <c r="F33" s="260"/>
      <c r="G33" s="256">
        <v>9400</v>
      </c>
      <c r="H33" s="257" t="s">
        <v>26</v>
      </c>
      <c r="I33" s="258">
        <v>1</v>
      </c>
      <c r="J33" s="259"/>
      <c r="K33" s="259"/>
      <c r="L33" s="259"/>
      <c r="M33" s="259"/>
      <c r="N33" s="258"/>
      <c r="O33" s="257" t="s">
        <v>602</v>
      </c>
    </row>
    <row r="34" spans="1:15">
      <c r="A34" s="25">
        <v>48</v>
      </c>
      <c r="B34" s="251" t="s">
        <v>603</v>
      </c>
      <c r="C34" s="252">
        <v>400</v>
      </c>
      <c r="D34" s="253">
        <v>67</v>
      </c>
      <c r="E34" s="254" t="s">
        <v>590</v>
      </c>
      <c r="F34" s="260"/>
      <c r="G34" s="256">
        <v>9400</v>
      </c>
      <c r="H34" s="257" t="s">
        <v>26</v>
      </c>
      <c r="I34" s="258">
        <v>1</v>
      </c>
      <c r="J34" s="259"/>
      <c r="K34" s="259"/>
      <c r="L34" s="259"/>
      <c r="M34" s="259"/>
      <c r="N34" s="258"/>
      <c r="O34" s="257" t="s">
        <v>387</v>
      </c>
    </row>
    <row r="35" spans="1:15">
      <c r="A35" s="25">
        <v>49</v>
      </c>
      <c r="B35" s="262" t="s">
        <v>594</v>
      </c>
      <c r="C35" s="252">
        <v>400</v>
      </c>
      <c r="D35" s="253">
        <v>67</v>
      </c>
      <c r="E35" s="254" t="s">
        <v>591</v>
      </c>
      <c r="F35" s="260"/>
      <c r="G35" s="263">
        <v>19200</v>
      </c>
      <c r="H35" s="257" t="s">
        <v>26</v>
      </c>
      <c r="I35" s="258">
        <v>1</v>
      </c>
      <c r="J35" s="259"/>
      <c r="K35" s="259"/>
      <c r="L35" s="259"/>
      <c r="M35" s="259"/>
      <c r="N35" s="258"/>
      <c r="O35" s="257" t="s">
        <v>470</v>
      </c>
    </row>
    <row r="36" spans="1:15">
      <c r="A36" s="25">
        <v>50</v>
      </c>
      <c r="B36" s="262" t="s">
        <v>594</v>
      </c>
      <c r="C36" s="252">
        <v>400</v>
      </c>
      <c r="D36" s="253">
        <v>67</v>
      </c>
      <c r="E36" s="254" t="s">
        <v>592</v>
      </c>
      <c r="F36" s="260"/>
      <c r="G36" s="263">
        <v>19200</v>
      </c>
      <c r="H36" s="257" t="s">
        <v>26</v>
      </c>
      <c r="I36" s="258">
        <v>1</v>
      </c>
      <c r="J36" s="259"/>
      <c r="K36" s="259"/>
      <c r="L36" s="259"/>
      <c r="M36" s="259"/>
      <c r="N36" s="258"/>
      <c r="O36" s="257" t="s">
        <v>359</v>
      </c>
    </row>
    <row r="37" spans="1:15">
      <c r="A37" s="25">
        <v>51</v>
      </c>
      <c r="B37" s="262" t="s">
        <v>595</v>
      </c>
      <c r="C37" s="252">
        <v>400</v>
      </c>
      <c r="D37" s="253">
        <v>67</v>
      </c>
      <c r="E37" s="254" t="s">
        <v>593</v>
      </c>
      <c r="F37" s="260"/>
      <c r="G37" s="264">
        <v>12200</v>
      </c>
      <c r="H37" s="257" t="s">
        <v>26</v>
      </c>
      <c r="I37" s="258">
        <v>1</v>
      </c>
      <c r="J37" s="259"/>
      <c r="K37" s="259"/>
      <c r="L37" s="259"/>
      <c r="M37" s="259"/>
      <c r="N37" s="259"/>
      <c r="O37" s="257" t="s">
        <v>421</v>
      </c>
    </row>
    <row r="38" spans="1:15" ht="16.5" thickBot="1">
      <c r="A38" s="25"/>
      <c r="B38" s="39" t="s">
        <v>75</v>
      </c>
      <c r="C38" s="15"/>
      <c r="D38" s="16"/>
      <c r="E38" s="29"/>
      <c r="F38" s="18"/>
      <c r="G38" s="40">
        <f>SUM(G7:G9)</f>
        <v>24685</v>
      </c>
      <c r="H38" s="32"/>
      <c r="I38" s="41"/>
      <c r="J38" s="22"/>
      <c r="K38" s="22"/>
      <c r="L38" s="22"/>
      <c r="M38" s="22"/>
      <c r="N38" s="22"/>
      <c r="O38" s="24"/>
    </row>
    <row r="39" spans="1:15" ht="16.5" thickTop="1">
      <c r="A39" s="13" t="s">
        <v>76</v>
      </c>
      <c r="B39" s="14" t="s">
        <v>77</v>
      </c>
      <c r="C39" s="15"/>
      <c r="D39" s="16"/>
      <c r="E39" s="29"/>
      <c r="F39" s="18"/>
      <c r="G39" s="19"/>
      <c r="H39" s="32"/>
      <c r="I39" s="42"/>
      <c r="J39" s="22"/>
      <c r="K39" s="22"/>
      <c r="L39" s="22"/>
      <c r="M39" s="22"/>
      <c r="N39" s="22"/>
      <c r="O39" s="24"/>
    </row>
    <row r="40" spans="1:15">
      <c r="A40" s="25">
        <v>3</v>
      </c>
      <c r="B40" s="43" t="s">
        <v>83</v>
      </c>
      <c r="C40" s="44" t="s">
        <v>76</v>
      </c>
      <c r="D40" s="45">
        <v>45</v>
      </c>
      <c r="E40" s="46" t="s">
        <v>84</v>
      </c>
      <c r="F40" s="47" t="s">
        <v>85</v>
      </c>
      <c r="G40" s="48">
        <v>1200</v>
      </c>
      <c r="H40" s="49" t="s">
        <v>26</v>
      </c>
      <c r="I40" s="33">
        <v>1</v>
      </c>
      <c r="J40" s="50"/>
      <c r="K40" s="50"/>
      <c r="L40" s="50"/>
      <c r="M40" s="50"/>
      <c r="N40" s="50"/>
      <c r="O40" s="43"/>
    </row>
    <row r="41" spans="1:15">
      <c r="A41" s="25">
        <v>4</v>
      </c>
      <c r="B41" s="43" t="s">
        <v>86</v>
      </c>
      <c r="C41" s="44" t="s">
        <v>76</v>
      </c>
      <c r="D41" s="45">
        <v>46</v>
      </c>
      <c r="E41" s="46" t="s">
        <v>87</v>
      </c>
      <c r="F41" s="47" t="s">
        <v>88</v>
      </c>
      <c r="G41" s="48">
        <v>390</v>
      </c>
      <c r="H41" s="49" t="s">
        <v>26</v>
      </c>
      <c r="I41" s="33">
        <v>1</v>
      </c>
      <c r="J41" s="50"/>
      <c r="K41" s="50"/>
      <c r="L41" s="50"/>
      <c r="M41" s="50"/>
      <c r="N41" s="50"/>
      <c r="O41" s="43" t="s">
        <v>89</v>
      </c>
    </row>
    <row r="42" spans="1:15">
      <c r="A42" s="25">
        <v>5</v>
      </c>
      <c r="B42" s="43" t="s">
        <v>90</v>
      </c>
      <c r="C42" s="44" t="s">
        <v>76</v>
      </c>
      <c r="D42" s="45">
        <v>46</v>
      </c>
      <c r="E42" s="46" t="s">
        <v>91</v>
      </c>
      <c r="F42" s="47" t="s">
        <v>88</v>
      </c>
      <c r="G42" s="48">
        <v>390</v>
      </c>
      <c r="H42" s="49" t="s">
        <v>26</v>
      </c>
      <c r="I42" s="33">
        <v>1</v>
      </c>
      <c r="J42" s="50"/>
      <c r="K42" s="50"/>
      <c r="L42" s="50"/>
      <c r="M42" s="50"/>
      <c r="N42" s="50"/>
      <c r="O42" s="43" t="s">
        <v>89</v>
      </c>
    </row>
    <row r="43" spans="1:15">
      <c r="A43" s="25">
        <v>6</v>
      </c>
      <c r="B43" s="43" t="s">
        <v>90</v>
      </c>
      <c r="C43" s="44" t="s">
        <v>76</v>
      </c>
      <c r="D43" s="45">
        <v>46</v>
      </c>
      <c r="E43" s="46" t="s">
        <v>92</v>
      </c>
      <c r="F43" s="47" t="s">
        <v>88</v>
      </c>
      <c r="G43" s="48">
        <v>390</v>
      </c>
      <c r="H43" s="49" t="s">
        <v>26</v>
      </c>
      <c r="I43" s="33">
        <v>1</v>
      </c>
      <c r="J43" s="50"/>
      <c r="K43" s="50"/>
      <c r="L43" s="50"/>
      <c r="M43" s="50"/>
      <c r="N43" s="50"/>
      <c r="O43" s="43" t="s">
        <v>89</v>
      </c>
    </row>
    <row r="44" spans="1:15">
      <c r="A44" s="25">
        <v>7</v>
      </c>
      <c r="B44" s="43" t="s">
        <v>90</v>
      </c>
      <c r="C44" s="44" t="s">
        <v>76</v>
      </c>
      <c r="D44" s="45">
        <v>46</v>
      </c>
      <c r="E44" s="46" t="s">
        <v>93</v>
      </c>
      <c r="F44" s="47" t="s">
        <v>88</v>
      </c>
      <c r="G44" s="48">
        <v>390</v>
      </c>
      <c r="H44" s="49" t="s">
        <v>26</v>
      </c>
      <c r="I44" s="33">
        <v>1</v>
      </c>
      <c r="J44" s="50"/>
      <c r="K44" s="50"/>
      <c r="L44" s="50"/>
      <c r="M44" s="50"/>
      <c r="N44" s="50"/>
      <c r="O44" s="43" t="s">
        <v>89</v>
      </c>
    </row>
    <row r="45" spans="1:15">
      <c r="A45" s="25">
        <v>8</v>
      </c>
      <c r="B45" s="43" t="s">
        <v>90</v>
      </c>
      <c r="C45" s="44" t="s">
        <v>76</v>
      </c>
      <c r="D45" s="45">
        <v>46</v>
      </c>
      <c r="E45" s="46" t="s">
        <v>94</v>
      </c>
      <c r="F45" s="47" t="s">
        <v>88</v>
      </c>
      <c r="G45" s="48">
        <v>390</v>
      </c>
      <c r="H45" s="49" t="s">
        <v>26</v>
      </c>
      <c r="I45" s="33">
        <v>1</v>
      </c>
      <c r="J45" s="50"/>
      <c r="K45" s="50"/>
      <c r="L45" s="50"/>
      <c r="M45" s="50"/>
      <c r="N45" s="50"/>
      <c r="O45" s="43" t="s">
        <v>89</v>
      </c>
    </row>
    <row r="46" spans="1:15">
      <c r="A46" s="25">
        <v>9</v>
      </c>
      <c r="B46" s="43" t="s">
        <v>90</v>
      </c>
      <c r="C46" s="44" t="s">
        <v>76</v>
      </c>
      <c r="D46" s="45">
        <v>46</v>
      </c>
      <c r="E46" s="46" t="s">
        <v>95</v>
      </c>
      <c r="F46" s="47" t="s">
        <v>88</v>
      </c>
      <c r="G46" s="48">
        <v>390</v>
      </c>
      <c r="H46" s="49" t="s">
        <v>26</v>
      </c>
      <c r="I46" s="33">
        <v>1</v>
      </c>
      <c r="J46" s="50"/>
      <c r="K46" s="50"/>
      <c r="L46" s="50"/>
      <c r="M46" s="50"/>
      <c r="N46" s="50"/>
      <c r="O46" s="43" t="s">
        <v>89</v>
      </c>
    </row>
    <row r="47" spans="1:15">
      <c r="A47" s="25">
        <v>10</v>
      </c>
      <c r="B47" s="43" t="s">
        <v>90</v>
      </c>
      <c r="C47" s="44" t="s">
        <v>76</v>
      </c>
      <c r="D47" s="45">
        <v>46</v>
      </c>
      <c r="E47" s="46" t="s">
        <v>96</v>
      </c>
      <c r="F47" s="47" t="s">
        <v>88</v>
      </c>
      <c r="G47" s="48">
        <v>390</v>
      </c>
      <c r="H47" s="49" t="s">
        <v>26</v>
      </c>
      <c r="I47" s="33">
        <v>1</v>
      </c>
      <c r="J47" s="50"/>
      <c r="K47" s="50"/>
      <c r="L47" s="50"/>
      <c r="M47" s="50"/>
      <c r="N47" s="50"/>
      <c r="O47" s="43" t="s">
        <v>89</v>
      </c>
    </row>
    <row r="48" spans="1:15">
      <c r="A48" s="25">
        <v>11</v>
      </c>
      <c r="B48" s="43" t="s">
        <v>90</v>
      </c>
      <c r="C48" s="44" t="s">
        <v>76</v>
      </c>
      <c r="D48" s="45">
        <v>46</v>
      </c>
      <c r="E48" s="46" t="s">
        <v>97</v>
      </c>
      <c r="F48" s="47" t="s">
        <v>88</v>
      </c>
      <c r="G48" s="48">
        <v>390</v>
      </c>
      <c r="H48" s="49" t="s">
        <v>26</v>
      </c>
      <c r="I48" s="33">
        <v>1</v>
      </c>
      <c r="J48" s="50"/>
      <c r="K48" s="50"/>
      <c r="L48" s="50"/>
      <c r="M48" s="50"/>
      <c r="N48" s="50"/>
      <c r="O48" s="43" t="s">
        <v>89</v>
      </c>
    </row>
    <row r="49" spans="1:15">
      <c r="A49" s="25">
        <v>12</v>
      </c>
      <c r="B49" s="43" t="s">
        <v>90</v>
      </c>
      <c r="C49" s="44" t="s">
        <v>76</v>
      </c>
      <c r="D49" s="45">
        <v>46</v>
      </c>
      <c r="E49" s="46" t="s">
        <v>98</v>
      </c>
      <c r="F49" s="47" t="s">
        <v>88</v>
      </c>
      <c r="G49" s="48">
        <v>390</v>
      </c>
      <c r="H49" s="49" t="s">
        <v>26</v>
      </c>
      <c r="I49" s="33">
        <v>1</v>
      </c>
      <c r="J49" s="50"/>
      <c r="K49" s="50"/>
      <c r="L49" s="50"/>
      <c r="M49" s="50"/>
      <c r="N49" s="50"/>
      <c r="O49" s="43"/>
    </row>
    <row r="50" spans="1:15">
      <c r="A50" s="25">
        <v>13</v>
      </c>
      <c r="B50" s="43" t="s">
        <v>99</v>
      </c>
      <c r="C50" s="44" t="s">
        <v>76</v>
      </c>
      <c r="D50" s="45">
        <v>47</v>
      </c>
      <c r="E50" s="46" t="s">
        <v>100</v>
      </c>
      <c r="F50" s="47" t="s">
        <v>101</v>
      </c>
      <c r="G50" s="48">
        <v>1200</v>
      </c>
      <c r="H50" s="49" t="s">
        <v>26</v>
      </c>
      <c r="I50" s="33">
        <v>1</v>
      </c>
      <c r="J50" s="50"/>
      <c r="K50" s="50"/>
      <c r="L50" s="50"/>
      <c r="M50" s="50"/>
      <c r="N50" s="50"/>
      <c r="O50" s="43" t="s">
        <v>65</v>
      </c>
    </row>
    <row r="51" spans="1:15">
      <c r="A51" s="25">
        <v>14</v>
      </c>
      <c r="B51" s="43" t="s">
        <v>102</v>
      </c>
      <c r="C51" s="44" t="s">
        <v>76</v>
      </c>
      <c r="D51" s="45">
        <v>52</v>
      </c>
      <c r="E51" s="46" t="s">
        <v>103</v>
      </c>
      <c r="F51" s="47" t="s">
        <v>104</v>
      </c>
      <c r="G51" s="48">
        <v>1100</v>
      </c>
      <c r="H51" s="49" t="s">
        <v>26</v>
      </c>
      <c r="I51" s="33">
        <v>1</v>
      </c>
      <c r="J51" s="50"/>
      <c r="K51" s="50"/>
      <c r="L51" s="50"/>
      <c r="M51" s="50"/>
      <c r="N51" s="50"/>
      <c r="O51" s="43"/>
    </row>
    <row r="52" spans="1:15">
      <c r="A52" s="25">
        <v>15</v>
      </c>
      <c r="B52" s="43" t="s">
        <v>102</v>
      </c>
      <c r="C52" s="44" t="s">
        <v>76</v>
      </c>
      <c r="D52" s="45">
        <v>52</v>
      </c>
      <c r="E52" s="46" t="s">
        <v>105</v>
      </c>
      <c r="F52" s="47" t="s">
        <v>104</v>
      </c>
      <c r="G52" s="48">
        <v>1100</v>
      </c>
      <c r="H52" s="49" t="s">
        <v>26</v>
      </c>
      <c r="I52" s="33">
        <v>1</v>
      </c>
      <c r="J52" s="50"/>
      <c r="K52" s="50"/>
      <c r="L52" s="50"/>
      <c r="M52" s="50"/>
      <c r="N52" s="50"/>
      <c r="O52" s="43"/>
    </row>
    <row r="53" spans="1:15">
      <c r="A53" s="25">
        <v>16</v>
      </c>
      <c r="B53" s="43" t="s">
        <v>102</v>
      </c>
      <c r="C53" s="44" t="s">
        <v>76</v>
      </c>
      <c r="D53" s="45">
        <v>52</v>
      </c>
      <c r="E53" s="46" t="s">
        <v>106</v>
      </c>
      <c r="F53" s="47" t="s">
        <v>104</v>
      </c>
      <c r="G53" s="48">
        <v>1100</v>
      </c>
      <c r="H53" s="49" t="s">
        <v>26</v>
      </c>
      <c r="I53" s="33">
        <v>1</v>
      </c>
      <c r="J53" s="50"/>
      <c r="K53" s="50"/>
      <c r="L53" s="50"/>
      <c r="M53" s="50"/>
      <c r="N53" s="50"/>
      <c r="O53" s="43"/>
    </row>
    <row r="54" spans="1:15">
      <c r="A54" s="25">
        <v>17</v>
      </c>
      <c r="B54" s="43" t="s">
        <v>102</v>
      </c>
      <c r="C54" s="44" t="s">
        <v>76</v>
      </c>
      <c r="D54" s="45">
        <v>52</v>
      </c>
      <c r="E54" s="46" t="s">
        <v>107</v>
      </c>
      <c r="F54" s="47" t="s">
        <v>104</v>
      </c>
      <c r="G54" s="48">
        <v>1100</v>
      </c>
      <c r="H54" s="49" t="s">
        <v>26</v>
      </c>
      <c r="I54" s="33">
        <v>1</v>
      </c>
      <c r="J54" s="50"/>
      <c r="K54" s="50"/>
      <c r="L54" s="50"/>
      <c r="M54" s="50"/>
      <c r="N54" s="50"/>
      <c r="O54" s="43"/>
    </row>
    <row r="55" spans="1:15">
      <c r="A55" s="25">
        <v>18</v>
      </c>
      <c r="B55" s="43" t="s">
        <v>102</v>
      </c>
      <c r="C55" s="44" t="s">
        <v>76</v>
      </c>
      <c r="D55" s="45">
        <v>52</v>
      </c>
      <c r="E55" s="46" t="s">
        <v>108</v>
      </c>
      <c r="F55" s="47" t="s">
        <v>104</v>
      </c>
      <c r="G55" s="48">
        <v>1100</v>
      </c>
      <c r="H55" s="49" t="s">
        <v>26</v>
      </c>
      <c r="I55" s="33">
        <v>1</v>
      </c>
      <c r="J55" s="50"/>
      <c r="K55" s="50"/>
      <c r="L55" s="50"/>
      <c r="M55" s="50"/>
      <c r="N55" s="50"/>
      <c r="O55" s="43"/>
    </row>
    <row r="56" spans="1:15">
      <c r="A56" s="25">
        <v>19</v>
      </c>
      <c r="B56" s="43" t="s">
        <v>102</v>
      </c>
      <c r="C56" s="44" t="s">
        <v>76</v>
      </c>
      <c r="D56" s="45">
        <v>52</v>
      </c>
      <c r="E56" s="46" t="s">
        <v>109</v>
      </c>
      <c r="F56" s="47" t="s">
        <v>104</v>
      </c>
      <c r="G56" s="48">
        <v>1100</v>
      </c>
      <c r="H56" s="49" t="s">
        <v>26</v>
      </c>
      <c r="I56" s="33">
        <v>1</v>
      </c>
      <c r="J56" s="50"/>
      <c r="K56" s="50"/>
      <c r="L56" s="50"/>
      <c r="M56" s="50"/>
      <c r="N56" s="50"/>
      <c r="O56" s="43" t="s">
        <v>110</v>
      </c>
    </row>
    <row r="57" spans="1:15">
      <c r="A57" s="25">
        <v>20</v>
      </c>
      <c r="B57" s="43" t="s">
        <v>111</v>
      </c>
      <c r="C57" s="44" t="s">
        <v>76</v>
      </c>
      <c r="D57" s="45">
        <v>57</v>
      </c>
      <c r="E57" s="46" t="s">
        <v>112</v>
      </c>
      <c r="F57" s="47" t="s">
        <v>74</v>
      </c>
      <c r="G57" s="48">
        <v>1070</v>
      </c>
      <c r="H57" s="49" t="s">
        <v>26</v>
      </c>
      <c r="I57" s="33">
        <v>1</v>
      </c>
      <c r="J57" s="50"/>
      <c r="K57" s="50"/>
      <c r="L57" s="50"/>
      <c r="M57" s="50"/>
      <c r="N57" s="50"/>
      <c r="O57" s="43"/>
    </row>
    <row r="58" spans="1:15">
      <c r="A58" s="25">
        <v>21</v>
      </c>
      <c r="B58" s="43" t="s">
        <v>113</v>
      </c>
      <c r="C58" s="44" t="s">
        <v>76</v>
      </c>
      <c r="D58" s="45">
        <v>57</v>
      </c>
      <c r="E58" s="46" t="s">
        <v>114</v>
      </c>
      <c r="F58" s="47" t="s">
        <v>74</v>
      </c>
      <c r="G58" s="48">
        <v>1070</v>
      </c>
      <c r="H58" s="49" t="s">
        <v>26</v>
      </c>
      <c r="I58" s="33">
        <v>1</v>
      </c>
      <c r="J58" s="50"/>
      <c r="K58" s="50"/>
      <c r="L58" s="50"/>
      <c r="M58" s="50"/>
      <c r="N58" s="50"/>
      <c r="O58" s="43"/>
    </row>
    <row r="59" spans="1:15">
      <c r="A59" s="25">
        <v>22</v>
      </c>
      <c r="B59" s="43" t="s">
        <v>113</v>
      </c>
      <c r="C59" s="44" t="s">
        <v>76</v>
      </c>
      <c r="D59" s="45">
        <v>57</v>
      </c>
      <c r="E59" s="46" t="s">
        <v>115</v>
      </c>
      <c r="F59" s="47" t="s">
        <v>74</v>
      </c>
      <c r="G59" s="48">
        <v>1070</v>
      </c>
      <c r="H59" s="49" t="s">
        <v>26</v>
      </c>
      <c r="I59" s="33">
        <v>1</v>
      </c>
      <c r="J59" s="50"/>
      <c r="K59" s="50"/>
      <c r="L59" s="50"/>
      <c r="M59" s="50"/>
      <c r="N59" s="50"/>
      <c r="O59" s="43"/>
    </row>
    <row r="60" spans="1:15">
      <c r="A60" s="25">
        <v>23</v>
      </c>
      <c r="B60" s="43" t="s">
        <v>113</v>
      </c>
      <c r="C60" s="44" t="s">
        <v>76</v>
      </c>
      <c r="D60" s="45">
        <v>57</v>
      </c>
      <c r="E60" s="46" t="s">
        <v>116</v>
      </c>
      <c r="F60" s="47" t="s">
        <v>74</v>
      </c>
      <c r="G60" s="48">
        <v>1070</v>
      </c>
      <c r="H60" s="49" t="s">
        <v>26</v>
      </c>
      <c r="I60" s="33">
        <v>1</v>
      </c>
      <c r="J60" s="50"/>
      <c r="K60" s="50"/>
      <c r="L60" s="50"/>
      <c r="M60" s="50"/>
      <c r="N60" s="50"/>
      <c r="O60" s="43"/>
    </row>
    <row r="61" spans="1:15">
      <c r="A61" s="25">
        <v>24</v>
      </c>
      <c r="B61" s="43" t="s">
        <v>113</v>
      </c>
      <c r="C61" s="44" t="s">
        <v>76</v>
      </c>
      <c r="D61" s="45">
        <v>57</v>
      </c>
      <c r="E61" s="46" t="s">
        <v>117</v>
      </c>
      <c r="F61" s="47" t="s">
        <v>74</v>
      </c>
      <c r="G61" s="48">
        <v>1070</v>
      </c>
      <c r="H61" s="49" t="s">
        <v>26</v>
      </c>
      <c r="I61" s="33">
        <v>1</v>
      </c>
      <c r="J61" s="50"/>
      <c r="K61" s="50"/>
      <c r="L61" s="50"/>
      <c r="M61" s="50"/>
      <c r="N61" s="50"/>
      <c r="O61" s="43" t="s">
        <v>118</v>
      </c>
    </row>
    <row r="62" spans="1:15">
      <c r="A62" s="25">
        <v>25</v>
      </c>
      <c r="B62" s="43" t="s">
        <v>113</v>
      </c>
      <c r="C62" s="44" t="s">
        <v>76</v>
      </c>
      <c r="D62" s="45">
        <v>57</v>
      </c>
      <c r="E62" s="46" t="s">
        <v>119</v>
      </c>
      <c r="F62" s="47" t="s">
        <v>74</v>
      </c>
      <c r="G62" s="48">
        <v>1070</v>
      </c>
      <c r="H62" s="49" t="s">
        <v>26</v>
      </c>
      <c r="I62" s="33">
        <v>1</v>
      </c>
      <c r="J62" s="50"/>
      <c r="K62" s="50"/>
      <c r="L62" s="50"/>
      <c r="M62" s="50"/>
      <c r="N62" s="50"/>
      <c r="O62" s="43"/>
    </row>
    <row r="63" spans="1:15">
      <c r="A63" s="25">
        <v>26</v>
      </c>
      <c r="B63" s="43" t="s">
        <v>113</v>
      </c>
      <c r="C63" s="44" t="s">
        <v>76</v>
      </c>
      <c r="D63" s="45">
        <v>57</v>
      </c>
      <c r="E63" s="46" t="s">
        <v>120</v>
      </c>
      <c r="F63" s="47" t="s">
        <v>74</v>
      </c>
      <c r="G63" s="48">
        <v>1070</v>
      </c>
      <c r="H63" s="49" t="s">
        <v>26</v>
      </c>
      <c r="I63" s="33">
        <v>1</v>
      </c>
      <c r="J63" s="50"/>
      <c r="K63" s="50"/>
      <c r="L63" s="50"/>
      <c r="M63" s="50"/>
      <c r="N63" s="50"/>
      <c r="O63" s="43"/>
    </row>
    <row r="64" spans="1:15">
      <c r="A64" s="25">
        <v>27</v>
      </c>
      <c r="B64" s="43" t="s">
        <v>113</v>
      </c>
      <c r="C64" s="44" t="s">
        <v>76</v>
      </c>
      <c r="D64" s="45">
        <v>57</v>
      </c>
      <c r="E64" s="46" t="s">
        <v>121</v>
      </c>
      <c r="F64" s="47" t="s">
        <v>74</v>
      </c>
      <c r="G64" s="48">
        <v>1070</v>
      </c>
      <c r="H64" s="49" t="s">
        <v>26</v>
      </c>
      <c r="I64" s="245">
        <v>1</v>
      </c>
      <c r="J64" s="50"/>
      <c r="K64" s="50"/>
      <c r="L64" s="50"/>
      <c r="M64" s="50"/>
      <c r="N64" s="50"/>
      <c r="O64" s="43"/>
    </row>
    <row r="65" spans="1:15">
      <c r="A65" s="265">
        <v>28</v>
      </c>
      <c r="B65" s="266" t="s">
        <v>122</v>
      </c>
      <c r="C65" s="267" t="s">
        <v>76</v>
      </c>
      <c r="D65" s="268">
        <v>67</v>
      </c>
      <c r="E65" s="269" t="s">
        <v>123</v>
      </c>
      <c r="F65" s="270" t="s">
        <v>124</v>
      </c>
      <c r="G65" s="271">
        <v>5500</v>
      </c>
      <c r="H65" s="272" t="s">
        <v>26</v>
      </c>
      <c r="I65" s="273">
        <v>1</v>
      </c>
      <c r="J65" s="274"/>
      <c r="K65" s="274"/>
      <c r="L65" s="274"/>
      <c r="M65" s="274"/>
      <c r="N65" s="274"/>
      <c r="O65" s="266" t="s">
        <v>125</v>
      </c>
    </row>
    <row r="66" spans="1:15">
      <c r="A66" s="265">
        <v>29</v>
      </c>
      <c r="B66" s="266" t="s">
        <v>126</v>
      </c>
      <c r="C66" s="267" t="s">
        <v>76</v>
      </c>
      <c r="D66" s="268">
        <v>67</v>
      </c>
      <c r="E66" s="269" t="s">
        <v>127</v>
      </c>
      <c r="F66" s="270" t="s">
        <v>124</v>
      </c>
      <c r="G66" s="271">
        <v>3900</v>
      </c>
      <c r="H66" s="272" t="s">
        <v>26</v>
      </c>
      <c r="I66" s="275">
        <v>1</v>
      </c>
      <c r="J66" s="274"/>
      <c r="K66" s="274"/>
      <c r="L66" s="274"/>
      <c r="M66" s="274"/>
      <c r="N66" s="274"/>
      <c r="O66" s="266" t="s">
        <v>473</v>
      </c>
    </row>
    <row r="67" spans="1:15">
      <c r="A67" s="265">
        <v>30</v>
      </c>
      <c r="B67" s="266" t="s">
        <v>126</v>
      </c>
      <c r="C67" s="267" t="s">
        <v>76</v>
      </c>
      <c r="D67" s="268">
        <v>67</v>
      </c>
      <c r="E67" s="269" t="s">
        <v>128</v>
      </c>
      <c r="F67" s="270" t="s">
        <v>124</v>
      </c>
      <c r="G67" s="271">
        <v>3900</v>
      </c>
      <c r="H67" s="272" t="s">
        <v>26</v>
      </c>
      <c r="I67" s="273">
        <v>1</v>
      </c>
      <c r="J67" s="274"/>
      <c r="K67" s="274"/>
      <c r="L67" s="274"/>
      <c r="M67" s="274"/>
      <c r="N67" s="274"/>
      <c r="O67" s="266" t="s">
        <v>491</v>
      </c>
    </row>
    <row r="68" spans="1:15">
      <c r="A68" s="265">
        <v>31</v>
      </c>
      <c r="B68" s="266" t="s">
        <v>126</v>
      </c>
      <c r="C68" s="267" t="s">
        <v>76</v>
      </c>
      <c r="D68" s="268">
        <v>67</v>
      </c>
      <c r="E68" s="269" t="s">
        <v>129</v>
      </c>
      <c r="F68" s="270" t="s">
        <v>124</v>
      </c>
      <c r="G68" s="271">
        <v>3900</v>
      </c>
      <c r="H68" s="272" t="s">
        <v>26</v>
      </c>
      <c r="I68" s="275">
        <v>1</v>
      </c>
      <c r="J68" s="274"/>
      <c r="K68" s="274"/>
      <c r="L68" s="274"/>
      <c r="M68" s="274"/>
      <c r="N68" s="274"/>
      <c r="O68" s="266" t="s">
        <v>351</v>
      </c>
    </row>
    <row r="69" spans="1:15">
      <c r="A69" s="265">
        <v>32</v>
      </c>
      <c r="B69" s="266" t="s">
        <v>126</v>
      </c>
      <c r="C69" s="267" t="s">
        <v>76</v>
      </c>
      <c r="D69" s="268">
        <v>67</v>
      </c>
      <c r="E69" s="269" t="s">
        <v>130</v>
      </c>
      <c r="F69" s="270" t="s">
        <v>124</v>
      </c>
      <c r="G69" s="271">
        <v>3900</v>
      </c>
      <c r="H69" s="272" t="s">
        <v>26</v>
      </c>
      <c r="I69" s="273">
        <v>1</v>
      </c>
      <c r="J69" s="274"/>
      <c r="K69" s="274"/>
      <c r="L69" s="274"/>
      <c r="M69" s="274"/>
      <c r="N69" s="274"/>
      <c r="O69" s="266" t="s">
        <v>384</v>
      </c>
    </row>
    <row r="70" spans="1:15">
      <c r="A70" s="265">
        <v>33</v>
      </c>
      <c r="B70" s="266" t="s">
        <v>126</v>
      </c>
      <c r="C70" s="267" t="s">
        <v>76</v>
      </c>
      <c r="D70" s="268">
        <v>67</v>
      </c>
      <c r="E70" s="269" t="s">
        <v>131</v>
      </c>
      <c r="F70" s="270" t="s">
        <v>124</v>
      </c>
      <c r="G70" s="271">
        <v>3900</v>
      </c>
      <c r="H70" s="272" t="s">
        <v>26</v>
      </c>
      <c r="I70" s="275">
        <v>1</v>
      </c>
      <c r="J70" s="274"/>
      <c r="K70" s="274"/>
      <c r="L70" s="274"/>
      <c r="M70" s="274"/>
      <c r="N70" s="274"/>
      <c r="O70" s="266" t="s">
        <v>472</v>
      </c>
    </row>
    <row r="71" spans="1:15">
      <c r="A71" s="265">
        <v>34</v>
      </c>
      <c r="B71" s="266" t="s">
        <v>126</v>
      </c>
      <c r="C71" s="267" t="s">
        <v>76</v>
      </c>
      <c r="D71" s="268">
        <v>67</v>
      </c>
      <c r="E71" s="269" t="s">
        <v>132</v>
      </c>
      <c r="F71" s="270" t="s">
        <v>124</v>
      </c>
      <c r="G71" s="271">
        <v>3900</v>
      </c>
      <c r="H71" s="272" t="s">
        <v>26</v>
      </c>
      <c r="I71" s="273">
        <v>1</v>
      </c>
      <c r="J71" s="274"/>
      <c r="K71" s="274"/>
      <c r="L71" s="274"/>
      <c r="M71" s="274"/>
      <c r="N71" s="274"/>
      <c r="O71" s="266" t="s">
        <v>450</v>
      </c>
    </row>
    <row r="72" spans="1:15" ht="16.5" thickBot="1">
      <c r="A72" s="25"/>
      <c r="B72" s="39" t="s">
        <v>133</v>
      </c>
      <c r="C72" s="44"/>
      <c r="D72" s="45"/>
      <c r="E72" s="46"/>
      <c r="F72" s="47"/>
      <c r="G72" s="51">
        <f>SUM(G40:G66)</f>
        <v>30470</v>
      </c>
      <c r="H72" s="49"/>
      <c r="I72" s="246"/>
      <c r="J72" s="50"/>
      <c r="K72" s="50"/>
      <c r="L72" s="50"/>
      <c r="M72" s="50"/>
      <c r="N72" s="50"/>
      <c r="O72" s="43"/>
    </row>
    <row r="73" spans="1:15" ht="16.5" thickTop="1">
      <c r="A73" s="52" t="s">
        <v>134</v>
      </c>
      <c r="B73" s="53" t="s">
        <v>135</v>
      </c>
      <c r="C73" s="44"/>
      <c r="D73" s="45"/>
      <c r="E73" s="46"/>
      <c r="F73" s="47"/>
      <c r="G73" s="54"/>
      <c r="H73" s="49"/>
      <c r="I73" s="42"/>
      <c r="J73" s="50"/>
      <c r="K73" s="50"/>
      <c r="L73" s="50"/>
      <c r="M73" s="50"/>
      <c r="N73" s="50"/>
      <c r="O73" s="43"/>
    </row>
    <row r="74" spans="1:15">
      <c r="A74" s="25">
        <v>8</v>
      </c>
      <c r="B74" s="43" t="s">
        <v>156</v>
      </c>
      <c r="C74" s="44" t="s">
        <v>134</v>
      </c>
      <c r="D74" s="45">
        <v>36</v>
      </c>
      <c r="E74" s="46" t="s">
        <v>157</v>
      </c>
      <c r="F74" s="47" t="s">
        <v>154</v>
      </c>
      <c r="G74" s="48">
        <v>3500</v>
      </c>
      <c r="H74" s="49" t="s">
        <v>26</v>
      </c>
      <c r="I74" s="33">
        <v>1</v>
      </c>
      <c r="J74" s="50"/>
      <c r="K74" s="50"/>
      <c r="L74" s="50"/>
      <c r="M74" s="50"/>
      <c r="N74" s="50"/>
      <c r="O74" s="43" t="s">
        <v>43</v>
      </c>
    </row>
    <row r="75" spans="1:15">
      <c r="A75" s="25">
        <v>9</v>
      </c>
      <c r="B75" s="43" t="s">
        <v>156</v>
      </c>
      <c r="C75" s="44" t="s">
        <v>134</v>
      </c>
      <c r="D75" s="45">
        <v>36</v>
      </c>
      <c r="E75" s="46" t="s">
        <v>158</v>
      </c>
      <c r="F75" s="47" t="s">
        <v>154</v>
      </c>
      <c r="G75" s="48">
        <v>3500</v>
      </c>
      <c r="H75" s="49" t="s">
        <v>26</v>
      </c>
      <c r="I75" s="33">
        <v>1</v>
      </c>
      <c r="J75" s="50"/>
      <c r="K75" s="50"/>
      <c r="L75" s="50"/>
      <c r="M75" s="50"/>
      <c r="N75" s="50"/>
      <c r="O75" s="43" t="s">
        <v>65</v>
      </c>
    </row>
    <row r="76" spans="1:15">
      <c r="A76" s="25">
        <v>10</v>
      </c>
      <c r="B76" s="43" t="s">
        <v>152</v>
      </c>
      <c r="C76" s="44" t="s">
        <v>134</v>
      </c>
      <c r="D76" s="45">
        <v>36</v>
      </c>
      <c r="E76" s="46" t="s">
        <v>159</v>
      </c>
      <c r="F76" s="47" t="s">
        <v>154</v>
      </c>
      <c r="G76" s="48">
        <v>3500</v>
      </c>
      <c r="H76" s="49" t="s">
        <v>26</v>
      </c>
      <c r="I76" s="33">
        <v>1</v>
      </c>
      <c r="J76" s="50"/>
      <c r="K76" s="50"/>
      <c r="L76" s="50"/>
      <c r="M76" s="50"/>
      <c r="N76" s="50"/>
      <c r="O76" s="43" t="s">
        <v>65</v>
      </c>
    </row>
    <row r="77" spans="1:15">
      <c r="A77" s="25">
        <v>20</v>
      </c>
      <c r="B77" s="43" t="s">
        <v>171</v>
      </c>
      <c r="C77" s="44" t="s">
        <v>134</v>
      </c>
      <c r="D77" s="45">
        <v>39</v>
      </c>
      <c r="E77" s="46" t="s">
        <v>175</v>
      </c>
      <c r="F77" s="47" t="s">
        <v>173</v>
      </c>
      <c r="G77" s="48">
        <v>2300</v>
      </c>
      <c r="H77" s="49" t="s">
        <v>26</v>
      </c>
      <c r="I77" s="33">
        <v>1</v>
      </c>
      <c r="J77" s="50"/>
      <c r="K77" s="50"/>
      <c r="L77" s="50"/>
      <c r="M77" s="50"/>
      <c r="N77" s="50"/>
      <c r="O77" s="43"/>
    </row>
    <row r="78" spans="1:15">
      <c r="A78" s="25">
        <v>35</v>
      </c>
      <c r="B78" s="43" t="s">
        <v>197</v>
      </c>
      <c r="C78" s="44" t="s">
        <v>134</v>
      </c>
      <c r="D78" s="45">
        <v>44</v>
      </c>
      <c r="E78" s="46" t="s">
        <v>198</v>
      </c>
      <c r="F78" s="47" t="s">
        <v>49</v>
      </c>
      <c r="G78" s="48">
        <v>2200</v>
      </c>
      <c r="H78" s="49" t="s">
        <v>26</v>
      </c>
      <c r="I78" s="33">
        <v>1</v>
      </c>
      <c r="J78" s="50"/>
      <c r="K78" s="50"/>
      <c r="L78" s="50"/>
      <c r="M78" s="50"/>
      <c r="O78" s="43" t="s">
        <v>532</v>
      </c>
    </row>
    <row r="79" spans="1:15" ht="16.5" thickBot="1">
      <c r="A79" s="47"/>
      <c r="B79" s="39" t="s">
        <v>209</v>
      </c>
      <c r="C79" s="44"/>
      <c r="D79" s="45"/>
      <c r="E79" s="46"/>
      <c r="F79" s="47"/>
      <c r="G79" s="51">
        <f>SUM(G74:G78)</f>
        <v>15000</v>
      </c>
      <c r="H79" s="49"/>
      <c r="I79" s="41"/>
      <c r="J79" s="50"/>
      <c r="K79" s="50"/>
      <c r="L79" s="50"/>
      <c r="M79" s="50"/>
      <c r="N79" s="50"/>
      <c r="O79" s="43"/>
    </row>
    <row r="80" spans="1:15" ht="16.5" thickTop="1">
      <c r="A80" s="47"/>
      <c r="B80" s="39"/>
      <c r="C80" s="44"/>
      <c r="D80" s="45"/>
      <c r="E80" s="46"/>
      <c r="F80" s="47"/>
      <c r="G80" s="250"/>
      <c r="H80" s="49"/>
      <c r="I80" s="41"/>
      <c r="J80" s="50"/>
      <c r="K80" s="50"/>
      <c r="L80" s="50"/>
      <c r="M80" s="50"/>
      <c r="N80" s="50"/>
      <c r="O80" s="43"/>
    </row>
    <row r="81" spans="1:15">
      <c r="A81" s="380" t="s">
        <v>210</v>
      </c>
      <c r="B81" s="381" t="s">
        <v>211</v>
      </c>
      <c r="C81" s="382"/>
      <c r="D81" s="383"/>
      <c r="E81" s="254"/>
      <c r="F81" s="260"/>
      <c r="G81" s="384"/>
      <c r="H81" s="257"/>
      <c r="I81" s="385"/>
      <c r="J81" s="386"/>
      <c r="K81" s="386"/>
      <c r="L81" s="386"/>
      <c r="M81" s="386"/>
      <c r="N81" s="386"/>
      <c r="O81" s="387"/>
    </row>
    <row r="82" spans="1:15">
      <c r="A82" s="265">
        <v>1</v>
      </c>
      <c r="B82" s="388" t="s">
        <v>212</v>
      </c>
      <c r="C82" s="382" t="s">
        <v>210</v>
      </c>
      <c r="D82" s="383">
        <v>50</v>
      </c>
      <c r="E82" s="254" t="s">
        <v>213</v>
      </c>
      <c r="F82" s="260" t="s">
        <v>214</v>
      </c>
      <c r="G82" s="263">
        <v>26000</v>
      </c>
      <c r="H82" s="257" t="s">
        <v>26</v>
      </c>
      <c r="I82" s="273">
        <v>1</v>
      </c>
      <c r="J82" s="386"/>
      <c r="K82" s="386"/>
      <c r="L82" s="386"/>
      <c r="M82" s="386"/>
      <c r="N82" s="386"/>
      <c r="O82" s="387" t="s">
        <v>215</v>
      </c>
    </row>
    <row r="83" spans="1:15">
      <c r="A83" s="265">
        <v>2</v>
      </c>
      <c r="B83" s="388" t="s">
        <v>216</v>
      </c>
      <c r="C83" s="382" t="s">
        <v>210</v>
      </c>
      <c r="D83" s="383">
        <v>56</v>
      </c>
      <c r="E83" s="254" t="s">
        <v>217</v>
      </c>
      <c r="F83" s="260" t="s">
        <v>218</v>
      </c>
      <c r="G83" s="263">
        <v>22000</v>
      </c>
      <c r="H83" s="257" t="s">
        <v>26</v>
      </c>
      <c r="I83" s="273">
        <v>1</v>
      </c>
      <c r="J83" s="386"/>
      <c r="K83" s="386"/>
      <c r="L83" s="386"/>
      <c r="M83" s="386"/>
      <c r="N83" s="386"/>
      <c r="O83" s="387" t="s">
        <v>22</v>
      </c>
    </row>
    <row r="84" spans="1:15">
      <c r="A84" s="265">
        <v>3</v>
      </c>
      <c r="B84" s="389" t="s">
        <v>211</v>
      </c>
      <c r="C84" s="382" t="s">
        <v>210</v>
      </c>
      <c r="D84" s="383">
        <v>52</v>
      </c>
      <c r="E84" s="254" t="s">
        <v>219</v>
      </c>
      <c r="F84" s="260" t="s">
        <v>220</v>
      </c>
      <c r="G84" s="390">
        <v>30495</v>
      </c>
      <c r="H84" s="391" t="s">
        <v>221</v>
      </c>
      <c r="I84" s="273">
        <v>1</v>
      </c>
      <c r="J84" s="392"/>
      <c r="K84" s="392"/>
      <c r="L84" s="392"/>
      <c r="M84" s="392"/>
      <c r="N84" s="392"/>
      <c r="O84" s="387" t="s">
        <v>222</v>
      </c>
    </row>
    <row r="85" spans="1:15">
      <c r="A85" s="265">
        <v>4</v>
      </c>
      <c r="B85" s="389" t="s">
        <v>211</v>
      </c>
      <c r="C85" s="382" t="s">
        <v>210</v>
      </c>
      <c r="D85" s="383">
        <v>52</v>
      </c>
      <c r="E85" s="254" t="s">
        <v>223</v>
      </c>
      <c r="F85" s="260" t="s">
        <v>220</v>
      </c>
      <c r="G85" s="390">
        <v>37985</v>
      </c>
      <c r="H85" s="391" t="s">
        <v>224</v>
      </c>
      <c r="I85" s="273">
        <v>1</v>
      </c>
      <c r="J85" s="392"/>
      <c r="K85" s="392"/>
      <c r="L85" s="392"/>
      <c r="M85" s="392"/>
      <c r="N85" s="392"/>
      <c r="O85" s="387" t="s">
        <v>222</v>
      </c>
    </row>
    <row r="86" spans="1:15">
      <c r="A86" s="265">
        <v>5</v>
      </c>
      <c r="B86" s="389" t="s">
        <v>211</v>
      </c>
      <c r="C86" s="382" t="s">
        <v>210</v>
      </c>
      <c r="D86" s="383">
        <v>52</v>
      </c>
      <c r="E86" s="254" t="s">
        <v>225</v>
      </c>
      <c r="F86" s="260" t="s">
        <v>220</v>
      </c>
      <c r="G86" s="393">
        <v>37985</v>
      </c>
      <c r="H86" s="391" t="s">
        <v>221</v>
      </c>
      <c r="I86" s="273">
        <v>1</v>
      </c>
      <c r="J86" s="392"/>
      <c r="K86" s="392"/>
      <c r="L86" s="392"/>
      <c r="M86" s="392"/>
      <c r="N86" s="392"/>
      <c r="O86" s="387" t="s">
        <v>222</v>
      </c>
    </row>
    <row r="87" spans="1:15">
      <c r="A87" s="265">
        <v>6</v>
      </c>
      <c r="B87" s="388" t="s">
        <v>226</v>
      </c>
      <c r="C87" s="394" t="s">
        <v>210</v>
      </c>
      <c r="D87" s="383">
        <v>64</v>
      </c>
      <c r="E87" s="254" t="s">
        <v>227</v>
      </c>
      <c r="F87" s="260" t="s">
        <v>228</v>
      </c>
      <c r="G87" s="263">
        <v>45500</v>
      </c>
      <c r="H87" s="257" t="s">
        <v>26</v>
      </c>
      <c r="I87" s="273">
        <v>1</v>
      </c>
      <c r="J87" s="273"/>
      <c r="K87" s="392"/>
      <c r="L87" s="392"/>
      <c r="M87" s="392"/>
      <c r="N87" s="392"/>
      <c r="O87" s="387" t="s">
        <v>229</v>
      </c>
    </row>
    <row r="88" spans="1:15">
      <c r="A88" s="265">
        <v>7</v>
      </c>
      <c r="B88" s="388" t="s">
        <v>226</v>
      </c>
      <c r="C88" s="394" t="s">
        <v>210</v>
      </c>
      <c r="D88" s="383">
        <v>64</v>
      </c>
      <c r="E88" s="254" t="s">
        <v>230</v>
      </c>
      <c r="F88" s="260" t="s">
        <v>228</v>
      </c>
      <c r="G88" s="263">
        <v>45500</v>
      </c>
      <c r="H88" s="257" t="s">
        <v>26</v>
      </c>
      <c r="I88" s="273">
        <v>1</v>
      </c>
      <c r="J88" s="273"/>
      <c r="K88" s="392"/>
      <c r="L88" s="392"/>
      <c r="M88" s="392"/>
      <c r="N88" s="392"/>
      <c r="O88" s="387" t="s">
        <v>229</v>
      </c>
    </row>
    <row r="89" spans="1:15">
      <c r="A89" s="265">
        <v>8</v>
      </c>
      <c r="B89" s="388" t="s">
        <v>226</v>
      </c>
      <c r="C89" s="394" t="s">
        <v>210</v>
      </c>
      <c r="D89" s="383">
        <v>64</v>
      </c>
      <c r="E89" s="254" t="s">
        <v>231</v>
      </c>
      <c r="F89" s="260" t="s">
        <v>228</v>
      </c>
      <c r="G89" s="263">
        <v>45500</v>
      </c>
      <c r="H89" s="257" t="s">
        <v>26</v>
      </c>
      <c r="I89" s="273">
        <v>1</v>
      </c>
      <c r="J89" s="273"/>
      <c r="K89" s="392"/>
      <c r="L89" s="392"/>
      <c r="M89" s="392"/>
      <c r="N89" s="392"/>
      <c r="O89" s="387" t="s">
        <v>229</v>
      </c>
    </row>
    <row r="90" spans="1:15">
      <c r="A90" s="265">
        <v>9</v>
      </c>
      <c r="B90" s="388" t="s">
        <v>226</v>
      </c>
      <c r="C90" s="394" t="s">
        <v>210</v>
      </c>
      <c r="D90" s="383">
        <v>64</v>
      </c>
      <c r="E90" s="254" t="s">
        <v>232</v>
      </c>
      <c r="F90" s="260" t="s">
        <v>228</v>
      </c>
      <c r="G90" s="263">
        <v>45500</v>
      </c>
      <c r="H90" s="272" t="s">
        <v>26</v>
      </c>
      <c r="I90" s="273">
        <v>1</v>
      </c>
      <c r="J90" s="273"/>
      <c r="K90" s="392"/>
      <c r="L90" s="392"/>
      <c r="M90" s="392"/>
      <c r="N90" s="392"/>
      <c r="O90" s="387" t="s">
        <v>229</v>
      </c>
    </row>
    <row r="91" spans="1:15">
      <c r="A91" s="265">
        <v>10</v>
      </c>
      <c r="B91" s="388" t="s">
        <v>226</v>
      </c>
      <c r="C91" s="394" t="s">
        <v>210</v>
      </c>
      <c r="D91" s="383">
        <v>64</v>
      </c>
      <c r="E91" s="254" t="s">
        <v>233</v>
      </c>
      <c r="F91" s="260" t="s">
        <v>228</v>
      </c>
      <c r="G91" s="263">
        <v>45500</v>
      </c>
      <c r="H91" s="272" t="s">
        <v>26</v>
      </c>
      <c r="I91" s="273">
        <v>1</v>
      </c>
      <c r="J91" s="273"/>
      <c r="K91" s="392"/>
      <c r="L91" s="392"/>
      <c r="M91" s="392"/>
      <c r="N91" s="392"/>
      <c r="O91" s="387" t="s">
        <v>229</v>
      </c>
    </row>
    <row r="92" spans="1:15" ht="31.5">
      <c r="A92" s="395">
        <v>11</v>
      </c>
      <c r="B92" s="385" t="s">
        <v>563</v>
      </c>
      <c r="C92" s="396" t="s">
        <v>210</v>
      </c>
      <c r="D92" s="268">
        <v>67</v>
      </c>
      <c r="E92" s="269" t="s">
        <v>561</v>
      </c>
      <c r="F92" s="270" t="s">
        <v>562</v>
      </c>
      <c r="G92" s="397">
        <v>37900</v>
      </c>
      <c r="H92" s="272" t="s">
        <v>26</v>
      </c>
      <c r="I92" s="273">
        <v>1</v>
      </c>
      <c r="J92" s="273"/>
      <c r="K92" s="398"/>
      <c r="L92" s="398"/>
      <c r="M92" s="398"/>
      <c r="N92" s="398"/>
      <c r="O92" s="399" t="s">
        <v>565</v>
      </c>
    </row>
    <row r="93" spans="1:15" ht="16.5" thickBot="1">
      <c r="A93" s="265"/>
      <c r="B93" s="400" t="s">
        <v>234</v>
      </c>
      <c r="C93" s="382"/>
      <c r="D93" s="383"/>
      <c r="E93" s="254"/>
      <c r="F93" s="260"/>
      <c r="G93" s="401">
        <f>SUM(G82:G92)</f>
        <v>419865</v>
      </c>
      <c r="H93" s="391"/>
      <c r="I93" s="41"/>
      <c r="J93" s="392"/>
      <c r="K93" s="392"/>
      <c r="L93" s="392"/>
      <c r="M93" s="392"/>
      <c r="N93" s="392"/>
      <c r="O93" s="387"/>
    </row>
    <row r="94" spans="1:15" ht="16.5" thickTop="1">
      <c r="A94" s="380" t="s">
        <v>235</v>
      </c>
      <c r="B94" s="381" t="s">
        <v>236</v>
      </c>
      <c r="C94" s="382"/>
      <c r="D94" s="383"/>
      <c r="E94" s="254"/>
      <c r="F94" s="260"/>
      <c r="G94" s="384"/>
      <c r="H94" s="257"/>
      <c r="I94" s="385"/>
      <c r="J94" s="386"/>
      <c r="K94" s="386"/>
      <c r="L94" s="386"/>
      <c r="M94" s="386"/>
      <c r="N94" s="386"/>
      <c r="O94" s="387"/>
    </row>
    <row r="95" spans="1:15">
      <c r="A95" s="265">
        <v>5</v>
      </c>
      <c r="B95" s="388" t="s">
        <v>244</v>
      </c>
      <c r="C95" s="382" t="s">
        <v>235</v>
      </c>
      <c r="D95" s="383">
        <v>57</v>
      </c>
      <c r="E95" s="254" t="s">
        <v>245</v>
      </c>
      <c r="F95" s="260" t="s">
        <v>74</v>
      </c>
      <c r="G95" s="263">
        <v>1444.5</v>
      </c>
      <c r="H95" s="257" t="s">
        <v>26</v>
      </c>
      <c r="I95" s="273">
        <v>1</v>
      </c>
      <c r="J95" s="386"/>
      <c r="K95" s="386"/>
      <c r="L95" s="386"/>
      <c r="M95" s="386"/>
      <c r="N95" s="386"/>
      <c r="O95" s="387" t="s">
        <v>596</v>
      </c>
    </row>
    <row r="96" spans="1:15">
      <c r="A96" s="265">
        <v>6</v>
      </c>
      <c r="B96" s="388" t="s">
        <v>244</v>
      </c>
      <c r="C96" s="382" t="s">
        <v>235</v>
      </c>
      <c r="D96" s="383">
        <v>57</v>
      </c>
      <c r="E96" s="254" t="s">
        <v>246</v>
      </c>
      <c r="F96" s="260" t="s">
        <v>74</v>
      </c>
      <c r="G96" s="263">
        <v>1444.5</v>
      </c>
      <c r="H96" s="257" t="s">
        <v>26</v>
      </c>
      <c r="I96" s="273">
        <v>1</v>
      </c>
      <c r="J96" s="386"/>
      <c r="K96" s="386"/>
      <c r="L96" s="386"/>
      <c r="M96" s="386"/>
      <c r="N96" s="386"/>
      <c r="O96" s="387" t="s">
        <v>596</v>
      </c>
    </row>
    <row r="97" spans="1:15">
      <c r="A97" s="265">
        <v>7</v>
      </c>
      <c r="B97" s="388" t="s">
        <v>247</v>
      </c>
      <c r="C97" s="382" t="s">
        <v>235</v>
      </c>
      <c r="D97" s="383">
        <v>57</v>
      </c>
      <c r="E97" s="254" t="s">
        <v>248</v>
      </c>
      <c r="F97" s="260" t="s">
        <v>74</v>
      </c>
      <c r="G97" s="263">
        <v>1766</v>
      </c>
      <c r="H97" s="257" t="s">
        <v>26</v>
      </c>
      <c r="I97" s="273">
        <v>1</v>
      </c>
      <c r="J97" s="386"/>
      <c r="K97" s="386"/>
      <c r="L97" s="386"/>
      <c r="M97" s="386"/>
      <c r="N97" s="386"/>
      <c r="O97" s="387" t="s">
        <v>596</v>
      </c>
    </row>
    <row r="98" spans="1:15">
      <c r="A98" s="265">
        <v>8</v>
      </c>
      <c r="B98" s="402" t="s">
        <v>249</v>
      </c>
      <c r="C98" s="267" t="s">
        <v>235</v>
      </c>
      <c r="D98" s="379" t="s">
        <v>250</v>
      </c>
      <c r="E98" s="269" t="s">
        <v>251</v>
      </c>
      <c r="F98" s="260" t="s">
        <v>220</v>
      </c>
      <c r="G98" s="403">
        <v>1158.81</v>
      </c>
      <c r="H98" s="257" t="s">
        <v>26</v>
      </c>
      <c r="I98" s="273">
        <v>1</v>
      </c>
      <c r="J98" s="398"/>
      <c r="K98" s="398"/>
      <c r="L98" s="398"/>
      <c r="M98" s="398"/>
      <c r="N98" s="398"/>
      <c r="O98" s="387" t="s">
        <v>222</v>
      </c>
    </row>
    <row r="99" spans="1:15">
      <c r="A99" s="265">
        <v>9</v>
      </c>
      <c r="B99" s="402" t="s">
        <v>249</v>
      </c>
      <c r="C99" s="267" t="s">
        <v>235</v>
      </c>
      <c r="D99" s="379" t="s">
        <v>250</v>
      </c>
      <c r="E99" s="269" t="s">
        <v>252</v>
      </c>
      <c r="F99" s="260" t="s">
        <v>220</v>
      </c>
      <c r="G99" s="403">
        <v>1158.81</v>
      </c>
      <c r="H99" s="257" t="s">
        <v>26</v>
      </c>
      <c r="I99" s="273">
        <v>1</v>
      </c>
      <c r="J99" s="398"/>
      <c r="K99" s="398"/>
      <c r="L99" s="398"/>
      <c r="M99" s="398"/>
      <c r="N99" s="398"/>
      <c r="O99" s="387" t="s">
        <v>222</v>
      </c>
    </row>
    <row r="100" spans="1:15">
      <c r="A100" s="265">
        <v>10</v>
      </c>
      <c r="B100" s="402" t="s">
        <v>249</v>
      </c>
      <c r="C100" s="267" t="s">
        <v>235</v>
      </c>
      <c r="D100" s="379" t="s">
        <v>250</v>
      </c>
      <c r="E100" s="269" t="s">
        <v>253</v>
      </c>
      <c r="F100" s="260" t="s">
        <v>220</v>
      </c>
      <c r="G100" s="403">
        <v>1158.81</v>
      </c>
      <c r="H100" s="257" t="s">
        <v>26</v>
      </c>
      <c r="I100" s="273">
        <v>1</v>
      </c>
      <c r="J100" s="398"/>
      <c r="K100" s="398"/>
      <c r="L100" s="398"/>
      <c r="M100" s="398"/>
      <c r="N100" s="398"/>
      <c r="O100" s="387" t="s">
        <v>222</v>
      </c>
    </row>
    <row r="101" spans="1:15">
      <c r="A101" s="265">
        <v>11</v>
      </c>
      <c r="B101" s="402" t="s">
        <v>254</v>
      </c>
      <c r="C101" s="267" t="s">
        <v>235</v>
      </c>
      <c r="D101" s="379" t="s">
        <v>250</v>
      </c>
      <c r="E101" s="269" t="s">
        <v>255</v>
      </c>
      <c r="F101" s="260" t="s">
        <v>220</v>
      </c>
      <c r="G101" s="403">
        <v>1300</v>
      </c>
      <c r="H101" s="257" t="s">
        <v>26</v>
      </c>
      <c r="I101" s="273">
        <v>1</v>
      </c>
      <c r="J101" s="398"/>
      <c r="K101" s="398"/>
      <c r="L101" s="398"/>
      <c r="M101" s="398"/>
      <c r="N101" s="398"/>
      <c r="O101" s="399" t="s">
        <v>256</v>
      </c>
    </row>
    <row r="102" spans="1:15">
      <c r="A102" s="265">
        <v>12</v>
      </c>
      <c r="B102" s="402" t="s">
        <v>254</v>
      </c>
      <c r="C102" s="267" t="s">
        <v>235</v>
      </c>
      <c r="D102" s="379" t="s">
        <v>250</v>
      </c>
      <c r="E102" s="269" t="s">
        <v>257</v>
      </c>
      <c r="F102" s="260" t="s">
        <v>220</v>
      </c>
      <c r="G102" s="403">
        <v>1300</v>
      </c>
      <c r="H102" s="257" t="s">
        <v>26</v>
      </c>
      <c r="I102" s="273">
        <v>1</v>
      </c>
      <c r="J102" s="398"/>
      <c r="K102" s="398"/>
      <c r="L102" s="398"/>
      <c r="M102" s="398"/>
      <c r="N102" s="398"/>
      <c r="O102" s="399" t="s">
        <v>256</v>
      </c>
    </row>
    <row r="103" spans="1:15">
      <c r="A103" s="265">
        <v>13</v>
      </c>
      <c r="B103" s="402" t="s">
        <v>254</v>
      </c>
      <c r="C103" s="267" t="s">
        <v>235</v>
      </c>
      <c r="D103" s="379" t="s">
        <v>250</v>
      </c>
      <c r="E103" s="269" t="s">
        <v>258</v>
      </c>
      <c r="F103" s="260" t="s">
        <v>220</v>
      </c>
      <c r="G103" s="403">
        <v>1300</v>
      </c>
      <c r="H103" s="257" t="s">
        <v>26</v>
      </c>
      <c r="I103" s="273">
        <v>1</v>
      </c>
      <c r="J103" s="398"/>
      <c r="K103" s="398"/>
      <c r="L103" s="398"/>
      <c r="M103" s="398"/>
      <c r="N103" s="398"/>
      <c r="O103" s="399" t="s">
        <v>256</v>
      </c>
    </row>
    <row r="104" spans="1:15" ht="16.5" thickBot="1">
      <c r="A104" s="255"/>
      <c r="B104" s="400" t="s">
        <v>260</v>
      </c>
      <c r="C104" s="267"/>
      <c r="D104" s="379"/>
      <c r="E104" s="269"/>
      <c r="F104" s="260"/>
      <c r="G104" s="404">
        <f>SUM(G95:G103)</f>
        <v>12031.429999999998</v>
      </c>
      <c r="H104" s="257"/>
      <c r="I104" s="41"/>
      <c r="J104" s="398"/>
      <c r="K104" s="398"/>
      <c r="L104" s="398"/>
      <c r="M104" s="398"/>
      <c r="N104" s="398"/>
      <c r="O104" s="405"/>
    </row>
    <row r="105" spans="1:15" ht="16.5" thickTop="1">
      <c r="A105" s="406">
        <v>3</v>
      </c>
      <c r="B105" s="407" t="s">
        <v>270</v>
      </c>
      <c r="C105" s="383"/>
      <c r="D105" s="378"/>
      <c r="E105" s="254"/>
      <c r="F105" s="408"/>
      <c r="G105" s="409"/>
      <c r="H105" s="410"/>
      <c r="I105" s="386"/>
      <c r="J105" s="386"/>
      <c r="K105" s="386"/>
      <c r="L105" s="386"/>
      <c r="M105" s="386"/>
      <c r="N105" s="411"/>
      <c r="O105" s="412"/>
    </row>
    <row r="106" spans="1:15">
      <c r="A106" s="380" t="s">
        <v>271</v>
      </c>
      <c r="B106" s="381" t="s">
        <v>272</v>
      </c>
      <c r="C106" s="382"/>
      <c r="D106" s="383"/>
      <c r="E106" s="254"/>
      <c r="F106" s="260"/>
      <c r="G106" s="384"/>
      <c r="H106" s="257"/>
      <c r="I106" s="385"/>
      <c r="J106" s="386"/>
      <c r="K106" s="386"/>
      <c r="L106" s="386"/>
      <c r="M106" s="386"/>
      <c r="N106" s="386"/>
      <c r="O106" s="387"/>
    </row>
    <row r="107" spans="1:15" ht="31.5">
      <c r="A107" s="395">
        <v>1</v>
      </c>
      <c r="B107" s="413" t="s">
        <v>273</v>
      </c>
      <c r="C107" s="414" t="s">
        <v>271</v>
      </c>
      <c r="D107" s="268">
        <v>64</v>
      </c>
      <c r="E107" s="269" t="s">
        <v>274</v>
      </c>
      <c r="F107" s="270" t="s">
        <v>275</v>
      </c>
      <c r="G107" s="397">
        <v>4150</v>
      </c>
      <c r="H107" s="415" t="s">
        <v>21</v>
      </c>
      <c r="I107" s="273">
        <v>1</v>
      </c>
      <c r="J107" s="386"/>
      <c r="K107" s="386"/>
      <c r="L107" s="386"/>
      <c r="M107" s="386"/>
      <c r="N107" s="386"/>
      <c r="O107" s="399" t="s">
        <v>276</v>
      </c>
    </row>
    <row r="108" spans="1:15" ht="31.5">
      <c r="A108" s="395">
        <v>2</v>
      </c>
      <c r="B108" s="413" t="s">
        <v>273</v>
      </c>
      <c r="C108" s="414" t="s">
        <v>271</v>
      </c>
      <c r="D108" s="268">
        <v>64</v>
      </c>
      <c r="E108" s="269" t="s">
        <v>277</v>
      </c>
      <c r="F108" s="270" t="s">
        <v>275</v>
      </c>
      <c r="G108" s="397">
        <v>4150</v>
      </c>
      <c r="H108" s="415" t="s">
        <v>21</v>
      </c>
      <c r="I108" s="273">
        <v>1</v>
      </c>
      <c r="J108" s="386"/>
      <c r="K108" s="386"/>
      <c r="L108" s="386"/>
      <c r="M108" s="386"/>
      <c r="N108" s="386"/>
      <c r="O108" s="399" t="s">
        <v>276</v>
      </c>
    </row>
    <row r="109" spans="1:15" ht="51" customHeight="1">
      <c r="A109" s="395">
        <v>3</v>
      </c>
      <c r="B109" s="413" t="s">
        <v>273</v>
      </c>
      <c r="C109" s="414" t="s">
        <v>271</v>
      </c>
      <c r="D109" s="268">
        <v>64</v>
      </c>
      <c r="E109" s="269" t="s">
        <v>278</v>
      </c>
      <c r="F109" s="270" t="s">
        <v>275</v>
      </c>
      <c r="G109" s="397">
        <v>4150</v>
      </c>
      <c r="H109" s="415" t="s">
        <v>21</v>
      </c>
      <c r="I109" s="273">
        <v>1</v>
      </c>
      <c r="J109" s="386"/>
      <c r="K109" s="386"/>
      <c r="L109" s="386"/>
      <c r="M109" s="386"/>
      <c r="N109" s="386"/>
      <c r="O109" s="399" t="s">
        <v>276</v>
      </c>
    </row>
    <row r="110" spans="1:15" ht="31.5">
      <c r="A110" s="395">
        <v>4</v>
      </c>
      <c r="B110" s="413" t="s">
        <v>273</v>
      </c>
      <c r="C110" s="414" t="s">
        <v>271</v>
      </c>
      <c r="D110" s="268">
        <v>64</v>
      </c>
      <c r="E110" s="269" t="s">
        <v>279</v>
      </c>
      <c r="F110" s="270" t="s">
        <v>275</v>
      </c>
      <c r="G110" s="397">
        <v>4150</v>
      </c>
      <c r="H110" s="415" t="s">
        <v>21</v>
      </c>
      <c r="I110" s="273">
        <v>1</v>
      </c>
      <c r="J110" s="386"/>
      <c r="K110" s="386"/>
      <c r="L110" s="386"/>
      <c r="M110" s="386"/>
      <c r="N110" s="386"/>
      <c r="O110" s="399" t="s">
        <v>276</v>
      </c>
    </row>
    <row r="111" spans="1:15" ht="16.5" thickBot="1">
      <c r="A111" s="395"/>
      <c r="B111" s="400" t="s">
        <v>280</v>
      </c>
      <c r="C111" s="414"/>
      <c r="D111" s="268"/>
      <c r="E111" s="269"/>
      <c r="F111" s="270"/>
      <c r="G111" s="416">
        <f>SUM(G107:G110)</f>
        <v>16600</v>
      </c>
      <c r="H111" s="415"/>
      <c r="I111" s="41"/>
      <c r="J111" s="274"/>
      <c r="K111" s="274"/>
      <c r="L111" s="274"/>
      <c r="M111" s="274"/>
      <c r="N111" s="274"/>
      <c r="O111" s="399"/>
    </row>
    <row r="112" spans="1:15" ht="16.5" thickTop="1">
      <c r="A112" s="406">
        <v>5</v>
      </c>
      <c r="B112" s="407" t="s">
        <v>287</v>
      </c>
      <c r="C112" s="383"/>
      <c r="D112" s="378"/>
      <c r="E112" s="254"/>
      <c r="F112" s="408"/>
      <c r="G112" s="409"/>
      <c r="H112" s="410"/>
      <c r="I112" s="386"/>
      <c r="J112" s="386"/>
      <c r="K112" s="386"/>
      <c r="L112" s="386"/>
      <c r="M112" s="386"/>
      <c r="N112" s="411"/>
      <c r="O112" s="412"/>
    </row>
    <row r="113" spans="1:15">
      <c r="A113" s="417">
        <v>6</v>
      </c>
      <c r="B113" s="407" t="s">
        <v>288</v>
      </c>
      <c r="C113" s="383"/>
      <c r="D113" s="378"/>
      <c r="E113" s="254"/>
      <c r="F113" s="408"/>
      <c r="G113" s="409"/>
      <c r="H113" s="410"/>
      <c r="I113" s="386"/>
      <c r="J113" s="386"/>
      <c r="K113" s="386"/>
      <c r="L113" s="386"/>
      <c r="M113" s="386"/>
      <c r="N113" s="411"/>
      <c r="O113" s="412"/>
    </row>
    <row r="114" spans="1:15">
      <c r="A114" s="380" t="s">
        <v>289</v>
      </c>
      <c r="B114" s="381" t="s">
        <v>290</v>
      </c>
      <c r="C114" s="418"/>
      <c r="D114" s="419"/>
      <c r="E114" s="420"/>
      <c r="F114" s="421"/>
      <c r="G114" s="422"/>
      <c r="H114" s="423"/>
      <c r="I114" s="424"/>
      <c r="J114" s="425"/>
      <c r="K114" s="425"/>
      <c r="L114" s="426"/>
      <c r="M114" s="426"/>
      <c r="N114" s="425"/>
      <c r="O114" s="427"/>
    </row>
    <row r="115" spans="1:15">
      <c r="A115" s="265">
        <v>1</v>
      </c>
      <c r="B115" s="389" t="s">
        <v>291</v>
      </c>
      <c r="C115" s="382" t="s">
        <v>289</v>
      </c>
      <c r="D115" s="383">
        <v>49</v>
      </c>
      <c r="E115" s="254" t="s">
        <v>292</v>
      </c>
      <c r="F115" s="260" t="s">
        <v>293</v>
      </c>
      <c r="G115" s="393">
        <v>3210</v>
      </c>
      <c r="H115" s="391" t="s">
        <v>26</v>
      </c>
      <c r="I115" s="273">
        <v>1</v>
      </c>
      <c r="J115" s="392"/>
      <c r="K115" s="392"/>
      <c r="L115" s="392"/>
      <c r="M115" s="392"/>
      <c r="N115" s="392"/>
      <c r="O115" s="387" t="s">
        <v>294</v>
      </c>
    </row>
    <row r="116" spans="1:15" ht="16.5" thickBot="1">
      <c r="A116" s="265"/>
      <c r="B116" s="400" t="s">
        <v>295</v>
      </c>
      <c r="C116" s="382"/>
      <c r="D116" s="383"/>
      <c r="E116" s="254"/>
      <c r="F116" s="260"/>
      <c r="G116" s="401">
        <f>SUM(G115)</f>
        <v>3210</v>
      </c>
      <c r="H116" s="391"/>
      <c r="I116" s="41"/>
      <c r="J116" s="392"/>
      <c r="K116" s="392"/>
      <c r="L116" s="392"/>
      <c r="M116" s="392"/>
      <c r="N116" s="392"/>
      <c r="O116" s="387"/>
    </row>
    <row r="117" spans="1:15" ht="16.5" thickTop="1">
      <c r="A117" s="380" t="s">
        <v>296</v>
      </c>
      <c r="B117" s="381" t="s">
        <v>297</v>
      </c>
      <c r="C117" s="382"/>
      <c r="D117" s="378"/>
      <c r="E117" s="254"/>
      <c r="F117" s="260"/>
      <c r="G117" s="428"/>
      <c r="H117" s="415"/>
      <c r="I117" s="385"/>
      <c r="J117" s="392"/>
      <c r="K117" s="392"/>
      <c r="L117" s="392"/>
      <c r="M117" s="392"/>
      <c r="N117" s="392"/>
      <c r="O117" s="387"/>
    </row>
    <row r="118" spans="1:15">
      <c r="A118" s="395">
        <v>1</v>
      </c>
      <c r="B118" s="411" t="s">
        <v>298</v>
      </c>
      <c r="C118" s="382" t="s">
        <v>296</v>
      </c>
      <c r="D118" s="383">
        <v>52</v>
      </c>
      <c r="E118" s="254" t="s">
        <v>299</v>
      </c>
      <c r="F118" s="260" t="s">
        <v>300</v>
      </c>
      <c r="G118" s="263">
        <v>1200</v>
      </c>
      <c r="H118" s="391" t="s">
        <v>26</v>
      </c>
      <c r="I118" s="273">
        <v>1</v>
      </c>
      <c r="J118" s="386"/>
      <c r="K118" s="386"/>
      <c r="L118" s="386"/>
      <c r="M118" s="386"/>
      <c r="N118" s="386"/>
      <c r="O118" s="387"/>
    </row>
    <row r="119" spans="1:15" ht="31.5">
      <c r="A119" s="395">
        <v>2</v>
      </c>
      <c r="B119" s="429" t="s">
        <v>645</v>
      </c>
      <c r="C119" s="382" t="s">
        <v>296</v>
      </c>
      <c r="D119" s="383">
        <v>52</v>
      </c>
      <c r="E119" s="254" t="s">
        <v>302</v>
      </c>
      <c r="F119" s="260" t="s">
        <v>300</v>
      </c>
      <c r="G119" s="264">
        <v>3700</v>
      </c>
      <c r="H119" s="391" t="s">
        <v>26</v>
      </c>
      <c r="I119" s="273">
        <v>1</v>
      </c>
      <c r="J119" s="386"/>
      <c r="K119" s="386"/>
      <c r="L119" s="386"/>
      <c r="M119" s="386"/>
      <c r="N119" s="386"/>
      <c r="O119" s="387" t="s">
        <v>303</v>
      </c>
    </row>
    <row r="120" spans="1:15">
      <c r="A120" s="395">
        <v>3</v>
      </c>
      <c r="B120" s="411" t="s">
        <v>304</v>
      </c>
      <c r="C120" s="382" t="s">
        <v>296</v>
      </c>
      <c r="D120" s="383">
        <v>63</v>
      </c>
      <c r="E120" s="254" t="s">
        <v>305</v>
      </c>
      <c r="F120" s="260" t="s">
        <v>306</v>
      </c>
      <c r="G120" s="264">
        <v>8450</v>
      </c>
      <c r="H120" s="391" t="s">
        <v>26</v>
      </c>
      <c r="I120" s="273">
        <v>1</v>
      </c>
      <c r="J120" s="386"/>
      <c r="K120" s="386"/>
      <c r="L120" s="386"/>
      <c r="M120" s="386"/>
      <c r="N120" s="386"/>
      <c r="O120" s="387" t="s">
        <v>294</v>
      </c>
    </row>
    <row r="121" spans="1:15" ht="16.5" thickBot="1">
      <c r="A121" s="265"/>
      <c r="B121" s="400" t="s">
        <v>307</v>
      </c>
      <c r="C121" s="382"/>
      <c r="D121" s="383"/>
      <c r="E121" s="254"/>
      <c r="F121" s="260"/>
      <c r="G121" s="430">
        <f>SUM(G118:G120)</f>
        <v>13350</v>
      </c>
      <c r="H121" s="391"/>
      <c r="I121" s="41"/>
      <c r="J121" s="386"/>
      <c r="K121" s="386"/>
      <c r="L121" s="386"/>
      <c r="M121" s="386"/>
      <c r="N121" s="386"/>
      <c r="O121" s="387"/>
    </row>
    <row r="122" spans="1:15" ht="16.5" thickTop="1">
      <c r="A122" s="380" t="s">
        <v>308</v>
      </c>
      <c r="B122" s="381" t="s">
        <v>309</v>
      </c>
      <c r="C122" s="382"/>
      <c r="D122" s="383"/>
      <c r="E122" s="254"/>
      <c r="F122" s="260"/>
      <c r="G122" s="384"/>
      <c r="H122" s="391"/>
      <c r="I122" s="385"/>
      <c r="J122" s="386"/>
      <c r="K122" s="386"/>
      <c r="L122" s="386"/>
      <c r="M122" s="386"/>
      <c r="N122" s="386"/>
      <c r="O122" s="387"/>
    </row>
    <row r="123" spans="1:15">
      <c r="A123" s="265">
        <v>1</v>
      </c>
      <c r="B123" s="389" t="s">
        <v>310</v>
      </c>
      <c r="C123" s="382" t="s">
        <v>308</v>
      </c>
      <c r="D123" s="383">
        <v>18</v>
      </c>
      <c r="E123" s="254" t="s">
        <v>266</v>
      </c>
      <c r="F123" s="260" t="s">
        <v>311</v>
      </c>
      <c r="G123" s="263">
        <v>30330</v>
      </c>
      <c r="H123" s="391" t="s">
        <v>26</v>
      </c>
      <c r="I123" s="273">
        <v>1</v>
      </c>
      <c r="J123" s="386"/>
      <c r="K123" s="386"/>
      <c r="L123" s="386"/>
      <c r="M123" s="386"/>
      <c r="N123" s="386"/>
      <c r="O123" s="387" t="s">
        <v>312</v>
      </c>
    </row>
    <row r="124" spans="1:15">
      <c r="A124" s="395">
        <v>2</v>
      </c>
      <c r="B124" s="431" t="s">
        <v>313</v>
      </c>
      <c r="C124" s="267" t="s">
        <v>308</v>
      </c>
      <c r="D124" s="268">
        <v>34</v>
      </c>
      <c r="E124" s="269" t="s">
        <v>314</v>
      </c>
      <c r="F124" s="270" t="s">
        <v>315</v>
      </c>
      <c r="G124" s="397">
        <v>52500</v>
      </c>
      <c r="H124" s="415" t="s">
        <v>26</v>
      </c>
      <c r="I124" s="273">
        <v>1</v>
      </c>
      <c r="J124" s="274"/>
      <c r="K124" s="274"/>
      <c r="L124" s="274"/>
      <c r="M124" s="274"/>
      <c r="N124" s="274"/>
      <c r="O124" s="399" t="s">
        <v>312</v>
      </c>
    </row>
    <row r="125" spans="1:15" ht="31.5">
      <c r="A125" s="395">
        <v>3</v>
      </c>
      <c r="B125" s="402" t="s">
        <v>646</v>
      </c>
      <c r="C125" s="267" t="s">
        <v>308</v>
      </c>
      <c r="D125" s="268">
        <v>45</v>
      </c>
      <c r="E125" s="269" t="s">
        <v>292</v>
      </c>
      <c r="F125" s="270" t="s">
        <v>317</v>
      </c>
      <c r="G125" s="397">
        <v>40000</v>
      </c>
      <c r="H125" s="415" t="s">
        <v>26</v>
      </c>
      <c r="I125" s="273">
        <v>1</v>
      </c>
      <c r="J125" s="274"/>
      <c r="K125" s="274"/>
      <c r="L125" s="274"/>
      <c r="M125" s="274"/>
      <c r="N125" s="274"/>
      <c r="O125" s="399" t="s">
        <v>36</v>
      </c>
    </row>
    <row r="126" spans="1:15">
      <c r="A126" s="395">
        <v>4</v>
      </c>
      <c r="B126" s="402" t="s">
        <v>318</v>
      </c>
      <c r="C126" s="267" t="s">
        <v>308</v>
      </c>
      <c r="D126" s="268">
        <v>56</v>
      </c>
      <c r="E126" s="269" t="s">
        <v>319</v>
      </c>
      <c r="F126" s="270" t="s">
        <v>320</v>
      </c>
      <c r="G126" s="432">
        <v>49000</v>
      </c>
      <c r="H126" s="415" t="s">
        <v>26</v>
      </c>
      <c r="I126" s="273">
        <v>1</v>
      </c>
      <c r="J126" s="274"/>
      <c r="K126" s="274"/>
      <c r="L126" s="274"/>
      <c r="M126" s="274"/>
      <c r="N126" s="274"/>
      <c r="O126" s="399" t="s">
        <v>312</v>
      </c>
    </row>
    <row r="127" spans="1:15" ht="31.5">
      <c r="A127" s="395">
        <v>5</v>
      </c>
      <c r="B127" s="402" t="s">
        <v>321</v>
      </c>
      <c r="C127" s="267" t="s">
        <v>308</v>
      </c>
      <c r="D127" s="268">
        <v>62</v>
      </c>
      <c r="E127" s="269" t="s">
        <v>322</v>
      </c>
      <c r="F127" s="270" t="s">
        <v>323</v>
      </c>
      <c r="G127" s="432">
        <v>298530</v>
      </c>
      <c r="H127" s="415" t="s">
        <v>26</v>
      </c>
      <c r="I127" s="273">
        <v>1</v>
      </c>
      <c r="J127" s="274"/>
      <c r="K127" s="274"/>
      <c r="L127" s="274"/>
      <c r="M127" s="274"/>
      <c r="N127" s="274"/>
      <c r="O127" s="399" t="s">
        <v>312</v>
      </c>
    </row>
    <row r="128" spans="1:15" ht="16.5" thickBot="1">
      <c r="A128" s="395"/>
      <c r="B128" s="400" t="s">
        <v>324</v>
      </c>
      <c r="C128" s="267"/>
      <c r="D128" s="268"/>
      <c r="E128" s="269"/>
      <c r="F128" s="270"/>
      <c r="G128" s="416">
        <f>SUM(G123:G127)</f>
        <v>470360</v>
      </c>
      <c r="H128" s="415"/>
      <c r="I128" s="41"/>
      <c r="J128" s="274"/>
      <c r="K128" s="274"/>
      <c r="L128" s="274"/>
      <c r="M128" s="274"/>
      <c r="N128" s="274"/>
      <c r="O128" s="399"/>
    </row>
    <row r="129" spans="1:15" ht="16.5" thickTop="1">
      <c r="A129" s="380" t="s">
        <v>325</v>
      </c>
      <c r="B129" s="381" t="s">
        <v>326</v>
      </c>
      <c r="C129" s="267"/>
      <c r="D129" s="268"/>
      <c r="E129" s="269"/>
      <c r="F129" s="270"/>
      <c r="G129" s="433"/>
      <c r="H129" s="415"/>
      <c r="I129" s="385"/>
      <c r="J129" s="274"/>
      <c r="K129" s="274"/>
      <c r="L129" s="274"/>
      <c r="M129" s="274"/>
      <c r="N129" s="274"/>
      <c r="O129" s="399"/>
    </row>
    <row r="130" spans="1:15">
      <c r="A130" s="395">
        <v>1</v>
      </c>
      <c r="B130" s="402" t="s">
        <v>327</v>
      </c>
      <c r="C130" s="267" t="s">
        <v>325</v>
      </c>
      <c r="D130" s="268">
        <v>28</v>
      </c>
      <c r="E130" s="269" t="s">
        <v>314</v>
      </c>
      <c r="F130" s="270" t="s">
        <v>328</v>
      </c>
      <c r="G130" s="397">
        <v>44800</v>
      </c>
      <c r="H130" s="415" t="s">
        <v>26</v>
      </c>
      <c r="I130" s="273">
        <v>1</v>
      </c>
      <c r="J130" s="274"/>
      <c r="K130" s="274"/>
      <c r="L130" s="274"/>
      <c r="M130" s="274"/>
      <c r="N130" s="274"/>
      <c r="O130" s="399" t="s">
        <v>329</v>
      </c>
    </row>
    <row r="131" spans="1:15">
      <c r="A131" s="265">
        <v>2</v>
      </c>
      <c r="B131" s="389" t="s">
        <v>330</v>
      </c>
      <c r="C131" s="382" t="s">
        <v>325</v>
      </c>
      <c r="D131" s="383">
        <v>32</v>
      </c>
      <c r="E131" s="254" t="s">
        <v>331</v>
      </c>
      <c r="F131" s="260" t="s">
        <v>332</v>
      </c>
      <c r="G131" s="263">
        <v>97300</v>
      </c>
      <c r="H131" s="391" t="s">
        <v>26</v>
      </c>
      <c r="I131" s="273">
        <v>1</v>
      </c>
      <c r="J131" s="386"/>
      <c r="K131" s="386"/>
      <c r="L131" s="386"/>
      <c r="M131" s="386"/>
      <c r="N131" s="386"/>
      <c r="O131" s="399" t="s">
        <v>312</v>
      </c>
    </row>
    <row r="132" spans="1:15">
      <c r="A132" s="265">
        <v>3</v>
      </c>
      <c r="B132" s="389" t="s">
        <v>333</v>
      </c>
      <c r="C132" s="382" t="s">
        <v>325</v>
      </c>
      <c r="D132" s="383">
        <v>45</v>
      </c>
      <c r="E132" s="254" t="s">
        <v>292</v>
      </c>
      <c r="F132" s="260" t="s">
        <v>334</v>
      </c>
      <c r="G132" s="263">
        <v>324000</v>
      </c>
      <c r="H132" s="391" t="s">
        <v>26</v>
      </c>
      <c r="I132" s="273">
        <v>1</v>
      </c>
      <c r="J132" s="386"/>
      <c r="K132" s="386"/>
      <c r="L132" s="386"/>
      <c r="M132" s="386"/>
      <c r="N132" s="386"/>
      <c r="O132" s="387" t="s">
        <v>312</v>
      </c>
    </row>
    <row r="133" spans="1:15" ht="31.5">
      <c r="A133" s="395">
        <v>4</v>
      </c>
      <c r="B133" s="431" t="s">
        <v>335</v>
      </c>
      <c r="C133" s="267" t="s">
        <v>325</v>
      </c>
      <c r="D133" s="268">
        <v>45</v>
      </c>
      <c r="E133" s="269" t="s">
        <v>319</v>
      </c>
      <c r="F133" s="270" t="s">
        <v>334</v>
      </c>
      <c r="G133" s="397">
        <v>25000</v>
      </c>
      <c r="H133" s="415" t="s">
        <v>26</v>
      </c>
      <c r="I133" s="273">
        <v>1</v>
      </c>
      <c r="J133" s="274"/>
      <c r="K133" s="274"/>
      <c r="L133" s="274"/>
      <c r="M133" s="274"/>
      <c r="N133" s="274"/>
      <c r="O133" s="387" t="s">
        <v>312</v>
      </c>
    </row>
    <row r="134" spans="1:15" ht="47.25">
      <c r="A134" s="395">
        <v>5</v>
      </c>
      <c r="B134" s="431" t="s">
        <v>336</v>
      </c>
      <c r="C134" s="267" t="s">
        <v>325</v>
      </c>
      <c r="D134" s="268">
        <v>49</v>
      </c>
      <c r="E134" s="269" t="s">
        <v>322</v>
      </c>
      <c r="F134" s="270" t="s">
        <v>337</v>
      </c>
      <c r="G134" s="432">
        <v>395900</v>
      </c>
      <c r="H134" s="415" t="s">
        <v>26</v>
      </c>
      <c r="I134" s="273">
        <v>1</v>
      </c>
      <c r="J134" s="274"/>
      <c r="K134" s="274"/>
      <c r="L134" s="274"/>
      <c r="M134" s="274"/>
      <c r="N134" s="274"/>
      <c r="O134" s="399" t="s">
        <v>312</v>
      </c>
    </row>
    <row r="135" spans="1:15" ht="16.5" thickBot="1">
      <c r="A135" s="265"/>
      <c r="B135" s="400" t="s">
        <v>338</v>
      </c>
      <c r="C135" s="382"/>
      <c r="D135" s="383"/>
      <c r="E135" s="254"/>
      <c r="F135" s="260"/>
      <c r="G135" s="430">
        <f>SUM(G130:G134)</f>
        <v>887000</v>
      </c>
      <c r="H135" s="391"/>
      <c r="I135" s="41"/>
      <c r="J135" s="386"/>
      <c r="K135" s="386"/>
      <c r="L135" s="386"/>
      <c r="M135" s="386"/>
      <c r="N135" s="386"/>
      <c r="O135" s="387"/>
    </row>
    <row r="136" spans="1:15" ht="16.5" thickTop="1">
      <c r="A136" s="417">
        <v>7</v>
      </c>
      <c r="B136" s="407" t="s">
        <v>339</v>
      </c>
      <c r="C136" s="383"/>
      <c r="D136" s="378"/>
      <c r="E136" s="254"/>
      <c r="F136" s="408"/>
      <c r="G136" s="409"/>
      <c r="H136" s="410"/>
      <c r="I136" s="386"/>
      <c r="J136" s="386"/>
      <c r="K136" s="386"/>
      <c r="L136" s="386"/>
      <c r="M136" s="386"/>
      <c r="N136" s="411"/>
      <c r="O136" s="412"/>
    </row>
    <row r="137" spans="1:15">
      <c r="A137" s="380" t="s">
        <v>340</v>
      </c>
      <c r="B137" s="381" t="s">
        <v>341</v>
      </c>
      <c r="C137" s="382"/>
      <c r="D137" s="383"/>
      <c r="E137" s="254"/>
      <c r="F137" s="260"/>
      <c r="G137" s="384"/>
      <c r="H137" s="257"/>
      <c r="I137" s="385"/>
      <c r="J137" s="386"/>
      <c r="K137" s="386"/>
      <c r="L137" s="386"/>
      <c r="M137" s="386"/>
      <c r="N137" s="386"/>
      <c r="O137" s="387"/>
    </row>
    <row r="138" spans="1:15">
      <c r="A138" s="395">
        <v>1</v>
      </c>
      <c r="B138" s="388" t="s">
        <v>342</v>
      </c>
      <c r="C138" s="382" t="s">
        <v>340</v>
      </c>
      <c r="D138" s="383">
        <v>43</v>
      </c>
      <c r="E138" s="254" t="s">
        <v>343</v>
      </c>
      <c r="F138" s="260" t="s">
        <v>344</v>
      </c>
      <c r="G138" s="263">
        <v>150000</v>
      </c>
      <c r="H138" s="257" t="s">
        <v>26</v>
      </c>
      <c r="I138" s="273">
        <v>1</v>
      </c>
      <c r="J138" s="386"/>
      <c r="K138" s="386"/>
      <c r="L138" s="386"/>
      <c r="M138" s="386"/>
      <c r="N138" s="386"/>
      <c r="O138" s="387" t="s">
        <v>345</v>
      </c>
    </row>
    <row r="139" spans="1:15">
      <c r="A139" s="395">
        <v>2</v>
      </c>
      <c r="B139" s="388" t="s">
        <v>647</v>
      </c>
      <c r="C139" s="382" t="s">
        <v>340</v>
      </c>
      <c r="D139" s="383">
        <v>44</v>
      </c>
      <c r="E139" s="254" t="s">
        <v>347</v>
      </c>
      <c r="F139" s="260" t="s">
        <v>348</v>
      </c>
      <c r="G139" s="263">
        <v>0</v>
      </c>
      <c r="H139" s="257" t="s">
        <v>26</v>
      </c>
      <c r="I139" s="273">
        <v>1</v>
      </c>
      <c r="J139" s="273"/>
      <c r="K139" s="386"/>
      <c r="L139" s="386"/>
      <c r="M139" s="386"/>
      <c r="N139" s="386"/>
      <c r="O139" s="387" t="s">
        <v>373</v>
      </c>
    </row>
    <row r="140" spans="1:15">
      <c r="A140" s="395">
        <v>3</v>
      </c>
      <c r="B140" s="388" t="s">
        <v>648</v>
      </c>
      <c r="C140" s="382" t="s">
        <v>340</v>
      </c>
      <c r="D140" s="383">
        <v>44</v>
      </c>
      <c r="E140" s="254" t="s">
        <v>350</v>
      </c>
      <c r="F140" s="260" t="s">
        <v>348</v>
      </c>
      <c r="G140" s="263">
        <v>0</v>
      </c>
      <c r="H140" s="257" t="s">
        <v>26</v>
      </c>
      <c r="I140" s="273">
        <v>1</v>
      </c>
      <c r="J140" s="273"/>
      <c r="K140" s="386"/>
      <c r="L140" s="386"/>
      <c r="M140" s="386"/>
      <c r="N140" s="386"/>
      <c r="O140" s="387" t="s">
        <v>405</v>
      </c>
    </row>
    <row r="141" spans="1:15">
      <c r="A141" s="395">
        <v>4</v>
      </c>
      <c r="B141" s="388" t="s">
        <v>352</v>
      </c>
      <c r="C141" s="382" t="s">
        <v>340</v>
      </c>
      <c r="D141" s="383">
        <v>46</v>
      </c>
      <c r="E141" s="254" t="s">
        <v>353</v>
      </c>
      <c r="F141" s="260" t="s">
        <v>64</v>
      </c>
      <c r="G141" s="263">
        <v>3200</v>
      </c>
      <c r="H141" s="257" t="s">
        <v>26</v>
      </c>
      <c r="I141" s="273">
        <v>1</v>
      </c>
      <c r="J141" s="386"/>
      <c r="K141" s="386"/>
      <c r="L141" s="386"/>
      <c r="M141" s="386"/>
      <c r="N141" s="386"/>
      <c r="O141" s="387" t="s">
        <v>345</v>
      </c>
    </row>
    <row r="142" spans="1:15">
      <c r="A142" s="395">
        <v>5</v>
      </c>
      <c r="B142" s="388" t="s">
        <v>352</v>
      </c>
      <c r="C142" s="382" t="s">
        <v>340</v>
      </c>
      <c r="D142" s="383">
        <v>46</v>
      </c>
      <c r="E142" s="254" t="s">
        <v>354</v>
      </c>
      <c r="F142" s="260" t="s">
        <v>64</v>
      </c>
      <c r="G142" s="263">
        <v>3200</v>
      </c>
      <c r="H142" s="257" t="s">
        <v>26</v>
      </c>
      <c r="I142" s="273">
        <v>1</v>
      </c>
      <c r="J142" s="386"/>
      <c r="K142" s="386"/>
      <c r="L142" s="386"/>
      <c r="M142" s="386"/>
      <c r="N142" s="386"/>
      <c r="O142" s="387" t="s">
        <v>358</v>
      </c>
    </row>
    <row r="143" spans="1:15">
      <c r="A143" s="395">
        <v>6</v>
      </c>
      <c r="B143" s="388" t="s">
        <v>356</v>
      </c>
      <c r="C143" s="382" t="s">
        <v>340</v>
      </c>
      <c r="D143" s="383">
        <v>46</v>
      </c>
      <c r="E143" s="254" t="s">
        <v>219</v>
      </c>
      <c r="F143" s="260" t="s">
        <v>357</v>
      </c>
      <c r="G143" s="263">
        <v>44000</v>
      </c>
      <c r="H143" s="257" t="s">
        <v>26</v>
      </c>
      <c r="I143" s="273">
        <v>1</v>
      </c>
      <c r="J143" s="386"/>
      <c r="K143" s="386"/>
      <c r="L143" s="386"/>
      <c r="M143" s="386"/>
      <c r="N143" s="386"/>
      <c r="O143" s="387" t="s">
        <v>358</v>
      </c>
    </row>
    <row r="144" spans="1:15">
      <c r="A144" s="395">
        <v>7</v>
      </c>
      <c r="B144" s="388" t="s">
        <v>356</v>
      </c>
      <c r="C144" s="382" t="s">
        <v>340</v>
      </c>
      <c r="D144" s="383">
        <v>46</v>
      </c>
      <c r="E144" s="254" t="s">
        <v>225</v>
      </c>
      <c r="F144" s="260" t="s">
        <v>357</v>
      </c>
      <c r="G144" s="263">
        <v>42000</v>
      </c>
      <c r="H144" s="257" t="s">
        <v>26</v>
      </c>
      <c r="I144" s="273">
        <v>1</v>
      </c>
      <c r="J144" s="386"/>
      <c r="K144" s="386"/>
      <c r="L144" s="386"/>
      <c r="M144" s="386"/>
      <c r="N144" s="386"/>
      <c r="O144" s="387" t="s">
        <v>355</v>
      </c>
    </row>
    <row r="145" spans="1:15">
      <c r="A145" s="395">
        <v>8</v>
      </c>
      <c r="B145" s="388" t="s">
        <v>356</v>
      </c>
      <c r="C145" s="382" t="s">
        <v>340</v>
      </c>
      <c r="D145" s="383">
        <v>51</v>
      </c>
      <c r="E145" s="254" t="s">
        <v>360</v>
      </c>
      <c r="F145" s="260" t="s">
        <v>361</v>
      </c>
      <c r="G145" s="263">
        <v>23400</v>
      </c>
      <c r="H145" s="257" t="s">
        <v>26</v>
      </c>
      <c r="I145" s="273">
        <v>1</v>
      </c>
      <c r="J145" s="386"/>
      <c r="K145" s="386"/>
      <c r="L145" s="386"/>
      <c r="M145" s="386"/>
      <c r="N145" s="386"/>
      <c r="O145" s="387" t="s">
        <v>468</v>
      </c>
    </row>
    <row r="146" spans="1:15">
      <c r="A146" s="395">
        <v>11</v>
      </c>
      <c r="B146" s="388" t="s">
        <v>356</v>
      </c>
      <c r="C146" s="382" t="s">
        <v>340</v>
      </c>
      <c r="D146" s="383">
        <v>51</v>
      </c>
      <c r="E146" s="254" t="s">
        <v>366</v>
      </c>
      <c r="F146" s="260" t="s">
        <v>367</v>
      </c>
      <c r="G146" s="263">
        <v>63000</v>
      </c>
      <c r="H146" s="257" t="s">
        <v>26</v>
      </c>
      <c r="I146" s="273">
        <v>1</v>
      </c>
      <c r="J146" s="386"/>
      <c r="K146" s="386"/>
      <c r="L146" s="386"/>
      <c r="M146" s="386"/>
      <c r="N146" s="386"/>
      <c r="O146" s="387" t="s">
        <v>470</v>
      </c>
    </row>
    <row r="147" spans="1:15">
      <c r="A147" s="395">
        <v>13</v>
      </c>
      <c r="B147" s="388" t="s">
        <v>362</v>
      </c>
      <c r="C147" s="382" t="s">
        <v>340</v>
      </c>
      <c r="D147" s="383">
        <v>51</v>
      </c>
      <c r="E147" s="254" t="s">
        <v>370</v>
      </c>
      <c r="F147" s="260" t="s">
        <v>367</v>
      </c>
      <c r="G147" s="263">
        <v>63000</v>
      </c>
      <c r="H147" s="257" t="s">
        <v>26</v>
      </c>
      <c r="I147" s="273">
        <v>1</v>
      </c>
      <c r="J147" s="386"/>
      <c r="K147" s="386"/>
      <c r="L147" s="386"/>
      <c r="M147" s="386"/>
      <c r="N147" s="386"/>
      <c r="O147" s="387" t="s">
        <v>471</v>
      </c>
    </row>
    <row r="148" spans="1:15">
      <c r="A148" s="395">
        <v>14</v>
      </c>
      <c r="B148" s="388" t="s">
        <v>362</v>
      </c>
      <c r="C148" s="382" t="s">
        <v>340</v>
      </c>
      <c r="D148" s="383">
        <v>51</v>
      </c>
      <c r="E148" s="254" t="s">
        <v>371</v>
      </c>
      <c r="F148" s="260" t="s">
        <v>367</v>
      </c>
      <c r="G148" s="263">
        <v>118000</v>
      </c>
      <c r="H148" s="257" t="s">
        <v>26</v>
      </c>
      <c r="I148" s="273">
        <v>1</v>
      </c>
      <c r="J148" s="386"/>
      <c r="K148" s="386"/>
      <c r="L148" s="386"/>
      <c r="M148" s="386"/>
      <c r="N148" s="386"/>
      <c r="O148" s="387" t="s">
        <v>359</v>
      </c>
    </row>
    <row r="149" spans="1:15">
      <c r="A149" s="395">
        <v>15</v>
      </c>
      <c r="B149" s="388" t="s">
        <v>362</v>
      </c>
      <c r="C149" s="382" t="s">
        <v>340</v>
      </c>
      <c r="D149" s="383">
        <v>51</v>
      </c>
      <c r="E149" s="254" t="s">
        <v>372</v>
      </c>
      <c r="F149" s="260" t="s">
        <v>367</v>
      </c>
      <c r="G149" s="263">
        <v>118000</v>
      </c>
      <c r="H149" s="257" t="s">
        <v>26</v>
      </c>
      <c r="I149" s="273">
        <v>1</v>
      </c>
      <c r="J149" s="386"/>
      <c r="K149" s="386"/>
      <c r="L149" s="386"/>
      <c r="M149" s="386"/>
      <c r="N149" s="386"/>
      <c r="O149" s="387" t="s">
        <v>470</v>
      </c>
    </row>
    <row r="150" spans="1:15">
      <c r="A150" s="395">
        <v>16</v>
      </c>
      <c r="B150" s="434" t="s">
        <v>374</v>
      </c>
      <c r="C150" s="382" t="s">
        <v>340</v>
      </c>
      <c r="D150" s="383">
        <v>52</v>
      </c>
      <c r="E150" s="254" t="s">
        <v>375</v>
      </c>
      <c r="F150" s="260" t="s">
        <v>376</v>
      </c>
      <c r="G150" s="263">
        <v>68800</v>
      </c>
      <c r="H150" s="257" t="s">
        <v>26</v>
      </c>
      <c r="I150" s="273">
        <v>1</v>
      </c>
      <c r="J150" s="386"/>
      <c r="K150" s="386"/>
      <c r="L150" s="386"/>
      <c r="M150" s="386"/>
      <c r="N150" s="386"/>
      <c r="O150" s="387" t="s">
        <v>377</v>
      </c>
    </row>
    <row r="151" spans="1:15">
      <c r="A151" s="395">
        <v>18</v>
      </c>
      <c r="B151" s="388" t="s">
        <v>380</v>
      </c>
      <c r="C151" s="382" t="s">
        <v>340</v>
      </c>
      <c r="D151" s="383">
        <v>52</v>
      </c>
      <c r="E151" s="254" t="s">
        <v>381</v>
      </c>
      <c r="F151" s="260" t="s">
        <v>376</v>
      </c>
      <c r="G151" s="263">
        <v>13250</v>
      </c>
      <c r="H151" s="257" t="s">
        <v>26</v>
      </c>
      <c r="I151" s="273">
        <v>1</v>
      </c>
      <c r="J151" s="386"/>
      <c r="K151" s="386"/>
      <c r="L151" s="386"/>
      <c r="M151" s="386"/>
      <c r="N151" s="386"/>
      <c r="O151" s="387" t="s">
        <v>65</v>
      </c>
    </row>
    <row r="152" spans="1:15">
      <c r="A152" s="395">
        <v>19</v>
      </c>
      <c r="B152" s="434" t="s">
        <v>382</v>
      </c>
      <c r="C152" s="382" t="s">
        <v>340</v>
      </c>
      <c r="D152" s="383">
        <v>52</v>
      </c>
      <c r="E152" s="254" t="s">
        <v>383</v>
      </c>
      <c r="F152" s="260" t="s">
        <v>376</v>
      </c>
      <c r="G152" s="263">
        <v>31600</v>
      </c>
      <c r="H152" s="257" t="s">
        <v>26</v>
      </c>
      <c r="I152" s="273">
        <v>1</v>
      </c>
      <c r="J152" s="386"/>
      <c r="K152" s="386"/>
      <c r="L152" s="386"/>
      <c r="M152" s="386"/>
      <c r="N152" s="386"/>
      <c r="O152" s="387" t="s">
        <v>359</v>
      </c>
    </row>
    <row r="153" spans="1:15">
      <c r="A153" s="395">
        <v>20</v>
      </c>
      <c r="B153" s="434" t="s">
        <v>382</v>
      </c>
      <c r="C153" s="382" t="s">
        <v>340</v>
      </c>
      <c r="D153" s="383">
        <v>52</v>
      </c>
      <c r="E153" s="254" t="s">
        <v>385</v>
      </c>
      <c r="F153" s="260" t="s">
        <v>376</v>
      </c>
      <c r="G153" s="263">
        <v>31600</v>
      </c>
      <c r="H153" s="257" t="s">
        <v>26</v>
      </c>
      <c r="I153" s="273">
        <v>1</v>
      </c>
      <c r="J153" s="386"/>
      <c r="K153" s="386"/>
      <c r="L153" s="386"/>
      <c r="M153" s="386"/>
      <c r="N153" s="386"/>
      <c r="O153" s="387" t="s">
        <v>65</v>
      </c>
    </row>
    <row r="154" spans="1:15">
      <c r="A154" s="395">
        <v>21</v>
      </c>
      <c r="B154" s="434" t="s">
        <v>382</v>
      </c>
      <c r="C154" s="382" t="s">
        <v>340</v>
      </c>
      <c r="D154" s="383">
        <v>52</v>
      </c>
      <c r="E154" s="254" t="s">
        <v>386</v>
      </c>
      <c r="F154" s="260" t="s">
        <v>376</v>
      </c>
      <c r="G154" s="263">
        <v>31600</v>
      </c>
      <c r="H154" s="257" t="s">
        <v>26</v>
      </c>
      <c r="I154" s="273">
        <v>1</v>
      </c>
      <c r="J154" s="386"/>
      <c r="K154" s="386"/>
      <c r="L154" s="386"/>
      <c r="M154" s="386"/>
      <c r="N154" s="386"/>
      <c r="O154" s="387" t="s">
        <v>387</v>
      </c>
    </row>
    <row r="155" spans="1:15">
      <c r="A155" s="395">
        <v>23</v>
      </c>
      <c r="B155" s="388" t="s">
        <v>388</v>
      </c>
      <c r="C155" s="382" t="s">
        <v>340</v>
      </c>
      <c r="D155" s="383">
        <v>52</v>
      </c>
      <c r="E155" s="254" t="s">
        <v>390</v>
      </c>
      <c r="F155" s="260" t="s">
        <v>376</v>
      </c>
      <c r="G155" s="263">
        <v>6500</v>
      </c>
      <c r="H155" s="257" t="s">
        <v>26</v>
      </c>
      <c r="I155" s="273">
        <v>1</v>
      </c>
      <c r="J155" s="386"/>
      <c r="K155" s="386"/>
      <c r="L155" s="386"/>
      <c r="M155" s="386"/>
      <c r="N155" s="386"/>
      <c r="O155" s="387" t="s">
        <v>355</v>
      </c>
    </row>
    <row r="156" spans="1:15">
      <c r="A156" s="395">
        <v>24</v>
      </c>
      <c r="B156" s="388" t="s">
        <v>391</v>
      </c>
      <c r="C156" s="382" t="s">
        <v>340</v>
      </c>
      <c r="D156" s="383">
        <v>52</v>
      </c>
      <c r="E156" s="254" t="s">
        <v>392</v>
      </c>
      <c r="F156" s="260" t="s">
        <v>376</v>
      </c>
      <c r="G156" s="263">
        <v>6900</v>
      </c>
      <c r="H156" s="257" t="s">
        <v>26</v>
      </c>
      <c r="I156" s="273">
        <v>1</v>
      </c>
      <c r="J156" s="386"/>
      <c r="K156" s="386"/>
      <c r="L156" s="386"/>
      <c r="M156" s="386"/>
      <c r="N156" s="386"/>
      <c r="O156" s="387" t="s">
        <v>377</v>
      </c>
    </row>
    <row r="157" spans="1:15">
      <c r="A157" s="395">
        <v>25</v>
      </c>
      <c r="B157" s="388" t="s">
        <v>393</v>
      </c>
      <c r="C157" s="382" t="s">
        <v>340</v>
      </c>
      <c r="D157" s="383">
        <v>52</v>
      </c>
      <c r="E157" s="254" t="s">
        <v>147</v>
      </c>
      <c r="F157" s="260" t="s">
        <v>376</v>
      </c>
      <c r="G157" s="263">
        <v>6900</v>
      </c>
      <c r="H157" s="257" t="s">
        <v>26</v>
      </c>
      <c r="I157" s="273">
        <v>1</v>
      </c>
      <c r="J157" s="386"/>
      <c r="K157" s="386"/>
      <c r="L157" s="386"/>
      <c r="M157" s="386"/>
      <c r="N157" s="386"/>
      <c r="O157" s="387" t="s">
        <v>387</v>
      </c>
    </row>
    <row r="158" spans="1:15">
      <c r="A158" s="395">
        <v>26</v>
      </c>
      <c r="B158" s="388" t="s">
        <v>394</v>
      </c>
      <c r="C158" s="394" t="s">
        <v>340</v>
      </c>
      <c r="D158" s="383">
        <v>55</v>
      </c>
      <c r="E158" s="254" t="s">
        <v>395</v>
      </c>
      <c r="F158" s="260" t="s">
        <v>396</v>
      </c>
      <c r="G158" s="263">
        <v>6900</v>
      </c>
      <c r="H158" s="435" t="s">
        <v>26</v>
      </c>
      <c r="I158" s="273">
        <v>1</v>
      </c>
      <c r="J158" s="259"/>
      <c r="K158" s="259"/>
      <c r="L158" s="259"/>
      <c r="M158" s="259"/>
      <c r="N158" s="259"/>
      <c r="O158" s="257" t="s">
        <v>409</v>
      </c>
    </row>
    <row r="159" spans="1:15">
      <c r="A159" s="395">
        <v>27</v>
      </c>
      <c r="B159" s="388" t="s">
        <v>397</v>
      </c>
      <c r="C159" s="394" t="s">
        <v>340</v>
      </c>
      <c r="D159" s="383">
        <v>55</v>
      </c>
      <c r="E159" s="254" t="s">
        <v>398</v>
      </c>
      <c r="F159" s="260" t="s">
        <v>396</v>
      </c>
      <c r="G159" s="263">
        <v>4900</v>
      </c>
      <c r="H159" s="435" t="s">
        <v>26</v>
      </c>
      <c r="I159" s="273">
        <v>1</v>
      </c>
      <c r="J159" s="259"/>
      <c r="K159" s="259"/>
      <c r="L159" s="259"/>
      <c r="M159" s="259"/>
      <c r="N159" s="259"/>
      <c r="O159" s="257" t="s">
        <v>472</v>
      </c>
    </row>
    <row r="160" spans="1:15">
      <c r="A160" s="395">
        <v>28</v>
      </c>
      <c r="B160" s="388" t="s">
        <v>399</v>
      </c>
      <c r="C160" s="394" t="s">
        <v>340</v>
      </c>
      <c r="D160" s="383">
        <v>55</v>
      </c>
      <c r="E160" s="254" t="s">
        <v>400</v>
      </c>
      <c r="F160" s="260" t="s">
        <v>396</v>
      </c>
      <c r="G160" s="263">
        <v>4900</v>
      </c>
      <c r="H160" s="435" t="s">
        <v>26</v>
      </c>
      <c r="I160" s="273">
        <v>1</v>
      </c>
      <c r="J160" s="259"/>
      <c r="K160" s="259"/>
      <c r="L160" s="259"/>
      <c r="M160" s="259"/>
      <c r="N160" s="259"/>
      <c r="O160" s="257" t="s">
        <v>373</v>
      </c>
    </row>
    <row r="161" spans="1:15">
      <c r="A161" s="395">
        <v>29</v>
      </c>
      <c r="B161" s="388" t="s">
        <v>401</v>
      </c>
      <c r="C161" s="394" t="s">
        <v>340</v>
      </c>
      <c r="D161" s="383">
        <v>55</v>
      </c>
      <c r="E161" s="254" t="s">
        <v>402</v>
      </c>
      <c r="F161" s="260" t="s">
        <v>396</v>
      </c>
      <c r="G161" s="263">
        <v>4900</v>
      </c>
      <c r="H161" s="435" t="s">
        <v>26</v>
      </c>
      <c r="I161" s="273">
        <v>1</v>
      </c>
      <c r="J161" s="259"/>
      <c r="K161" s="259"/>
      <c r="L161" s="259"/>
      <c r="M161" s="259"/>
      <c r="N161" s="259"/>
      <c r="O161" s="257" t="s">
        <v>358</v>
      </c>
    </row>
    <row r="162" spans="1:15">
      <c r="A162" s="395">
        <v>30</v>
      </c>
      <c r="B162" s="388" t="s">
        <v>403</v>
      </c>
      <c r="C162" s="394" t="s">
        <v>340</v>
      </c>
      <c r="D162" s="383">
        <v>55</v>
      </c>
      <c r="E162" s="254" t="s">
        <v>404</v>
      </c>
      <c r="F162" s="260" t="s">
        <v>396</v>
      </c>
      <c r="G162" s="263">
        <v>4900</v>
      </c>
      <c r="H162" s="435" t="s">
        <v>26</v>
      </c>
      <c r="I162" s="273">
        <v>1</v>
      </c>
      <c r="J162" s="259"/>
      <c r="K162" s="259"/>
      <c r="L162" s="259"/>
      <c r="M162" s="259"/>
      <c r="N162" s="259"/>
      <c r="O162" s="257" t="s">
        <v>405</v>
      </c>
    </row>
    <row r="163" spans="1:15">
      <c r="A163" s="395">
        <v>31</v>
      </c>
      <c r="B163" s="388" t="s">
        <v>406</v>
      </c>
      <c r="C163" s="394" t="s">
        <v>340</v>
      </c>
      <c r="D163" s="383">
        <v>55</v>
      </c>
      <c r="E163" s="254" t="s">
        <v>407</v>
      </c>
      <c r="F163" s="260" t="s">
        <v>396</v>
      </c>
      <c r="G163" s="263">
        <v>4900</v>
      </c>
      <c r="H163" s="435" t="s">
        <v>26</v>
      </c>
      <c r="I163" s="273">
        <v>1</v>
      </c>
      <c r="J163" s="259"/>
      <c r="K163" s="259"/>
      <c r="L163" s="259"/>
      <c r="M163" s="259"/>
      <c r="N163" s="259"/>
      <c r="O163" s="257" t="s">
        <v>377</v>
      </c>
    </row>
    <row r="164" spans="1:15">
      <c r="A164" s="395">
        <v>32</v>
      </c>
      <c r="B164" s="388" t="s">
        <v>356</v>
      </c>
      <c r="C164" s="382" t="s">
        <v>340</v>
      </c>
      <c r="D164" s="383">
        <v>55</v>
      </c>
      <c r="E164" s="254" t="s">
        <v>259</v>
      </c>
      <c r="F164" s="260" t="s">
        <v>408</v>
      </c>
      <c r="G164" s="263">
        <v>41000</v>
      </c>
      <c r="H164" s="435" t="s">
        <v>26</v>
      </c>
      <c r="I164" s="273">
        <v>1</v>
      </c>
      <c r="J164" s="386"/>
      <c r="K164" s="386"/>
      <c r="L164" s="386"/>
      <c r="M164" s="386"/>
      <c r="N164" s="386"/>
      <c r="O164" s="387" t="s">
        <v>409</v>
      </c>
    </row>
    <row r="165" spans="1:15">
      <c r="A165" s="395">
        <v>33</v>
      </c>
      <c r="B165" s="388" t="s">
        <v>410</v>
      </c>
      <c r="C165" s="382" t="s">
        <v>340</v>
      </c>
      <c r="D165" s="383">
        <v>55</v>
      </c>
      <c r="E165" s="254" t="s">
        <v>411</v>
      </c>
      <c r="F165" s="260" t="s">
        <v>408</v>
      </c>
      <c r="G165" s="263">
        <v>13900</v>
      </c>
      <c r="H165" s="435" t="s">
        <v>26</v>
      </c>
      <c r="I165" s="273">
        <v>1</v>
      </c>
      <c r="J165" s="386"/>
      <c r="K165" s="386"/>
      <c r="L165" s="386"/>
      <c r="M165" s="386"/>
      <c r="N165" s="386"/>
      <c r="O165" s="387" t="s">
        <v>409</v>
      </c>
    </row>
    <row r="166" spans="1:15" ht="31.5">
      <c r="A166" s="395">
        <v>34</v>
      </c>
      <c r="B166" s="385" t="s">
        <v>412</v>
      </c>
      <c r="C166" s="267" t="s">
        <v>340</v>
      </c>
      <c r="D166" s="268">
        <v>56</v>
      </c>
      <c r="E166" s="269" t="s">
        <v>413</v>
      </c>
      <c r="F166" s="270" t="s">
        <v>414</v>
      </c>
      <c r="G166" s="397">
        <v>99000</v>
      </c>
      <c r="H166" s="415" t="s">
        <v>26</v>
      </c>
      <c r="I166" s="273">
        <v>1</v>
      </c>
      <c r="J166" s="274"/>
      <c r="K166" s="274"/>
      <c r="L166" s="274"/>
      <c r="M166" s="274"/>
      <c r="N166" s="274"/>
      <c r="O166" s="399" t="s">
        <v>377</v>
      </c>
    </row>
    <row r="167" spans="1:15">
      <c r="A167" s="395">
        <v>35</v>
      </c>
      <c r="B167" s="388" t="s">
        <v>415</v>
      </c>
      <c r="C167" s="382" t="s">
        <v>340</v>
      </c>
      <c r="D167" s="383">
        <v>56</v>
      </c>
      <c r="E167" s="254" t="s">
        <v>416</v>
      </c>
      <c r="F167" s="260" t="s">
        <v>417</v>
      </c>
      <c r="G167" s="263">
        <v>8524</v>
      </c>
      <c r="H167" s="435" t="s">
        <v>26</v>
      </c>
      <c r="I167" s="273">
        <v>1</v>
      </c>
      <c r="J167" s="436"/>
      <c r="K167" s="436"/>
      <c r="L167" s="436"/>
      <c r="M167" s="436"/>
      <c r="N167" s="436"/>
      <c r="O167" s="387" t="s">
        <v>65</v>
      </c>
    </row>
    <row r="168" spans="1:15">
      <c r="A168" s="395">
        <v>37</v>
      </c>
      <c r="B168" s="388" t="s">
        <v>422</v>
      </c>
      <c r="C168" s="382" t="s">
        <v>340</v>
      </c>
      <c r="D168" s="383">
        <v>59</v>
      </c>
      <c r="E168" s="254" t="s">
        <v>423</v>
      </c>
      <c r="F168" s="260" t="s">
        <v>420</v>
      </c>
      <c r="G168" s="263">
        <v>6000</v>
      </c>
      <c r="H168" s="435" t="s">
        <v>26</v>
      </c>
      <c r="I168" s="273">
        <v>1</v>
      </c>
      <c r="J168" s="386"/>
      <c r="K168" s="386"/>
      <c r="L168" s="386"/>
      <c r="M168" s="386"/>
      <c r="N168" s="386"/>
      <c r="O168" s="387" t="s">
        <v>421</v>
      </c>
    </row>
    <row r="169" spans="1:15">
      <c r="A169" s="395">
        <v>39</v>
      </c>
      <c r="B169" s="388" t="s">
        <v>425</v>
      </c>
      <c r="C169" s="382" t="s">
        <v>340</v>
      </c>
      <c r="D169" s="383">
        <v>61</v>
      </c>
      <c r="E169" s="254" t="s">
        <v>426</v>
      </c>
      <c r="F169" s="260" t="s">
        <v>427</v>
      </c>
      <c r="G169" s="264">
        <v>179000</v>
      </c>
      <c r="H169" s="435" t="s">
        <v>26</v>
      </c>
      <c r="I169" s="273">
        <v>1</v>
      </c>
      <c r="J169" s="386"/>
      <c r="K169" s="386"/>
      <c r="L169" s="386"/>
      <c r="M169" s="386"/>
      <c r="N169" s="386"/>
      <c r="O169" s="437" t="s">
        <v>409</v>
      </c>
    </row>
    <row r="170" spans="1:15">
      <c r="A170" s="395">
        <v>40</v>
      </c>
      <c r="B170" s="388" t="s">
        <v>428</v>
      </c>
      <c r="C170" s="382" t="s">
        <v>340</v>
      </c>
      <c r="D170" s="383">
        <v>63</v>
      </c>
      <c r="E170" s="254" t="s">
        <v>429</v>
      </c>
      <c r="F170" s="260" t="s">
        <v>430</v>
      </c>
      <c r="G170" s="263">
        <v>6600</v>
      </c>
      <c r="H170" s="435" t="s">
        <v>26</v>
      </c>
      <c r="I170" s="273">
        <v>1</v>
      </c>
      <c r="J170" s="386"/>
      <c r="K170" s="386"/>
      <c r="L170" s="386"/>
      <c r="M170" s="386"/>
      <c r="N170" s="386"/>
      <c r="O170" s="437" t="s">
        <v>421</v>
      </c>
    </row>
    <row r="171" spans="1:15">
      <c r="A171" s="395">
        <v>41</v>
      </c>
      <c r="B171" s="388" t="s">
        <v>432</v>
      </c>
      <c r="C171" s="382" t="s">
        <v>340</v>
      </c>
      <c r="D171" s="383">
        <v>63</v>
      </c>
      <c r="E171" s="254" t="s">
        <v>433</v>
      </c>
      <c r="F171" s="260" t="s">
        <v>434</v>
      </c>
      <c r="G171" s="263">
        <v>3800</v>
      </c>
      <c r="H171" s="435" t="s">
        <v>26</v>
      </c>
      <c r="I171" s="273">
        <v>1</v>
      </c>
      <c r="J171" s="386"/>
      <c r="K171" s="386"/>
      <c r="L171" s="386"/>
      <c r="M171" s="386"/>
      <c r="N171" s="386"/>
      <c r="O171" s="437" t="s">
        <v>345</v>
      </c>
    </row>
    <row r="172" spans="1:15">
      <c r="A172" s="395">
        <v>42</v>
      </c>
      <c r="B172" s="388" t="s">
        <v>435</v>
      </c>
      <c r="C172" s="382" t="s">
        <v>340</v>
      </c>
      <c r="D172" s="383">
        <v>65</v>
      </c>
      <c r="E172" s="254" t="s">
        <v>436</v>
      </c>
      <c r="F172" s="260" t="s">
        <v>437</v>
      </c>
      <c r="G172" s="263">
        <v>23810</v>
      </c>
      <c r="H172" s="435" t="s">
        <v>438</v>
      </c>
      <c r="I172" s="273">
        <v>1</v>
      </c>
      <c r="J172" s="386"/>
      <c r="K172" s="386"/>
      <c r="L172" s="386"/>
      <c r="M172" s="386"/>
      <c r="N172" s="386"/>
      <c r="O172" s="437" t="s">
        <v>431</v>
      </c>
    </row>
    <row r="173" spans="1:15">
      <c r="A173" s="395">
        <v>43</v>
      </c>
      <c r="B173" s="388" t="s">
        <v>439</v>
      </c>
      <c r="C173" s="382" t="s">
        <v>340</v>
      </c>
      <c r="D173" s="383">
        <v>65</v>
      </c>
      <c r="E173" s="254" t="s">
        <v>440</v>
      </c>
      <c r="F173" s="260" t="s">
        <v>437</v>
      </c>
      <c r="G173" s="263">
        <v>3790</v>
      </c>
      <c r="H173" s="435" t="s">
        <v>438</v>
      </c>
      <c r="I173" s="273">
        <v>1</v>
      </c>
      <c r="J173" s="386"/>
      <c r="K173" s="386"/>
      <c r="L173" s="386"/>
      <c r="M173" s="386"/>
      <c r="N173" s="386"/>
      <c r="O173" s="437" t="s">
        <v>431</v>
      </c>
    </row>
    <row r="174" spans="1:15">
      <c r="A174" s="395">
        <v>44</v>
      </c>
      <c r="B174" s="388" t="s">
        <v>435</v>
      </c>
      <c r="C174" s="382" t="s">
        <v>340</v>
      </c>
      <c r="D174" s="383">
        <v>65</v>
      </c>
      <c r="E174" s="254" t="s">
        <v>441</v>
      </c>
      <c r="F174" s="260" t="s">
        <v>437</v>
      </c>
      <c r="G174" s="263">
        <v>23810</v>
      </c>
      <c r="H174" s="435" t="s">
        <v>438</v>
      </c>
      <c r="I174" s="273">
        <v>1</v>
      </c>
      <c r="J174" s="386"/>
      <c r="K174" s="386"/>
      <c r="L174" s="386"/>
      <c r="M174" s="386"/>
      <c r="N174" s="386"/>
      <c r="O174" s="437" t="s">
        <v>472</v>
      </c>
    </row>
    <row r="175" spans="1:15">
      <c r="A175" s="395">
        <v>45</v>
      </c>
      <c r="B175" s="388" t="s">
        <v>439</v>
      </c>
      <c r="C175" s="382" t="s">
        <v>340</v>
      </c>
      <c r="D175" s="383">
        <v>65</v>
      </c>
      <c r="E175" s="254" t="s">
        <v>443</v>
      </c>
      <c r="F175" s="260" t="s">
        <v>437</v>
      </c>
      <c r="G175" s="263">
        <v>3790</v>
      </c>
      <c r="H175" s="435" t="s">
        <v>438</v>
      </c>
      <c r="I175" s="273">
        <v>1</v>
      </c>
      <c r="J175" s="386"/>
      <c r="K175" s="386"/>
      <c r="L175" s="386"/>
      <c r="M175" s="386"/>
      <c r="N175" s="386"/>
      <c r="O175" s="437" t="s">
        <v>473</v>
      </c>
    </row>
    <row r="176" spans="1:15">
      <c r="A176" s="395">
        <v>46</v>
      </c>
      <c r="B176" s="388" t="s">
        <v>435</v>
      </c>
      <c r="C176" s="382" t="s">
        <v>340</v>
      </c>
      <c r="D176" s="383">
        <v>65</v>
      </c>
      <c r="E176" s="254" t="s">
        <v>444</v>
      </c>
      <c r="F176" s="260" t="s">
        <v>437</v>
      </c>
      <c r="G176" s="263">
        <v>23810</v>
      </c>
      <c r="H176" s="435" t="s">
        <v>438</v>
      </c>
      <c r="I176" s="273">
        <v>1</v>
      </c>
      <c r="J176" s="386"/>
      <c r="K176" s="386"/>
      <c r="L176" s="386"/>
      <c r="M176" s="386"/>
      <c r="N176" s="386"/>
      <c r="O176" s="437" t="s">
        <v>473</v>
      </c>
    </row>
    <row r="177" spans="1:15">
      <c r="A177" s="395">
        <v>47</v>
      </c>
      <c r="B177" s="388" t="s">
        <v>439</v>
      </c>
      <c r="C177" s="382" t="s">
        <v>340</v>
      </c>
      <c r="D177" s="383">
        <v>65</v>
      </c>
      <c r="E177" s="254" t="s">
        <v>445</v>
      </c>
      <c r="F177" s="260" t="s">
        <v>437</v>
      </c>
      <c r="G177" s="263">
        <v>3790</v>
      </c>
      <c r="H177" s="435" t="s">
        <v>438</v>
      </c>
      <c r="I177" s="273">
        <v>1</v>
      </c>
      <c r="J177" s="386"/>
      <c r="K177" s="386"/>
      <c r="L177" s="386"/>
      <c r="M177" s="386"/>
      <c r="N177" s="386"/>
      <c r="O177" s="437" t="s">
        <v>468</v>
      </c>
    </row>
    <row r="178" spans="1:15">
      <c r="A178" s="395">
        <v>48</v>
      </c>
      <c r="B178" s="388" t="s">
        <v>435</v>
      </c>
      <c r="C178" s="382" t="s">
        <v>340</v>
      </c>
      <c r="D178" s="383">
        <v>65</v>
      </c>
      <c r="E178" s="254" t="s">
        <v>446</v>
      </c>
      <c r="F178" s="260" t="s">
        <v>437</v>
      </c>
      <c r="G178" s="263">
        <v>23810</v>
      </c>
      <c r="H178" s="435" t="s">
        <v>447</v>
      </c>
      <c r="I178" s="273">
        <v>1</v>
      </c>
      <c r="J178" s="386"/>
      <c r="K178" s="386"/>
      <c r="L178" s="386"/>
      <c r="M178" s="386"/>
      <c r="N178" s="386"/>
      <c r="O178" s="437" t="s">
        <v>351</v>
      </c>
    </row>
    <row r="179" spans="1:15">
      <c r="A179" s="395">
        <v>49</v>
      </c>
      <c r="B179" s="388" t="s">
        <v>439</v>
      </c>
      <c r="C179" s="382" t="s">
        <v>340</v>
      </c>
      <c r="D179" s="383">
        <v>65</v>
      </c>
      <c r="E179" s="254" t="s">
        <v>448</v>
      </c>
      <c r="F179" s="260" t="s">
        <v>437</v>
      </c>
      <c r="G179" s="263">
        <v>3790</v>
      </c>
      <c r="H179" s="435" t="s">
        <v>447</v>
      </c>
      <c r="I179" s="273">
        <v>1</v>
      </c>
      <c r="J179" s="386"/>
      <c r="K179" s="386"/>
      <c r="L179" s="386"/>
      <c r="M179" s="386"/>
      <c r="N179" s="386"/>
      <c r="O179" s="437" t="s">
        <v>351</v>
      </c>
    </row>
    <row r="180" spans="1:15">
      <c r="A180" s="395">
        <v>50</v>
      </c>
      <c r="B180" s="388" t="s">
        <v>435</v>
      </c>
      <c r="C180" s="382" t="s">
        <v>340</v>
      </c>
      <c r="D180" s="383">
        <v>65</v>
      </c>
      <c r="E180" s="254" t="s">
        <v>449</v>
      </c>
      <c r="F180" s="260" t="s">
        <v>437</v>
      </c>
      <c r="G180" s="263">
        <v>23810</v>
      </c>
      <c r="H180" s="435" t="s">
        <v>447</v>
      </c>
      <c r="I180" s="273">
        <v>1</v>
      </c>
      <c r="J180" s="386"/>
      <c r="K180" s="386"/>
      <c r="L180" s="386"/>
      <c r="M180" s="386"/>
      <c r="N180" s="386"/>
      <c r="O180" s="437" t="s">
        <v>450</v>
      </c>
    </row>
    <row r="181" spans="1:15">
      <c r="A181" s="395">
        <v>51</v>
      </c>
      <c r="B181" s="388" t="s">
        <v>439</v>
      </c>
      <c r="C181" s="382" t="s">
        <v>340</v>
      </c>
      <c r="D181" s="383">
        <v>65</v>
      </c>
      <c r="E181" s="254" t="s">
        <v>451</v>
      </c>
      <c r="F181" s="260" t="s">
        <v>437</v>
      </c>
      <c r="G181" s="263">
        <v>3790</v>
      </c>
      <c r="H181" s="435" t="s">
        <v>447</v>
      </c>
      <c r="I181" s="273">
        <v>1</v>
      </c>
      <c r="J181" s="436"/>
      <c r="K181" s="436"/>
      <c r="L181" s="436"/>
      <c r="M181" s="436"/>
      <c r="N181" s="436"/>
      <c r="O181" s="387" t="s">
        <v>450</v>
      </c>
    </row>
    <row r="182" spans="1:15" ht="31.5">
      <c r="A182" s="395">
        <v>52</v>
      </c>
      <c r="B182" s="434" t="s">
        <v>452</v>
      </c>
      <c r="C182" s="382" t="s">
        <v>340</v>
      </c>
      <c r="D182" s="383">
        <v>65</v>
      </c>
      <c r="E182" s="254" t="s">
        <v>453</v>
      </c>
      <c r="F182" s="260" t="s">
        <v>437</v>
      </c>
      <c r="G182" s="263">
        <v>5000</v>
      </c>
      <c r="H182" s="435" t="s">
        <v>447</v>
      </c>
      <c r="I182" s="273">
        <v>1</v>
      </c>
      <c r="J182" s="386"/>
      <c r="K182" s="386"/>
      <c r="L182" s="386"/>
      <c r="M182" s="386"/>
      <c r="N182" s="386"/>
      <c r="O182" s="437" t="s">
        <v>450</v>
      </c>
    </row>
    <row r="183" spans="1:15">
      <c r="A183" s="395">
        <v>53</v>
      </c>
      <c r="B183" s="388" t="s">
        <v>454</v>
      </c>
      <c r="C183" s="382" t="s">
        <v>340</v>
      </c>
      <c r="D183" s="383">
        <v>65</v>
      </c>
      <c r="E183" s="254" t="s">
        <v>455</v>
      </c>
      <c r="F183" s="260" t="s">
        <v>437</v>
      </c>
      <c r="G183" s="263">
        <v>3000</v>
      </c>
      <c r="H183" s="435" t="s">
        <v>447</v>
      </c>
      <c r="I183" s="273">
        <v>1</v>
      </c>
      <c r="J183" s="386"/>
      <c r="K183" s="386"/>
      <c r="L183" s="386"/>
      <c r="M183" s="386"/>
      <c r="N183" s="386"/>
      <c r="O183" s="437" t="s">
        <v>431</v>
      </c>
    </row>
    <row r="184" spans="1:15">
      <c r="A184" s="395">
        <v>54</v>
      </c>
      <c r="B184" s="388" t="s">
        <v>454</v>
      </c>
      <c r="C184" s="382" t="s">
        <v>340</v>
      </c>
      <c r="D184" s="383">
        <v>65</v>
      </c>
      <c r="E184" s="254" t="s">
        <v>456</v>
      </c>
      <c r="F184" s="260" t="s">
        <v>437</v>
      </c>
      <c r="G184" s="263">
        <v>3000</v>
      </c>
      <c r="H184" s="435" t="s">
        <v>447</v>
      </c>
      <c r="I184" s="273">
        <v>1</v>
      </c>
      <c r="J184" s="386"/>
      <c r="K184" s="386"/>
      <c r="L184" s="386"/>
      <c r="M184" s="386"/>
      <c r="N184" s="386"/>
      <c r="O184" s="437" t="s">
        <v>351</v>
      </c>
    </row>
    <row r="185" spans="1:15">
      <c r="A185" s="395">
        <v>55</v>
      </c>
      <c r="B185" s="388" t="s">
        <v>454</v>
      </c>
      <c r="C185" s="382" t="s">
        <v>340</v>
      </c>
      <c r="D185" s="383">
        <v>65</v>
      </c>
      <c r="E185" s="254" t="s">
        <v>457</v>
      </c>
      <c r="F185" s="260" t="s">
        <v>437</v>
      </c>
      <c r="G185" s="263">
        <v>3000</v>
      </c>
      <c r="H185" s="435" t="s">
        <v>447</v>
      </c>
      <c r="I185" s="273">
        <v>1</v>
      </c>
      <c r="J185" s="386"/>
      <c r="K185" s="386"/>
      <c r="L185" s="386"/>
      <c r="M185" s="386"/>
      <c r="N185" s="386"/>
      <c r="O185" s="437" t="s">
        <v>368</v>
      </c>
    </row>
    <row r="186" spans="1:15">
      <c r="A186" s="395">
        <v>56</v>
      </c>
      <c r="B186" s="388" t="s">
        <v>454</v>
      </c>
      <c r="C186" s="382" t="s">
        <v>340</v>
      </c>
      <c r="D186" s="383">
        <v>65</v>
      </c>
      <c r="E186" s="254" t="s">
        <v>458</v>
      </c>
      <c r="F186" s="260" t="s">
        <v>437</v>
      </c>
      <c r="G186" s="263">
        <v>3000</v>
      </c>
      <c r="H186" s="435" t="s">
        <v>447</v>
      </c>
      <c r="I186" s="273">
        <v>1</v>
      </c>
      <c r="J186" s="386"/>
      <c r="K186" s="386"/>
      <c r="L186" s="386"/>
      <c r="M186" s="386"/>
      <c r="N186" s="386"/>
      <c r="O186" s="437" t="s">
        <v>442</v>
      </c>
    </row>
    <row r="187" spans="1:15">
      <c r="A187" s="395">
        <v>57</v>
      </c>
      <c r="B187" s="388" t="s">
        <v>454</v>
      </c>
      <c r="C187" s="382" t="s">
        <v>340</v>
      </c>
      <c r="D187" s="383">
        <v>65</v>
      </c>
      <c r="E187" s="254" t="s">
        <v>459</v>
      </c>
      <c r="F187" s="260" t="s">
        <v>437</v>
      </c>
      <c r="G187" s="264">
        <v>3000</v>
      </c>
      <c r="H187" s="435" t="s">
        <v>447</v>
      </c>
      <c r="I187" s="273">
        <v>1</v>
      </c>
      <c r="J187" s="386"/>
      <c r="K187" s="386"/>
      <c r="L187" s="386"/>
      <c r="M187" s="386"/>
      <c r="N187" s="386"/>
      <c r="O187" s="437" t="s">
        <v>384</v>
      </c>
    </row>
    <row r="188" spans="1:15">
      <c r="A188" s="395">
        <v>58</v>
      </c>
      <c r="B188" s="388" t="s">
        <v>460</v>
      </c>
      <c r="C188" s="382" t="s">
        <v>340</v>
      </c>
      <c r="D188" s="383">
        <v>66</v>
      </c>
      <c r="E188" s="254" t="s">
        <v>461</v>
      </c>
      <c r="F188" s="260" t="s">
        <v>462</v>
      </c>
      <c r="G188" s="263">
        <v>15800</v>
      </c>
      <c r="H188" s="435" t="s">
        <v>447</v>
      </c>
      <c r="I188" s="273">
        <v>1</v>
      </c>
      <c r="J188" s="386"/>
      <c r="K188" s="386"/>
      <c r="L188" s="386"/>
      <c r="M188" s="386"/>
      <c r="N188" s="386"/>
      <c r="O188" s="437" t="s">
        <v>442</v>
      </c>
    </row>
    <row r="189" spans="1:15">
      <c r="A189" s="395">
        <v>59</v>
      </c>
      <c r="B189" s="388" t="s">
        <v>463</v>
      </c>
      <c r="C189" s="382" t="s">
        <v>340</v>
      </c>
      <c r="D189" s="383">
        <v>66</v>
      </c>
      <c r="E189" s="254" t="s">
        <v>464</v>
      </c>
      <c r="F189" s="260" t="s">
        <v>462</v>
      </c>
      <c r="G189" s="264">
        <v>109000</v>
      </c>
      <c r="H189" s="435" t="s">
        <v>447</v>
      </c>
      <c r="I189" s="273">
        <v>1</v>
      </c>
      <c r="J189" s="386"/>
      <c r="K189" s="386"/>
      <c r="L189" s="386"/>
      <c r="M189" s="386"/>
      <c r="N189" s="386"/>
      <c r="O189" s="437" t="s">
        <v>377</v>
      </c>
    </row>
    <row r="190" spans="1:15" s="162" customFormat="1">
      <c r="A190" s="395">
        <v>60</v>
      </c>
      <c r="B190" s="388" t="s">
        <v>474</v>
      </c>
      <c r="C190" s="382" t="s">
        <v>340</v>
      </c>
      <c r="D190" s="383">
        <v>66</v>
      </c>
      <c r="E190" s="254" t="s">
        <v>477</v>
      </c>
      <c r="F190" s="260" t="s">
        <v>490</v>
      </c>
      <c r="G190" s="263">
        <v>28200</v>
      </c>
      <c r="H190" s="435" t="s">
        <v>438</v>
      </c>
      <c r="I190" s="273">
        <v>1</v>
      </c>
      <c r="J190" s="386"/>
      <c r="K190" s="386"/>
      <c r="L190" s="386"/>
      <c r="M190" s="386"/>
      <c r="N190" s="386"/>
      <c r="O190" s="437" t="s">
        <v>384</v>
      </c>
    </row>
    <row r="191" spans="1:15" s="162" customFormat="1">
      <c r="A191" s="395">
        <v>61</v>
      </c>
      <c r="B191" s="388" t="s">
        <v>474</v>
      </c>
      <c r="C191" s="382" t="s">
        <v>340</v>
      </c>
      <c r="D191" s="383">
        <v>66</v>
      </c>
      <c r="E191" s="254" t="s">
        <v>478</v>
      </c>
      <c r="F191" s="260" t="s">
        <v>490</v>
      </c>
      <c r="G191" s="263">
        <v>28200</v>
      </c>
      <c r="H191" s="435" t="s">
        <v>447</v>
      </c>
      <c r="I191" s="273">
        <v>1</v>
      </c>
      <c r="J191" s="386"/>
      <c r="K191" s="386"/>
      <c r="L191" s="386"/>
      <c r="M191" s="386"/>
      <c r="N191" s="386"/>
      <c r="O191" s="437" t="s">
        <v>442</v>
      </c>
    </row>
    <row r="192" spans="1:15" s="162" customFormat="1">
      <c r="A192" s="395">
        <v>62</v>
      </c>
      <c r="B192" s="388" t="s">
        <v>474</v>
      </c>
      <c r="C192" s="382" t="s">
        <v>340</v>
      </c>
      <c r="D192" s="383">
        <v>66</v>
      </c>
      <c r="E192" s="254" t="s">
        <v>479</v>
      </c>
      <c r="F192" s="260" t="s">
        <v>490</v>
      </c>
      <c r="G192" s="263">
        <v>28200</v>
      </c>
      <c r="H192" s="435" t="s">
        <v>447</v>
      </c>
      <c r="I192" s="273">
        <v>1</v>
      </c>
      <c r="J192" s="386"/>
      <c r="K192" s="386"/>
      <c r="L192" s="386"/>
      <c r="M192" s="386"/>
      <c r="N192" s="386"/>
      <c r="O192" s="437" t="s">
        <v>368</v>
      </c>
    </row>
    <row r="193" spans="1:15" s="162" customFormat="1">
      <c r="A193" s="395">
        <v>63</v>
      </c>
      <c r="B193" s="388" t="s">
        <v>474</v>
      </c>
      <c r="C193" s="382" t="s">
        <v>340</v>
      </c>
      <c r="D193" s="383">
        <v>66</v>
      </c>
      <c r="E193" s="254" t="s">
        <v>480</v>
      </c>
      <c r="F193" s="260" t="s">
        <v>490</v>
      </c>
      <c r="G193" s="263">
        <v>28200</v>
      </c>
      <c r="H193" s="435" t="s">
        <v>447</v>
      </c>
      <c r="I193" s="273">
        <v>1</v>
      </c>
      <c r="J193" s="386"/>
      <c r="K193" s="386"/>
      <c r="L193" s="386"/>
      <c r="M193" s="386"/>
      <c r="N193" s="386"/>
      <c r="O193" s="437" t="s">
        <v>491</v>
      </c>
    </row>
    <row r="194" spans="1:15" s="162" customFormat="1">
      <c r="A194" s="395">
        <v>64</v>
      </c>
      <c r="B194" s="388" t="s">
        <v>475</v>
      </c>
      <c r="C194" s="382" t="s">
        <v>340</v>
      </c>
      <c r="D194" s="383">
        <v>66</v>
      </c>
      <c r="E194" s="254" t="s">
        <v>481</v>
      </c>
      <c r="F194" s="260" t="s">
        <v>490</v>
      </c>
      <c r="G194" s="263">
        <v>2800</v>
      </c>
      <c r="H194" s="435" t="s">
        <v>447</v>
      </c>
      <c r="I194" s="273">
        <v>1</v>
      </c>
      <c r="J194" s="436"/>
      <c r="K194" s="436"/>
      <c r="L194" s="436"/>
      <c r="M194" s="436"/>
      <c r="N194" s="436"/>
      <c r="O194" s="387" t="s">
        <v>442</v>
      </c>
    </row>
    <row r="195" spans="1:15" s="162" customFormat="1">
      <c r="A195" s="395">
        <v>65</v>
      </c>
      <c r="B195" s="388" t="s">
        <v>475</v>
      </c>
      <c r="C195" s="382" t="s">
        <v>340</v>
      </c>
      <c r="D195" s="383">
        <v>66</v>
      </c>
      <c r="E195" s="254" t="s">
        <v>482</v>
      </c>
      <c r="F195" s="260" t="s">
        <v>490</v>
      </c>
      <c r="G195" s="263">
        <v>2800</v>
      </c>
      <c r="H195" s="435" t="s">
        <v>447</v>
      </c>
      <c r="I195" s="273">
        <v>1</v>
      </c>
      <c r="J195" s="386"/>
      <c r="K195" s="386"/>
      <c r="L195" s="386"/>
      <c r="M195" s="386"/>
      <c r="N195" s="386"/>
      <c r="O195" s="257" t="s">
        <v>368</v>
      </c>
    </row>
    <row r="196" spans="1:15" s="162" customFormat="1">
      <c r="A196" s="395">
        <v>66</v>
      </c>
      <c r="B196" s="388" t="s">
        <v>475</v>
      </c>
      <c r="C196" s="382" t="s">
        <v>340</v>
      </c>
      <c r="D196" s="383">
        <v>66</v>
      </c>
      <c r="E196" s="254" t="s">
        <v>483</v>
      </c>
      <c r="F196" s="260" t="s">
        <v>490</v>
      </c>
      <c r="G196" s="263">
        <v>2800</v>
      </c>
      <c r="H196" s="435" t="s">
        <v>447</v>
      </c>
      <c r="I196" s="273">
        <v>1</v>
      </c>
      <c r="J196" s="386"/>
      <c r="K196" s="386"/>
      <c r="L196" s="386"/>
      <c r="M196" s="386"/>
      <c r="N196" s="386"/>
      <c r="O196" s="437" t="s">
        <v>384</v>
      </c>
    </row>
    <row r="197" spans="1:15" s="162" customFormat="1">
      <c r="A197" s="395">
        <v>67</v>
      </c>
      <c r="B197" s="388" t="s">
        <v>475</v>
      </c>
      <c r="C197" s="382" t="s">
        <v>340</v>
      </c>
      <c r="D197" s="383">
        <v>66</v>
      </c>
      <c r="E197" s="254" t="s">
        <v>484</v>
      </c>
      <c r="F197" s="260" t="s">
        <v>490</v>
      </c>
      <c r="G197" s="263">
        <v>2800</v>
      </c>
      <c r="H197" s="435" t="s">
        <v>447</v>
      </c>
      <c r="I197" s="273">
        <v>1</v>
      </c>
      <c r="J197" s="386"/>
      <c r="K197" s="386"/>
      <c r="L197" s="386"/>
      <c r="M197" s="386"/>
      <c r="N197" s="386"/>
      <c r="O197" s="437" t="s">
        <v>491</v>
      </c>
    </row>
    <row r="198" spans="1:15" s="162" customFormat="1">
      <c r="A198" s="395">
        <v>68</v>
      </c>
      <c r="B198" s="388" t="s">
        <v>476</v>
      </c>
      <c r="C198" s="382" t="s">
        <v>340</v>
      </c>
      <c r="D198" s="383">
        <v>66</v>
      </c>
      <c r="E198" s="254" t="s">
        <v>485</v>
      </c>
      <c r="F198" s="260" t="s">
        <v>490</v>
      </c>
      <c r="G198" s="263">
        <v>6900</v>
      </c>
      <c r="H198" s="435" t="s">
        <v>447</v>
      </c>
      <c r="I198" s="273">
        <v>1</v>
      </c>
      <c r="J198" s="386"/>
      <c r="K198" s="386"/>
      <c r="L198" s="386"/>
      <c r="M198" s="386"/>
      <c r="N198" s="386"/>
      <c r="O198" s="437" t="s">
        <v>358</v>
      </c>
    </row>
    <row r="199" spans="1:15" s="162" customFormat="1">
      <c r="A199" s="395">
        <v>69</v>
      </c>
      <c r="B199" s="388" t="s">
        <v>476</v>
      </c>
      <c r="C199" s="382" t="s">
        <v>340</v>
      </c>
      <c r="D199" s="383">
        <v>66</v>
      </c>
      <c r="E199" s="254" t="s">
        <v>486</v>
      </c>
      <c r="F199" s="260" t="s">
        <v>490</v>
      </c>
      <c r="G199" s="263">
        <v>6900</v>
      </c>
      <c r="H199" s="435" t="s">
        <v>447</v>
      </c>
      <c r="I199" s="273">
        <v>1</v>
      </c>
      <c r="J199" s="386"/>
      <c r="K199" s="386"/>
      <c r="L199" s="386"/>
      <c r="M199" s="386"/>
      <c r="N199" s="386"/>
      <c r="O199" s="437" t="s">
        <v>368</v>
      </c>
    </row>
    <row r="200" spans="1:15" s="162" customFormat="1">
      <c r="A200" s="395">
        <v>70</v>
      </c>
      <c r="B200" s="388" t="s">
        <v>476</v>
      </c>
      <c r="C200" s="382" t="s">
        <v>340</v>
      </c>
      <c r="D200" s="383">
        <v>66</v>
      </c>
      <c r="E200" s="254" t="s">
        <v>487</v>
      </c>
      <c r="F200" s="260" t="s">
        <v>490</v>
      </c>
      <c r="G200" s="264">
        <v>6900</v>
      </c>
      <c r="H200" s="435" t="s">
        <v>447</v>
      </c>
      <c r="I200" s="273">
        <v>1</v>
      </c>
      <c r="J200" s="386"/>
      <c r="K200" s="386"/>
      <c r="L200" s="386"/>
      <c r="M200" s="386"/>
      <c r="N200" s="386"/>
      <c r="O200" s="437" t="s">
        <v>351</v>
      </c>
    </row>
    <row r="201" spans="1:15" s="162" customFormat="1">
      <c r="A201" s="395">
        <v>71</v>
      </c>
      <c r="B201" s="388" t="s">
        <v>476</v>
      </c>
      <c r="C201" s="382" t="s">
        <v>340</v>
      </c>
      <c r="D201" s="383">
        <v>66</v>
      </c>
      <c r="E201" s="254" t="s">
        <v>488</v>
      </c>
      <c r="F201" s="260" t="s">
        <v>490</v>
      </c>
      <c r="G201" s="263">
        <v>6900</v>
      </c>
      <c r="H201" s="435" t="s">
        <v>447</v>
      </c>
      <c r="I201" s="273">
        <v>1</v>
      </c>
      <c r="J201" s="386"/>
      <c r="K201" s="386"/>
      <c r="L201" s="386"/>
      <c r="M201" s="386"/>
      <c r="N201" s="386"/>
      <c r="O201" s="437" t="s">
        <v>431</v>
      </c>
    </row>
    <row r="202" spans="1:15" s="162" customFormat="1">
      <c r="A202" s="395">
        <v>72</v>
      </c>
      <c r="B202" s="388" t="s">
        <v>475</v>
      </c>
      <c r="C202" s="382" t="s">
        <v>340</v>
      </c>
      <c r="D202" s="383">
        <v>66</v>
      </c>
      <c r="E202" s="254" t="s">
        <v>489</v>
      </c>
      <c r="F202" s="260" t="s">
        <v>490</v>
      </c>
      <c r="G202" s="264">
        <v>2800</v>
      </c>
      <c r="H202" s="435" t="s">
        <v>447</v>
      </c>
      <c r="I202" s="273">
        <v>1</v>
      </c>
      <c r="J202" s="386"/>
      <c r="K202" s="386"/>
      <c r="L202" s="386"/>
      <c r="M202" s="386"/>
      <c r="N202" s="386"/>
      <c r="O202" s="437" t="s">
        <v>358</v>
      </c>
    </row>
    <row r="203" spans="1:15" ht="16.5" thickBot="1">
      <c r="A203" s="255"/>
      <c r="B203" s="400" t="s">
        <v>465</v>
      </c>
      <c r="C203" s="382"/>
      <c r="D203" s="383"/>
      <c r="E203" s="254"/>
      <c r="F203" s="260"/>
      <c r="G203" s="438">
        <f>SUM(G138:G202)</f>
        <v>1651374</v>
      </c>
      <c r="H203" s="439"/>
      <c r="I203" s="41"/>
      <c r="J203" s="386"/>
      <c r="K203" s="386"/>
      <c r="L203" s="386"/>
      <c r="M203" s="386"/>
      <c r="N203" s="386"/>
      <c r="O203" s="437"/>
    </row>
    <row r="204" spans="1:15" ht="18.75" thickTop="1" thickBot="1">
      <c r="A204" s="440"/>
      <c r="B204" s="441" t="s">
        <v>466</v>
      </c>
      <c r="C204" s="442"/>
      <c r="D204" s="443"/>
      <c r="E204" s="444"/>
      <c r="F204" s="445"/>
      <c r="G204" s="446" t="e">
        <f>SUM(G38,G72,G79,G93,G104,#REF!,G111,#REF!,G116,G121,G128,G135,G203)</f>
        <v>#REF!</v>
      </c>
      <c r="H204" s="440"/>
      <c r="I204" s="447">
        <f>SUM(I6:I203)</f>
        <v>171</v>
      </c>
      <c r="J204" s="447">
        <f t="shared" ref="J204:N204" si="0">SUM(J6:J203)</f>
        <v>0</v>
      </c>
      <c r="K204" s="447">
        <f t="shared" si="0"/>
        <v>0</v>
      </c>
      <c r="L204" s="447">
        <f t="shared" si="0"/>
        <v>0</v>
      </c>
      <c r="M204" s="447">
        <f t="shared" si="0"/>
        <v>0</v>
      </c>
      <c r="N204" s="447">
        <f t="shared" si="0"/>
        <v>0</v>
      </c>
      <c r="O204" s="445"/>
    </row>
  </sheetData>
  <mergeCells count="10">
    <mergeCell ref="A1:O1"/>
    <mergeCell ref="A2:O2"/>
    <mergeCell ref="A3:A4"/>
    <mergeCell ref="B3:B4"/>
    <mergeCell ref="C3:E4"/>
    <mergeCell ref="F3:F4"/>
    <mergeCell ref="G3:G4"/>
    <mergeCell ref="H3:H4"/>
    <mergeCell ref="I3:N3"/>
    <mergeCell ref="O3:O4"/>
  </mergeCells>
  <pageMargins left="0.39370078740157483" right="0.39370078740157483" top="0.59055118110236227" bottom="0.39370078740157483" header="0.31496062992125984" footer="0.31496062992125984"/>
  <pageSetup paperSize="9" orientation="landscape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8021A-DEE9-4AAE-BED4-374C40871089}">
  <sheetPr>
    <tabColor rgb="FFC00000"/>
  </sheetPr>
  <dimension ref="A1:R37"/>
  <sheetViews>
    <sheetView zoomScale="85" zoomScaleNormal="85" workbookViewId="0">
      <selection activeCell="A10" sqref="A10"/>
    </sheetView>
  </sheetViews>
  <sheetFormatPr defaultColWidth="9" defaultRowHeight="15.75"/>
  <cols>
    <col min="1" max="1" width="4.375" style="1" customWidth="1"/>
    <col min="2" max="2" width="60.625" style="1" customWidth="1"/>
    <col min="3" max="3" width="4.875" style="1" bestFit="1" customWidth="1"/>
    <col min="4" max="4" width="3" style="1" bestFit="1" customWidth="1"/>
    <col min="5" max="5" width="6" style="1" customWidth="1"/>
    <col min="6" max="17" width="3.875" style="1" customWidth="1"/>
    <col min="18" max="18" width="9.625" style="1" customWidth="1"/>
    <col min="19" max="16384" width="9" style="1"/>
  </cols>
  <sheetData>
    <row r="1" spans="1:18" ht="23.25">
      <c r="A1" s="512" t="s">
        <v>642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  <c r="N1" s="512"/>
      <c r="O1" s="512"/>
      <c r="P1" s="512"/>
      <c r="Q1" s="512"/>
      <c r="R1" s="512"/>
    </row>
    <row r="2" spans="1:18" ht="23.25">
      <c r="A2" s="512" t="s">
        <v>643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</row>
    <row r="3" spans="1:18" ht="23.25">
      <c r="A3" s="512" t="s">
        <v>605</v>
      </c>
      <c r="B3" s="512"/>
      <c r="C3" s="512"/>
      <c r="D3" s="512"/>
      <c r="E3" s="512"/>
      <c r="F3" s="512"/>
      <c r="G3" s="512"/>
      <c r="H3" s="512"/>
      <c r="I3" s="512"/>
      <c r="J3" s="512"/>
      <c r="K3" s="512"/>
      <c r="L3" s="512"/>
      <c r="M3" s="512"/>
      <c r="N3" s="512"/>
      <c r="O3" s="512"/>
      <c r="P3" s="512"/>
      <c r="Q3" s="512"/>
      <c r="R3" s="512"/>
    </row>
    <row r="4" spans="1:18" ht="21">
      <c r="A4" s="513" t="s">
        <v>606</v>
      </c>
      <c r="B4" s="516" t="s">
        <v>492</v>
      </c>
      <c r="C4" s="519" t="s">
        <v>607</v>
      </c>
      <c r="D4" s="520"/>
      <c r="E4" s="521"/>
      <c r="F4" s="528" t="s">
        <v>608</v>
      </c>
      <c r="G4" s="528"/>
      <c r="H4" s="528"/>
      <c r="I4" s="528"/>
      <c r="J4" s="528"/>
      <c r="K4" s="528"/>
      <c r="L4" s="528"/>
      <c r="M4" s="528"/>
      <c r="N4" s="528"/>
      <c r="O4" s="528"/>
      <c r="P4" s="528"/>
      <c r="Q4" s="528"/>
      <c r="R4" s="529" t="s">
        <v>609</v>
      </c>
    </row>
    <row r="5" spans="1:18" ht="21">
      <c r="A5" s="514"/>
      <c r="B5" s="517"/>
      <c r="C5" s="522"/>
      <c r="D5" s="523"/>
      <c r="E5" s="524"/>
      <c r="F5" s="531" t="s">
        <v>644</v>
      </c>
      <c r="G5" s="531"/>
      <c r="H5" s="531"/>
      <c r="I5" s="531"/>
      <c r="J5" s="531"/>
      <c r="K5" s="531"/>
      <c r="L5" s="531"/>
      <c r="M5" s="531"/>
      <c r="N5" s="531"/>
      <c r="O5" s="531"/>
      <c r="P5" s="531"/>
      <c r="Q5" s="531"/>
      <c r="R5" s="530"/>
    </row>
    <row r="6" spans="1:18" ht="21">
      <c r="A6" s="515"/>
      <c r="B6" s="518"/>
      <c r="C6" s="525"/>
      <c r="D6" s="526"/>
      <c r="E6" s="527"/>
      <c r="F6" s="276" t="s">
        <v>610</v>
      </c>
      <c r="G6" s="276" t="s">
        <v>611</v>
      </c>
      <c r="H6" s="276" t="s">
        <v>612</v>
      </c>
      <c r="I6" s="276" t="s">
        <v>613</v>
      </c>
      <c r="J6" s="276" t="s">
        <v>614</v>
      </c>
      <c r="K6" s="276" t="s">
        <v>615</v>
      </c>
      <c r="L6" s="276" t="s">
        <v>616</v>
      </c>
      <c r="M6" s="276" t="s">
        <v>617</v>
      </c>
      <c r="N6" s="276" t="s">
        <v>618</v>
      </c>
      <c r="O6" s="276" t="s">
        <v>619</v>
      </c>
      <c r="P6" s="276" t="s">
        <v>620</v>
      </c>
      <c r="Q6" s="276" t="s">
        <v>621</v>
      </c>
      <c r="R6" s="530"/>
    </row>
    <row r="7" spans="1:18" ht="21">
      <c r="A7" s="365">
        <v>1</v>
      </c>
      <c r="B7" s="366" t="s">
        <v>15</v>
      </c>
      <c r="C7" s="279"/>
      <c r="D7" s="279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0"/>
      <c r="R7" s="280"/>
    </row>
    <row r="8" spans="1:18" ht="21">
      <c r="A8" s="367" t="s">
        <v>76</v>
      </c>
      <c r="B8" s="368" t="s">
        <v>77</v>
      </c>
      <c r="C8" s="283"/>
      <c r="D8" s="284"/>
      <c r="E8" s="285"/>
      <c r="F8" s="285"/>
      <c r="G8" s="285"/>
      <c r="H8" s="285"/>
      <c r="I8" s="285"/>
      <c r="J8" s="285"/>
      <c r="K8" s="285"/>
      <c r="L8" s="285"/>
      <c r="M8" s="285"/>
      <c r="N8" s="285"/>
      <c r="O8" s="285"/>
      <c r="P8" s="285"/>
      <c r="Q8" s="285"/>
      <c r="R8" s="286"/>
    </row>
    <row r="9" spans="1:18" ht="21">
      <c r="A9" s="369">
        <v>1</v>
      </c>
      <c r="B9" s="370" t="s">
        <v>493</v>
      </c>
      <c r="C9" s="289">
        <v>400</v>
      </c>
      <c r="D9" s="290">
        <v>19</v>
      </c>
      <c r="E9" s="291" t="s">
        <v>19</v>
      </c>
      <c r="F9" s="292"/>
      <c r="G9" s="293"/>
      <c r="H9" s="293"/>
      <c r="I9" s="293"/>
      <c r="J9" s="293"/>
      <c r="K9" s="293"/>
      <c r="L9" s="293"/>
      <c r="M9" s="293"/>
      <c r="N9" s="293"/>
      <c r="O9" s="293"/>
      <c r="P9" s="293"/>
      <c r="Q9" s="294"/>
      <c r="R9" s="37" t="s">
        <v>358</v>
      </c>
    </row>
    <row r="10" spans="1:18" ht="21">
      <c r="A10" s="369">
        <v>2</v>
      </c>
      <c r="B10" s="370" t="s">
        <v>496</v>
      </c>
      <c r="C10" s="296" t="s">
        <v>16</v>
      </c>
      <c r="D10" s="284">
        <v>34</v>
      </c>
      <c r="E10" s="291" t="s">
        <v>24</v>
      </c>
      <c r="F10" s="297"/>
      <c r="G10" s="298"/>
      <c r="H10" s="298"/>
      <c r="I10" s="298"/>
      <c r="J10" s="298"/>
      <c r="K10" s="298"/>
      <c r="L10" s="298"/>
      <c r="M10" s="298"/>
      <c r="N10" s="298"/>
      <c r="O10" s="298"/>
      <c r="P10" s="298"/>
      <c r="Q10" s="299"/>
      <c r="R10" s="37" t="s">
        <v>468</v>
      </c>
    </row>
    <row r="11" spans="1:18" ht="21">
      <c r="A11" s="369">
        <v>3</v>
      </c>
      <c r="B11" s="370" t="s">
        <v>499</v>
      </c>
      <c r="C11" s="296" t="s">
        <v>16</v>
      </c>
      <c r="D11" s="284">
        <v>36</v>
      </c>
      <c r="E11" s="291" t="s">
        <v>28</v>
      </c>
      <c r="F11" s="292"/>
      <c r="G11" s="293"/>
      <c r="H11" s="293"/>
      <c r="I11" s="293"/>
      <c r="J11" s="293"/>
      <c r="K11" s="293"/>
      <c r="L11" s="293"/>
      <c r="M11" s="293"/>
      <c r="N11" s="293"/>
      <c r="O11" s="293"/>
      <c r="P11" s="293"/>
      <c r="Q11" s="294"/>
      <c r="R11" s="37"/>
    </row>
    <row r="12" spans="1:18" ht="21">
      <c r="A12" s="369">
        <v>4</v>
      </c>
      <c r="B12" s="370" t="s">
        <v>499</v>
      </c>
      <c r="C12" s="301" t="s">
        <v>16</v>
      </c>
      <c r="D12" s="302">
        <v>38</v>
      </c>
      <c r="E12" s="303" t="s">
        <v>31</v>
      </c>
      <c r="F12" s="292"/>
      <c r="G12" s="293"/>
      <c r="H12" s="293"/>
      <c r="I12" s="293"/>
      <c r="J12" s="293"/>
      <c r="K12" s="293"/>
      <c r="L12" s="293"/>
      <c r="M12" s="293"/>
      <c r="N12" s="293"/>
      <c r="O12" s="293"/>
      <c r="P12" s="293"/>
      <c r="Q12" s="294"/>
      <c r="R12" s="37" t="s">
        <v>387</v>
      </c>
    </row>
    <row r="13" spans="1:18" ht="21">
      <c r="A13" s="369">
        <v>5</v>
      </c>
      <c r="B13" s="370" t="s">
        <v>503</v>
      </c>
      <c r="C13" s="283" t="s">
        <v>16</v>
      </c>
      <c r="D13" s="284">
        <v>40</v>
      </c>
      <c r="E13" s="291" t="s">
        <v>34</v>
      </c>
      <c r="F13" s="297"/>
      <c r="G13" s="298"/>
      <c r="H13" s="298"/>
      <c r="I13" s="298"/>
      <c r="J13" s="298"/>
      <c r="K13" s="298"/>
      <c r="L13" s="298"/>
      <c r="M13" s="298"/>
      <c r="N13" s="298"/>
      <c r="O13" s="298"/>
      <c r="P13" s="298"/>
      <c r="Q13" s="299"/>
      <c r="R13" s="37" t="s">
        <v>442</v>
      </c>
    </row>
    <row r="14" spans="1:18" ht="21">
      <c r="A14" s="369">
        <v>6</v>
      </c>
      <c r="B14" s="370" t="s">
        <v>503</v>
      </c>
      <c r="C14" s="283" t="s">
        <v>16</v>
      </c>
      <c r="D14" s="284">
        <v>40</v>
      </c>
      <c r="E14" s="291" t="s">
        <v>37</v>
      </c>
      <c r="F14" s="292"/>
      <c r="G14" s="298"/>
      <c r="H14" s="298"/>
      <c r="I14" s="298"/>
      <c r="J14" s="298"/>
      <c r="K14" s="298"/>
      <c r="L14" s="298"/>
      <c r="M14" s="298"/>
      <c r="N14" s="298"/>
      <c r="O14" s="298"/>
      <c r="P14" s="298"/>
      <c r="Q14" s="299"/>
      <c r="R14" s="37" t="s">
        <v>377</v>
      </c>
    </row>
    <row r="15" spans="1:18" ht="21">
      <c r="A15" s="369">
        <v>7</v>
      </c>
      <c r="B15" s="370" t="s">
        <v>507</v>
      </c>
      <c r="C15" s="283" t="s">
        <v>16</v>
      </c>
      <c r="D15" s="284">
        <v>40</v>
      </c>
      <c r="E15" s="291" t="s">
        <v>39</v>
      </c>
      <c r="F15" s="292"/>
      <c r="G15" s="298"/>
      <c r="H15" s="298"/>
      <c r="I15" s="298"/>
      <c r="J15" s="298"/>
      <c r="K15" s="298"/>
      <c r="L15" s="298"/>
      <c r="M15" s="298"/>
      <c r="N15" s="298"/>
      <c r="O15" s="298"/>
      <c r="P15" s="298"/>
      <c r="Q15" s="299"/>
      <c r="R15" s="37" t="s">
        <v>470</v>
      </c>
    </row>
    <row r="16" spans="1:18" ht="42">
      <c r="A16" s="369">
        <v>8</v>
      </c>
      <c r="B16" s="370" t="s">
        <v>510</v>
      </c>
      <c r="C16" s="283" t="s">
        <v>16</v>
      </c>
      <c r="D16" s="284">
        <v>40</v>
      </c>
      <c r="E16" s="291" t="s">
        <v>40</v>
      </c>
      <c r="F16" s="297"/>
      <c r="G16" s="298"/>
      <c r="H16" s="298"/>
      <c r="I16" s="298"/>
      <c r="J16" s="298"/>
      <c r="K16" s="298"/>
      <c r="L16" s="298"/>
      <c r="M16" s="298"/>
      <c r="N16" s="298"/>
      <c r="O16" s="298"/>
      <c r="P16" s="298"/>
      <c r="Q16" s="299"/>
      <c r="R16" s="37"/>
    </row>
    <row r="17" spans="1:18" ht="42">
      <c r="A17" s="369">
        <v>9</v>
      </c>
      <c r="B17" s="370" t="s">
        <v>510</v>
      </c>
      <c r="C17" s="283" t="s">
        <v>16</v>
      </c>
      <c r="D17" s="284">
        <v>40</v>
      </c>
      <c r="E17" s="291" t="s">
        <v>41</v>
      </c>
      <c r="F17" s="292"/>
      <c r="G17" s="298"/>
      <c r="H17" s="298"/>
      <c r="I17" s="298"/>
      <c r="J17" s="298"/>
      <c r="K17" s="298"/>
      <c r="L17" s="298"/>
      <c r="M17" s="298"/>
      <c r="N17" s="298"/>
      <c r="O17" s="298"/>
      <c r="P17" s="298"/>
      <c r="Q17" s="299"/>
      <c r="R17" s="37" t="s">
        <v>405</v>
      </c>
    </row>
    <row r="18" spans="1:18" ht="42">
      <c r="A18" s="369">
        <v>10</v>
      </c>
      <c r="B18" s="370" t="s">
        <v>510</v>
      </c>
      <c r="C18" s="283" t="s">
        <v>16</v>
      </c>
      <c r="D18" s="284">
        <v>40</v>
      </c>
      <c r="E18" s="291" t="s">
        <v>42</v>
      </c>
      <c r="F18" s="292"/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305"/>
      <c r="R18" s="37" t="s">
        <v>431</v>
      </c>
    </row>
    <row r="19" spans="1:18" ht="42">
      <c r="A19" s="369">
        <v>11</v>
      </c>
      <c r="B19" s="370" t="s">
        <v>510</v>
      </c>
      <c r="C19" s="283" t="s">
        <v>16</v>
      </c>
      <c r="D19" s="284">
        <v>42</v>
      </c>
      <c r="E19" s="291" t="s">
        <v>44</v>
      </c>
      <c r="F19" s="297"/>
      <c r="G19" s="297"/>
      <c r="H19" s="297"/>
      <c r="I19" s="297"/>
      <c r="J19" s="297"/>
      <c r="K19" s="297"/>
      <c r="L19" s="297"/>
      <c r="M19" s="297"/>
      <c r="N19" s="297"/>
      <c r="O19" s="297"/>
      <c r="P19" s="297"/>
      <c r="Q19" s="305"/>
      <c r="R19" s="37"/>
    </row>
    <row r="20" spans="1:18" ht="21">
      <c r="A20" s="369">
        <v>12</v>
      </c>
      <c r="B20" s="370" t="s">
        <v>516</v>
      </c>
      <c r="C20" s="283" t="s">
        <v>16</v>
      </c>
      <c r="D20" s="284">
        <v>42</v>
      </c>
      <c r="E20" s="291" t="s">
        <v>46</v>
      </c>
      <c r="F20" s="297"/>
      <c r="G20" s="297"/>
      <c r="H20" s="297"/>
      <c r="I20" s="297"/>
      <c r="J20" s="297"/>
      <c r="K20" s="297"/>
      <c r="L20" s="297"/>
      <c r="M20" s="297"/>
      <c r="N20" s="297"/>
      <c r="O20" s="297"/>
      <c r="P20" s="297"/>
      <c r="Q20" s="305"/>
      <c r="R20" s="37"/>
    </row>
    <row r="21" spans="1:18" ht="21">
      <c r="A21" s="369"/>
      <c r="B21" s="371"/>
      <c r="C21" s="283"/>
      <c r="D21" s="284"/>
      <c r="E21" s="291"/>
      <c r="F21" s="508" t="s">
        <v>624</v>
      </c>
      <c r="G21" s="509"/>
      <c r="H21" s="509"/>
      <c r="I21" s="509"/>
      <c r="J21" s="509"/>
      <c r="K21" s="509"/>
      <c r="L21" s="509"/>
      <c r="M21" s="509"/>
      <c r="N21" s="509"/>
      <c r="O21" s="509"/>
      <c r="P21" s="509"/>
      <c r="Q21" s="510"/>
      <c r="R21" s="37"/>
    </row>
    <row r="22" spans="1:18" ht="21">
      <c r="A22" s="372" t="s">
        <v>134</v>
      </c>
      <c r="B22" s="373" t="s">
        <v>135</v>
      </c>
      <c r="C22" s="283"/>
      <c r="D22" s="284"/>
      <c r="E22" s="291"/>
      <c r="F22" s="297"/>
      <c r="G22" s="298"/>
      <c r="H22" s="298"/>
      <c r="I22" s="298"/>
      <c r="J22" s="298"/>
      <c r="K22" s="298"/>
      <c r="L22" s="298"/>
      <c r="M22" s="298"/>
      <c r="N22" s="298"/>
      <c r="O22" s="298"/>
      <c r="P22" s="298"/>
      <c r="Q22" s="299"/>
      <c r="R22" s="37"/>
    </row>
    <row r="23" spans="1:18" ht="42">
      <c r="A23" s="374">
        <v>1</v>
      </c>
      <c r="B23" s="370" t="s">
        <v>519</v>
      </c>
      <c r="C23" s="283" t="s">
        <v>16</v>
      </c>
      <c r="D23" s="284">
        <v>44</v>
      </c>
      <c r="E23" s="291" t="s">
        <v>54</v>
      </c>
      <c r="F23" s="292"/>
      <c r="G23" s="293"/>
      <c r="H23" s="293"/>
      <c r="I23" s="293"/>
      <c r="J23" s="293"/>
      <c r="K23" s="293"/>
      <c r="L23" s="293"/>
      <c r="M23" s="293"/>
      <c r="N23" s="293"/>
      <c r="O23" s="293"/>
      <c r="P23" s="293"/>
      <c r="Q23" s="294"/>
      <c r="R23" s="197" t="s">
        <v>470</v>
      </c>
    </row>
    <row r="24" spans="1:18" ht="42">
      <c r="A24" s="374">
        <v>2</v>
      </c>
      <c r="B24" s="370" t="s">
        <v>522</v>
      </c>
      <c r="C24" s="283" t="s">
        <v>16</v>
      </c>
      <c r="D24" s="284">
        <v>45</v>
      </c>
      <c r="E24" s="291" t="s">
        <v>57</v>
      </c>
      <c r="F24" s="292"/>
      <c r="G24" s="293"/>
      <c r="H24" s="293"/>
      <c r="I24" s="293"/>
      <c r="J24" s="293"/>
      <c r="K24" s="293"/>
      <c r="L24" s="293"/>
      <c r="M24" s="293"/>
      <c r="N24" s="293"/>
      <c r="O24" s="293"/>
      <c r="P24" s="293"/>
      <c r="Q24" s="294"/>
      <c r="R24" s="197" t="s">
        <v>421</v>
      </c>
    </row>
    <row r="25" spans="1:18" ht="21">
      <c r="A25" s="374">
        <v>3</v>
      </c>
      <c r="B25" s="370" t="s">
        <v>524</v>
      </c>
      <c r="C25" s="283" t="s">
        <v>16</v>
      </c>
      <c r="D25" s="284">
        <v>45</v>
      </c>
      <c r="E25" s="291" t="s">
        <v>61</v>
      </c>
      <c r="F25" s="297"/>
      <c r="G25" s="298"/>
      <c r="H25" s="298"/>
      <c r="I25" s="298"/>
      <c r="J25" s="298"/>
      <c r="K25" s="298"/>
      <c r="L25" s="298"/>
      <c r="M25" s="298"/>
      <c r="N25" s="298"/>
      <c r="O25" s="298"/>
      <c r="P25" s="298"/>
      <c r="Q25" s="299"/>
      <c r="R25" s="197" t="s">
        <v>596</v>
      </c>
    </row>
    <row r="26" spans="1:18" ht="21">
      <c r="A26" s="374">
        <v>4</v>
      </c>
      <c r="B26" s="370" t="s">
        <v>524</v>
      </c>
      <c r="C26" s="283" t="s">
        <v>16</v>
      </c>
      <c r="D26" s="284">
        <v>46</v>
      </c>
      <c r="E26" s="291" t="s">
        <v>63</v>
      </c>
      <c r="F26" s="292"/>
      <c r="G26" s="298"/>
      <c r="H26" s="298"/>
      <c r="I26" s="298"/>
      <c r="J26" s="298"/>
      <c r="K26" s="298"/>
      <c r="L26" s="298"/>
      <c r="M26" s="298"/>
      <c r="N26" s="298"/>
      <c r="O26" s="298"/>
      <c r="P26" s="298"/>
      <c r="Q26" s="299"/>
      <c r="R26" s="197" t="s">
        <v>345</v>
      </c>
    </row>
    <row r="27" spans="1:18" ht="21">
      <c r="A27" s="374"/>
      <c r="B27" s="371"/>
      <c r="C27" s="283"/>
      <c r="D27" s="284"/>
      <c r="E27" s="291"/>
      <c r="F27" s="508" t="s">
        <v>624</v>
      </c>
      <c r="G27" s="509"/>
      <c r="H27" s="509"/>
      <c r="I27" s="509"/>
      <c r="J27" s="509"/>
      <c r="K27" s="509"/>
      <c r="L27" s="509"/>
      <c r="M27" s="509"/>
      <c r="N27" s="509"/>
      <c r="O27" s="509"/>
      <c r="P27" s="509"/>
      <c r="Q27" s="510"/>
      <c r="R27" s="197"/>
    </row>
    <row r="28" spans="1:18" ht="21">
      <c r="A28" s="372" t="s">
        <v>235</v>
      </c>
      <c r="B28" s="373" t="s">
        <v>236</v>
      </c>
      <c r="C28" s="283"/>
      <c r="D28" s="284"/>
      <c r="E28" s="291"/>
      <c r="F28" s="297"/>
      <c r="G28" s="298"/>
      <c r="H28" s="298"/>
      <c r="I28" s="298"/>
      <c r="J28" s="298"/>
      <c r="K28" s="298"/>
      <c r="L28" s="298"/>
      <c r="M28" s="298"/>
      <c r="N28" s="298"/>
      <c r="O28" s="298"/>
      <c r="P28" s="298"/>
      <c r="Q28" s="299"/>
      <c r="R28" s="201"/>
    </row>
    <row r="29" spans="1:18" ht="21">
      <c r="A29" s="369">
        <v>1</v>
      </c>
      <c r="B29" s="375" t="s">
        <v>529</v>
      </c>
      <c r="C29" s="283" t="s">
        <v>16</v>
      </c>
      <c r="D29" s="284">
        <v>46</v>
      </c>
      <c r="E29" s="291" t="s">
        <v>70</v>
      </c>
      <c r="F29" s="292"/>
      <c r="G29" s="298"/>
      <c r="H29" s="298"/>
      <c r="I29" s="298"/>
      <c r="J29" s="298"/>
      <c r="K29" s="298"/>
      <c r="L29" s="298"/>
      <c r="M29" s="298"/>
      <c r="N29" s="298"/>
      <c r="O29" s="298"/>
      <c r="P29" s="298"/>
      <c r="Q29" s="299"/>
      <c r="R29" s="37" t="s">
        <v>532</v>
      </c>
    </row>
    <row r="30" spans="1:18" ht="21">
      <c r="A30" s="369">
        <v>2</v>
      </c>
      <c r="B30" s="375" t="s">
        <v>533</v>
      </c>
      <c r="C30" s="283" t="s">
        <v>16</v>
      </c>
      <c r="D30" s="284">
        <v>46</v>
      </c>
      <c r="E30" s="291" t="s">
        <v>71</v>
      </c>
      <c r="F30" s="292"/>
      <c r="G30" s="297"/>
      <c r="H30" s="297"/>
      <c r="I30" s="297"/>
      <c r="J30" s="297"/>
      <c r="K30" s="297"/>
      <c r="L30" s="297"/>
      <c r="M30" s="297"/>
      <c r="N30" s="297"/>
      <c r="O30" s="297"/>
      <c r="P30" s="297"/>
      <c r="Q30" s="305"/>
      <c r="R30" s="37" t="s">
        <v>535</v>
      </c>
    </row>
    <row r="31" spans="1:18" ht="21">
      <c r="A31" s="369">
        <v>3</v>
      </c>
      <c r="B31" s="375" t="s">
        <v>536</v>
      </c>
      <c r="C31" s="283" t="s">
        <v>16</v>
      </c>
      <c r="D31" s="284">
        <v>57</v>
      </c>
      <c r="E31" s="291" t="s">
        <v>73</v>
      </c>
      <c r="F31" s="297"/>
      <c r="G31" s="297"/>
      <c r="H31" s="297"/>
      <c r="I31" s="297"/>
      <c r="J31" s="297"/>
      <c r="K31" s="297"/>
      <c r="L31" s="297"/>
      <c r="M31" s="297"/>
      <c r="N31" s="297"/>
      <c r="O31" s="297"/>
      <c r="P31" s="297"/>
      <c r="Q31" s="305"/>
      <c r="R31" s="37" t="s">
        <v>538</v>
      </c>
    </row>
    <row r="32" spans="1:18" ht="21">
      <c r="A32" s="369"/>
      <c r="B32" s="371" t="s">
        <v>260</v>
      </c>
      <c r="C32" s="283"/>
      <c r="D32" s="284"/>
      <c r="E32" s="291"/>
      <c r="F32" s="508" t="s">
        <v>624</v>
      </c>
      <c r="G32" s="509"/>
      <c r="H32" s="509"/>
      <c r="I32" s="509"/>
      <c r="J32" s="509"/>
      <c r="K32" s="509"/>
      <c r="L32" s="509"/>
      <c r="M32" s="509"/>
      <c r="N32" s="509"/>
      <c r="O32" s="509"/>
      <c r="P32" s="509"/>
      <c r="Q32" s="510"/>
      <c r="R32" s="37"/>
    </row>
    <row r="33" spans="1:18" ht="21">
      <c r="A33" s="365">
        <v>2</v>
      </c>
      <c r="B33" s="366" t="s">
        <v>339</v>
      </c>
      <c r="C33" s="283"/>
      <c r="D33" s="284"/>
      <c r="E33" s="291"/>
      <c r="F33" s="291"/>
      <c r="G33" s="291"/>
      <c r="H33" s="291"/>
      <c r="I33" s="291"/>
      <c r="J33" s="291"/>
      <c r="K33" s="291"/>
      <c r="L33" s="291"/>
      <c r="M33" s="291"/>
      <c r="N33" s="291"/>
      <c r="O33" s="291"/>
      <c r="P33" s="291"/>
      <c r="Q33" s="291"/>
      <c r="R33" s="172"/>
    </row>
    <row r="34" spans="1:18" ht="21">
      <c r="A34" s="372" t="s">
        <v>340</v>
      </c>
      <c r="B34" s="373" t="s">
        <v>341</v>
      </c>
      <c r="C34" s="308"/>
      <c r="D34" s="302"/>
      <c r="E34" s="303"/>
      <c r="F34" s="292"/>
      <c r="G34" s="293"/>
      <c r="H34" s="293"/>
      <c r="I34" s="293"/>
      <c r="J34" s="293"/>
      <c r="K34" s="293"/>
      <c r="L34" s="293"/>
      <c r="M34" s="293"/>
      <c r="N34" s="293"/>
      <c r="O34" s="293"/>
      <c r="P34" s="293"/>
      <c r="Q34" s="294"/>
      <c r="R34" s="197"/>
    </row>
    <row r="35" spans="1:18" ht="21">
      <c r="A35" s="376">
        <v>1</v>
      </c>
      <c r="B35" s="377" t="s">
        <v>539</v>
      </c>
      <c r="C35" s="308" t="s">
        <v>340</v>
      </c>
      <c r="D35" s="302">
        <v>54</v>
      </c>
      <c r="E35" s="303" t="s">
        <v>540</v>
      </c>
      <c r="F35" s="297"/>
      <c r="G35" s="298"/>
      <c r="H35" s="298"/>
      <c r="I35" s="298"/>
      <c r="J35" s="298"/>
      <c r="K35" s="298"/>
      <c r="L35" s="298"/>
      <c r="M35" s="298"/>
      <c r="N35" s="298"/>
      <c r="O35" s="298"/>
      <c r="P35" s="298"/>
      <c r="Q35" s="299"/>
      <c r="R35" s="201" t="s">
        <v>387</v>
      </c>
    </row>
    <row r="36" spans="1:18" ht="21">
      <c r="A36" s="376">
        <v>2</v>
      </c>
      <c r="B36" s="377" t="s">
        <v>542</v>
      </c>
      <c r="C36" s="308" t="s">
        <v>340</v>
      </c>
      <c r="D36" s="302">
        <v>56</v>
      </c>
      <c r="E36" s="303" t="s">
        <v>544</v>
      </c>
      <c r="F36" s="292"/>
      <c r="G36" s="293"/>
      <c r="H36" s="293"/>
      <c r="I36" s="293"/>
      <c r="J36" s="293"/>
      <c r="K36" s="293"/>
      <c r="L36" s="293"/>
      <c r="M36" s="293"/>
      <c r="N36" s="293"/>
      <c r="O36" s="293"/>
      <c r="P36" s="293"/>
      <c r="Q36" s="294"/>
      <c r="R36" s="201" t="s">
        <v>387</v>
      </c>
    </row>
    <row r="37" spans="1:18" ht="21">
      <c r="A37" s="359"/>
      <c r="B37" s="360"/>
      <c r="C37" s="361"/>
      <c r="D37" s="362"/>
      <c r="E37" s="363"/>
      <c r="F37" s="511" t="s">
        <v>624</v>
      </c>
      <c r="G37" s="511"/>
      <c r="H37" s="511"/>
      <c r="I37" s="511"/>
      <c r="J37" s="511"/>
      <c r="K37" s="511"/>
      <c r="L37" s="511"/>
      <c r="M37" s="511"/>
      <c r="N37" s="511"/>
      <c r="O37" s="511"/>
      <c r="P37" s="511"/>
      <c r="Q37" s="511"/>
      <c r="R37" s="364"/>
    </row>
  </sheetData>
  <mergeCells count="13">
    <mergeCell ref="F21:Q21"/>
    <mergeCell ref="F27:Q27"/>
    <mergeCell ref="F32:Q32"/>
    <mergeCell ref="F37:Q37"/>
    <mergeCell ref="A1:R1"/>
    <mergeCell ref="A2:R2"/>
    <mergeCell ref="A3:R3"/>
    <mergeCell ref="A4:A6"/>
    <mergeCell ref="B4:B6"/>
    <mergeCell ref="C4:E6"/>
    <mergeCell ref="F4:Q4"/>
    <mergeCell ref="R4:R6"/>
    <mergeCell ref="F5:Q5"/>
  </mergeCells>
  <pageMargins left="0.19685039370078741" right="0.19685039370078741" top="0.39370078740157483" bottom="0.39370078740157483" header="0.31496062992125984" footer="0.31496062992125984"/>
  <pageSetup paperSize="9" orientation="landscape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485AD-BEBC-4903-A777-57A64BB6ED5E}">
  <sheetPr>
    <tabColor rgb="FFC00000"/>
  </sheetPr>
  <dimension ref="A1:R228"/>
  <sheetViews>
    <sheetView topLeftCell="A19" zoomScale="70" zoomScaleNormal="70" workbookViewId="0">
      <selection activeCell="B11" sqref="B11"/>
    </sheetView>
  </sheetViews>
  <sheetFormatPr defaultColWidth="9" defaultRowHeight="15.75"/>
  <cols>
    <col min="1" max="1" width="4.375" style="1" customWidth="1"/>
    <col min="2" max="2" width="58.5" style="1" customWidth="1"/>
    <col min="3" max="3" width="4.875" style="1" bestFit="1" customWidth="1"/>
    <col min="4" max="4" width="3" style="1" bestFit="1" customWidth="1"/>
    <col min="5" max="5" width="4.875" style="1" bestFit="1" customWidth="1"/>
    <col min="6" max="17" width="3.875" style="1" customWidth="1"/>
    <col min="18" max="18" width="12.875" style="1" customWidth="1"/>
    <col min="19" max="16384" width="9" style="1"/>
  </cols>
  <sheetData>
    <row r="1" spans="1:18" ht="23.25">
      <c r="A1" s="512" t="s">
        <v>604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  <c r="N1" s="512"/>
      <c r="O1" s="512"/>
      <c r="P1" s="512"/>
      <c r="Q1" s="512"/>
      <c r="R1" s="512"/>
    </row>
    <row r="2" spans="1:18" ht="23.25">
      <c r="A2" s="512" t="s">
        <v>643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</row>
    <row r="3" spans="1:18" ht="23.25">
      <c r="A3" s="512" t="s">
        <v>605</v>
      </c>
      <c r="B3" s="512"/>
      <c r="C3" s="512"/>
      <c r="D3" s="512"/>
      <c r="E3" s="512"/>
      <c r="F3" s="512"/>
      <c r="G3" s="512"/>
      <c r="H3" s="512"/>
      <c r="I3" s="512"/>
      <c r="J3" s="512"/>
      <c r="K3" s="512"/>
      <c r="L3" s="512"/>
      <c r="M3" s="512"/>
      <c r="N3" s="512"/>
      <c r="O3" s="512"/>
      <c r="P3" s="512"/>
      <c r="Q3" s="512"/>
      <c r="R3" s="512"/>
    </row>
    <row r="4" spans="1:18" ht="21">
      <c r="A4" s="513" t="s">
        <v>606</v>
      </c>
      <c r="B4" s="516" t="s">
        <v>492</v>
      </c>
      <c r="C4" s="519" t="s">
        <v>607</v>
      </c>
      <c r="D4" s="520"/>
      <c r="E4" s="521"/>
      <c r="F4" s="528" t="s">
        <v>608</v>
      </c>
      <c r="G4" s="528"/>
      <c r="H4" s="528"/>
      <c r="I4" s="528"/>
      <c r="J4" s="528"/>
      <c r="K4" s="528"/>
      <c r="L4" s="528"/>
      <c r="M4" s="528"/>
      <c r="N4" s="528"/>
      <c r="O4" s="528"/>
      <c r="P4" s="528"/>
      <c r="Q4" s="528"/>
      <c r="R4" s="529" t="s">
        <v>609</v>
      </c>
    </row>
    <row r="5" spans="1:18" ht="21">
      <c r="A5" s="514"/>
      <c r="B5" s="517"/>
      <c r="C5" s="522"/>
      <c r="D5" s="523"/>
      <c r="E5" s="524"/>
      <c r="F5" s="531" t="s">
        <v>644</v>
      </c>
      <c r="G5" s="531"/>
      <c r="H5" s="531"/>
      <c r="I5" s="531"/>
      <c r="J5" s="531"/>
      <c r="K5" s="531"/>
      <c r="L5" s="531"/>
      <c r="M5" s="531"/>
      <c r="N5" s="531"/>
      <c r="O5" s="531"/>
      <c r="P5" s="531"/>
      <c r="Q5" s="531"/>
      <c r="R5" s="530"/>
    </row>
    <row r="6" spans="1:18" ht="21">
      <c r="A6" s="515"/>
      <c r="B6" s="518"/>
      <c r="C6" s="525"/>
      <c r="D6" s="526"/>
      <c r="E6" s="527"/>
      <c r="F6" s="276" t="s">
        <v>610</v>
      </c>
      <c r="G6" s="276" t="s">
        <v>611</v>
      </c>
      <c r="H6" s="276" t="s">
        <v>612</v>
      </c>
      <c r="I6" s="276" t="s">
        <v>613</v>
      </c>
      <c r="J6" s="276" t="s">
        <v>614</v>
      </c>
      <c r="K6" s="276" t="s">
        <v>615</v>
      </c>
      <c r="L6" s="276" t="s">
        <v>616</v>
      </c>
      <c r="M6" s="276" t="s">
        <v>617</v>
      </c>
      <c r="N6" s="276" t="s">
        <v>618</v>
      </c>
      <c r="O6" s="276" t="s">
        <v>619</v>
      </c>
      <c r="P6" s="276" t="s">
        <v>620</v>
      </c>
      <c r="Q6" s="276" t="s">
        <v>621</v>
      </c>
      <c r="R6" s="530"/>
    </row>
    <row r="7" spans="1:18" ht="21">
      <c r="A7" s="277">
        <v>1</v>
      </c>
      <c r="B7" s="278" t="s">
        <v>15</v>
      </c>
      <c r="C7" s="279"/>
      <c r="D7" s="279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0"/>
      <c r="R7" s="280"/>
    </row>
    <row r="8" spans="1:18" ht="21">
      <c r="A8" s="281" t="s">
        <v>16</v>
      </c>
      <c r="B8" s="282" t="s">
        <v>17</v>
      </c>
      <c r="C8" s="283"/>
      <c r="D8" s="284"/>
      <c r="E8" s="285"/>
      <c r="F8" s="285"/>
      <c r="G8" s="285"/>
      <c r="H8" s="285"/>
      <c r="I8" s="285"/>
      <c r="J8" s="285"/>
      <c r="K8" s="285"/>
      <c r="L8" s="285"/>
      <c r="M8" s="285"/>
      <c r="N8" s="285"/>
      <c r="O8" s="285"/>
      <c r="P8" s="285"/>
      <c r="Q8" s="285"/>
      <c r="R8" s="286"/>
    </row>
    <row r="9" spans="1:18" ht="21">
      <c r="A9" s="287">
        <v>1</v>
      </c>
      <c r="B9" s="288" t="s">
        <v>18</v>
      </c>
      <c r="C9" s="289">
        <v>400</v>
      </c>
      <c r="D9" s="290">
        <v>19</v>
      </c>
      <c r="E9" s="291" t="s">
        <v>19</v>
      </c>
      <c r="F9" s="292"/>
      <c r="G9" s="293"/>
      <c r="H9" s="293"/>
      <c r="I9" s="293"/>
      <c r="J9" s="293"/>
      <c r="K9" s="293"/>
      <c r="L9" s="293"/>
      <c r="M9" s="293"/>
      <c r="N9" s="293"/>
      <c r="O9" s="293"/>
      <c r="P9" s="293"/>
      <c r="Q9" s="294"/>
      <c r="R9" s="286" t="s">
        <v>22</v>
      </c>
    </row>
    <row r="10" spans="1:18" ht="21">
      <c r="A10" s="287">
        <v>2</v>
      </c>
      <c r="B10" s="295" t="s">
        <v>23</v>
      </c>
      <c r="C10" s="296" t="s">
        <v>16</v>
      </c>
      <c r="D10" s="284">
        <v>34</v>
      </c>
      <c r="E10" s="291" t="s">
        <v>24</v>
      </c>
      <c r="F10" s="297"/>
      <c r="G10" s="298"/>
      <c r="H10" s="298"/>
      <c r="I10" s="298"/>
      <c r="J10" s="298"/>
      <c r="K10" s="298"/>
      <c r="L10" s="298"/>
      <c r="M10" s="298"/>
      <c r="N10" s="298"/>
      <c r="O10" s="298"/>
      <c r="P10" s="298"/>
      <c r="Q10" s="299"/>
      <c r="R10" s="286"/>
    </row>
    <row r="11" spans="1:18" ht="21">
      <c r="A11" s="287">
        <v>3</v>
      </c>
      <c r="B11" s="295" t="s">
        <v>27</v>
      </c>
      <c r="C11" s="296" t="s">
        <v>16</v>
      </c>
      <c r="D11" s="284">
        <v>36</v>
      </c>
      <c r="E11" s="291" t="s">
        <v>28</v>
      </c>
      <c r="F11" s="292"/>
      <c r="G11" s="293"/>
      <c r="H11" s="293"/>
      <c r="I11" s="293"/>
      <c r="J11" s="293"/>
      <c r="K11" s="293"/>
      <c r="L11" s="293"/>
      <c r="M11" s="293"/>
      <c r="N11" s="293"/>
      <c r="O11" s="293"/>
      <c r="P11" s="293"/>
      <c r="Q11" s="294"/>
      <c r="R11" s="286"/>
    </row>
    <row r="12" spans="1:18" ht="42">
      <c r="A12" s="300">
        <v>4</v>
      </c>
      <c r="B12" s="295" t="s">
        <v>30</v>
      </c>
      <c r="C12" s="301" t="s">
        <v>16</v>
      </c>
      <c r="D12" s="302">
        <v>38</v>
      </c>
      <c r="E12" s="303" t="s">
        <v>31</v>
      </c>
      <c r="F12" s="292"/>
      <c r="G12" s="293"/>
      <c r="H12" s="293"/>
      <c r="I12" s="293"/>
      <c r="J12" s="293"/>
      <c r="K12" s="293"/>
      <c r="L12" s="293"/>
      <c r="M12" s="293"/>
      <c r="N12" s="293"/>
      <c r="O12" s="293"/>
      <c r="P12" s="293"/>
      <c r="Q12" s="294"/>
      <c r="R12" s="286"/>
    </row>
    <row r="13" spans="1:18" ht="21">
      <c r="A13" s="287">
        <v>5</v>
      </c>
      <c r="B13" s="304" t="s">
        <v>33</v>
      </c>
      <c r="C13" s="283" t="s">
        <v>16</v>
      </c>
      <c r="D13" s="284">
        <v>40</v>
      </c>
      <c r="E13" s="291" t="s">
        <v>34</v>
      </c>
      <c r="F13" s="297"/>
      <c r="G13" s="298"/>
      <c r="H13" s="298"/>
      <c r="I13" s="298"/>
      <c r="J13" s="298"/>
      <c r="K13" s="298"/>
      <c r="L13" s="298"/>
      <c r="M13" s="298"/>
      <c r="N13" s="298"/>
      <c r="O13" s="298"/>
      <c r="P13" s="298"/>
      <c r="Q13" s="299"/>
      <c r="R13" s="286" t="s">
        <v>36</v>
      </c>
    </row>
    <row r="14" spans="1:18" ht="21">
      <c r="A14" s="287">
        <v>6</v>
      </c>
      <c r="B14" s="304" t="s">
        <v>33</v>
      </c>
      <c r="C14" s="283" t="s">
        <v>16</v>
      </c>
      <c r="D14" s="284">
        <v>40</v>
      </c>
      <c r="E14" s="291" t="s">
        <v>37</v>
      </c>
      <c r="F14" s="292"/>
      <c r="G14" s="298"/>
      <c r="H14" s="298"/>
      <c r="I14" s="298"/>
      <c r="J14" s="298"/>
      <c r="K14" s="298"/>
      <c r="L14" s="298"/>
      <c r="M14" s="298"/>
      <c r="N14" s="298"/>
      <c r="O14" s="298"/>
      <c r="P14" s="298"/>
      <c r="Q14" s="299"/>
      <c r="R14" s="286" t="s">
        <v>38</v>
      </c>
    </row>
    <row r="15" spans="1:18" ht="21">
      <c r="A15" s="287">
        <v>7</v>
      </c>
      <c r="B15" s="304" t="s">
        <v>33</v>
      </c>
      <c r="C15" s="283" t="s">
        <v>16</v>
      </c>
      <c r="D15" s="284">
        <v>40</v>
      </c>
      <c r="E15" s="291" t="s">
        <v>39</v>
      </c>
      <c r="F15" s="292"/>
      <c r="G15" s="298"/>
      <c r="H15" s="298"/>
      <c r="I15" s="298"/>
      <c r="J15" s="298"/>
      <c r="K15" s="298"/>
      <c r="L15" s="298"/>
      <c r="M15" s="298"/>
      <c r="N15" s="298"/>
      <c r="O15" s="298"/>
      <c r="P15" s="298"/>
      <c r="Q15" s="299"/>
      <c r="R15" s="286"/>
    </row>
    <row r="16" spans="1:18" ht="21">
      <c r="A16" s="287">
        <v>8</v>
      </c>
      <c r="B16" s="304" t="s">
        <v>33</v>
      </c>
      <c r="C16" s="283" t="s">
        <v>16</v>
      </c>
      <c r="D16" s="284">
        <v>40</v>
      </c>
      <c r="E16" s="291" t="s">
        <v>40</v>
      </c>
      <c r="F16" s="297"/>
      <c r="G16" s="298"/>
      <c r="H16" s="298"/>
      <c r="I16" s="298"/>
      <c r="J16" s="298"/>
      <c r="K16" s="298"/>
      <c r="L16" s="298"/>
      <c r="M16" s="298"/>
      <c r="N16" s="298"/>
      <c r="O16" s="298"/>
      <c r="P16" s="298"/>
      <c r="Q16" s="299"/>
      <c r="R16" s="286" t="s">
        <v>622</v>
      </c>
    </row>
    <row r="17" spans="1:18" ht="21">
      <c r="A17" s="287">
        <v>9</v>
      </c>
      <c r="B17" s="304" t="s">
        <v>33</v>
      </c>
      <c r="C17" s="283" t="s">
        <v>16</v>
      </c>
      <c r="D17" s="284">
        <v>40</v>
      </c>
      <c r="E17" s="291" t="s">
        <v>41</v>
      </c>
      <c r="F17" s="292"/>
      <c r="G17" s="298"/>
      <c r="H17" s="298"/>
      <c r="I17" s="298"/>
      <c r="J17" s="298"/>
      <c r="K17" s="298"/>
      <c r="L17" s="298"/>
      <c r="M17" s="298"/>
      <c r="N17" s="298"/>
      <c r="O17" s="298"/>
      <c r="P17" s="298"/>
      <c r="Q17" s="299"/>
      <c r="R17" s="286"/>
    </row>
    <row r="18" spans="1:18" ht="21">
      <c r="A18" s="287">
        <v>10</v>
      </c>
      <c r="B18" s="304" t="s">
        <v>33</v>
      </c>
      <c r="C18" s="283" t="s">
        <v>16</v>
      </c>
      <c r="D18" s="284">
        <v>40</v>
      </c>
      <c r="E18" s="291" t="s">
        <v>42</v>
      </c>
      <c r="F18" s="292"/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305"/>
      <c r="R18" s="286" t="s">
        <v>43</v>
      </c>
    </row>
    <row r="19" spans="1:18" ht="21">
      <c r="A19" s="287">
        <v>11</v>
      </c>
      <c r="B19" s="304" t="s">
        <v>33</v>
      </c>
      <c r="C19" s="283" t="s">
        <v>16</v>
      </c>
      <c r="D19" s="284">
        <v>42</v>
      </c>
      <c r="E19" s="291" t="s">
        <v>44</v>
      </c>
      <c r="F19" s="297"/>
      <c r="G19" s="297"/>
      <c r="H19" s="297"/>
      <c r="I19" s="297"/>
      <c r="J19" s="297"/>
      <c r="K19" s="297"/>
      <c r="L19" s="297"/>
      <c r="M19" s="297"/>
      <c r="N19" s="297"/>
      <c r="O19" s="297"/>
      <c r="P19" s="297"/>
      <c r="Q19" s="305"/>
      <c r="R19" s="286"/>
    </row>
    <row r="20" spans="1:18" ht="21">
      <c r="A20" s="287">
        <v>12</v>
      </c>
      <c r="B20" s="304" t="s">
        <v>33</v>
      </c>
      <c r="C20" s="283" t="s">
        <v>16</v>
      </c>
      <c r="D20" s="284">
        <v>42</v>
      </c>
      <c r="E20" s="291" t="s">
        <v>46</v>
      </c>
      <c r="F20" s="297"/>
      <c r="G20" s="297"/>
      <c r="H20" s="297"/>
      <c r="I20" s="297"/>
      <c r="J20" s="297"/>
      <c r="K20" s="297"/>
      <c r="L20" s="297"/>
      <c r="M20" s="297"/>
      <c r="N20" s="297"/>
      <c r="O20" s="297"/>
      <c r="P20" s="297"/>
      <c r="Q20" s="305"/>
      <c r="R20" s="286"/>
    </row>
    <row r="21" spans="1:18" ht="21">
      <c r="A21" s="287">
        <v>13</v>
      </c>
      <c r="B21" s="304" t="s">
        <v>47</v>
      </c>
      <c r="C21" s="283" t="s">
        <v>16</v>
      </c>
      <c r="D21" s="284">
        <v>44</v>
      </c>
      <c r="E21" s="291" t="s">
        <v>48</v>
      </c>
      <c r="F21" s="292"/>
      <c r="G21" s="293"/>
      <c r="H21" s="293"/>
      <c r="I21" s="293"/>
      <c r="J21" s="293"/>
      <c r="K21" s="293"/>
      <c r="L21" s="293"/>
      <c r="M21" s="293"/>
      <c r="N21" s="293"/>
      <c r="O21" s="293"/>
      <c r="P21" s="293"/>
      <c r="Q21" s="294"/>
      <c r="R21" s="286"/>
    </row>
    <row r="22" spans="1:18" ht="21">
      <c r="A22" s="287">
        <v>14</v>
      </c>
      <c r="B22" s="304" t="s">
        <v>50</v>
      </c>
      <c r="C22" s="283" t="s">
        <v>16</v>
      </c>
      <c r="D22" s="284">
        <v>44</v>
      </c>
      <c r="E22" s="291" t="s">
        <v>51</v>
      </c>
      <c r="F22" s="297"/>
      <c r="G22" s="298"/>
      <c r="H22" s="298"/>
      <c r="I22" s="298"/>
      <c r="J22" s="298"/>
      <c r="K22" s="298"/>
      <c r="L22" s="298"/>
      <c r="M22" s="298"/>
      <c r="N22" s="298"/>
      <c r="O22" s="298"/>
      <c r="P22" s="298"/>
      <c r="Q22" s="299"/>
      <c r="R22" s="286" t="s">
        <v>622</v>
      </c>
    </row>
    <row r="23" spans="1:18" ht="21">
      <c r="A23" s="287">
        <v>15</v>
      </c>
      <c r="B23" s="304" t="s">
        <v>53</v>
      </c>
      <c r="C23" s="283" t="s">
        <v>16</v>
      </c>
      <c r="D23" s="284">
        <v>44</v>
      </c>
      <c r="E23" s="291" t="s">
        <v>54</v>
      </c>
      <c r="F23" s="292"/>
      <c r="G23" s="293"/>
      <c r="H23" s="293"/>
      <c r="I23" s="293"/>
      <c r="J23" s="293"/>
      <c r="K23" s="293"/>
      <c r="L23" s="293"/>
      <c r="M23" s="293"/>
      <c r="N23" s="293"/>
      <c r="O23" s="293"/>
      <c r="P23" s="293"/>
      <c r="Q23" s="294"/>
      <c r="R23" s="286"/>
    </row>
    <row r="24" spans="1:18" ht="21">
      <c r="A24" s="287">
        <v>16</v>
      </c>
      <c r="B24" s="304" t="s">
        <v>56</v>
      </c>
      <c r="C24" s="283" t="s">
        <v>16</v>
      </c>
      <c r="D24" s="284">
        <v>45</v>
      </c>
      <c r="E24" s="291" t="s">
        <v>57</v>
      </c>
      <c r="F24" s="292"/>
      <c r="G24" s="293"/>
      <c r="H24" s="293"/>
      <c r="I24" s="293"/>
      <c r="J24" s="293"/>
      <c r="K24" s="293"/>
      <c r="L24" s="293"/>
      <c r="M24" s="293"/>
      <c r="N24" s="293"/>
      <c r="O24" s="293"/>
      <c r="P24" s="293"/>
      <c r="Q24" s="294"/>
      <c r="R24" s="286" t="s">
        <v>59</v>
      </c>
    </row>
    <row r="25" spans="1:18" ht="21">
      <c r="A25" s="287">
        <v>17</v>
      </c>
      <c r="B25" s="304" t="s">
        <v>60</v>
      </c>
      <c r="C25" s="283" t="s">
        <v>16</v>
      </c>
      <c r="D25" s="284">
        <v>45</v>
      </c>
      <c r="E25" s="291" t="s">
        <v>61</v>
      </c>
      <c r="F25" s="297"/>
      <c r="G25" s="298"/>
      <c r="H25" s="298"/>
      <c r="I25" s="298"/>
      <c r="J25" s="298"/>
      <c r="K25" s="298"/>
      <c r="L25" s="298"/>
      <c r="M25" s="298"/>
      <c r="N25" s="298"/>
      <c r="O25" s="298"/>
      <c r="P25" s="298"/>
      <c r="Q25" s="299"/>
      <c r="R25" s="286"/>
    </row>
    <row r="26" spans="1:18" ht="21">
      <c r="A26" s="287">
        <v>18</v>
      </c>
      <c r="B26" s="304" t="s">
        <v>47</v>
      </c>
      <c r="C26" s="283" t="s">
        <v>16</v>
      </c>
      <c r="D26" s="284">
        <v>46</v>
      </c>
      <c r="E26" s="291" t="s">
        <v>63</v>
      </c>
      <c r="F26" s="292"/>
      <c r="G26" s="298"/>
      <c r="H26" s="298"/>
      <c r="I26" s="298"/>
      <c r="J26" s="298"/>
      <c r="K26" s="298"/>
      <c r="L26" s="298"/>
      <c r="M26" s="298"/>
      <c r="N26" s="298"/>
      <c r="O26" s="298"/>
      <c r="P26" s="298"/>
      <c r="Q26" s="299"/>
      <c r="R26" s="286" t="s">
        <v>65</v>
      </c>
    </row>
    <row r="27" spans="1:18" ht="21">
      <c r="A27" s="287">
        <v>19</v>
      </c>
      <c r="B27" s="304" t="s">
        <v>66</v>
      </c>
      <c r="C27" s="283" t="s">
        <v>67</v>
      </c>
      <c r="D27" s="284">
        <v>46</v>
      </c>
      <c r="E27" s="291" t="s">
        <v>68</v>
      </c>
      <c r="F27" s="292"/>
      <c r="G27" s="298"/>
      <c r="H27" s="298"/>
      <c r="I27" s="298"/>
      <c r="J27" s="298"/>
      <c r="K27" s="298"/>
      <c r="L27" s="298"/>
      <c r="M27" s="298"/>
      <c r="N27" s="298"/>
      <c r="O27" s="298"/>
      <c r="P27" s="298"/>
      <c r="Q27" s="299"/>
      <c r="R27" s="286"/>
    </row>
    <row r="28" spans="1:18" ht="21">
      <c r="A28" s="287">
        <v>20</v>
      </c>
      <c r="B28" s="304" t="s">
        <v>66</v>
      </c>
      <c r="C28" s="283" t="s">
        <v>16</v>
      </c>
      <c r="D28" s="284">
        <v>46</v>
      </c>
      <c r="E28" s="291" t="s">
        <v>69</v>
      </c>
      <c r="F28" s="297"/>
      <c r="G28" s="298"/>
      <c r="H28" s="298"/>
      <c r="I28" s="298"/>
      <c r="J28" s="298"/>
      <c r="K28" s="298"/>
      <c r="L28" s="298"/>
      <c r="M28" s="298"/>
      <c r="N28" s="298"/>
      <c r="O28" s="298"/>
      <c r="P28" s="298"/>
      <c r="Q28" s="299"/>
      <c r="R28" s="286" t="s">
        <v>623</v>
      </c>
    </row>
    <row r="29" spans="1:18" ht="21">
      <c r="A29" s="287">
        <v>21</v>
      </c>
      <c r="B29" s="304" t="s">
        <v>66</v>
      </c>
      <c r="C29" s="283" t="s">
        <v>16</v>
      </c>
      <c r="D29" s="284">
        <v>46</v>
      </c>
      <c r="E29" s="291" t="s">
        <v>70</v>
      </c>
      <c r="F29" s="292"/>
      <c r="G29" s="298"/>
      <c r="H29" s="298"/>
      <c r="I29" s="298"/>
      <c r="J29" s="298"/>
      <c r="K29" s="298"/>
      <c r="L29" s="298"/>
      <c r="M29" s="298"/>
      <c r="N29" s="298"/>
      <c r="O29" s="298"/>
      <c r="P29" s="298"/>
      <c r="Q29" s="299"/>
      <c r="R29" s="286" t="s">
        <v>22</v>
      </c>
    </row>
    <row r="30" spans="1:18" ht="21">
      <c r="A30" s="287">
        <v>22</v>
      </c>
      <c r="B30" s="304" t="s">
        <v>66</v>
      </c>
      <c r="C30" s="283" t="s">
        <v>16</v>
      </c>
      <c r="D30" s="284">
        <v>46</v>
      </c>
      <c r="E30" s="291" t="s">
        <v>71</v>
      </c>
      <c r="F30" s="292"/>
      <c r="G30" s="297"/>
      <c r="H30" s="297"/>
      <c r="I30" s="297"/>
      <c r="J30" s="297"/>
      <c r="K30" s="297"/>
      <c r="L30" s="297"/>
      <c r="M30" s="297"/>
      <c r="N30" s="297"/>
      <c r="O30" s="297"/>
      <c r="P30" s="297"/>
      <c r="Q30" s="305"/>
      <c r="R30" s="286"/>
    </row>
    <row r="31" spans="1:18" ht="21">
      <c r="A31" s="287">
        <v>23</v>
      </c>
      <c r="B31" s="304" t="s">
        <v>72</v>
      </c>
      <c r="C31" s="283" t="s">
        <v>16</v>
      </c>
      <c r="D31" s="284">
        <v>57</v>
      </c>
      <c r="E31" s="291" t="s">
        <v>73</v>
      </c>
      <c r="F31" s="297"/>
      <c r="G31" s="297"/>
      <c r="H31" s="297"/>
      <c r="I31" s="297"/>
      <c r="J31" s="297"/>
      <c r="K31" s="297"/>
      <c r="L31" s="297"/>
      <c r="M31" s="297"/>
      <c r="N31" s="297"/>
      <c r="O31" s="297"/>
      <c r="P31" s="297"/>
      <c r="Q31" s="305"/>
      <c r="R31" s="286" t="s">
        <v>596</v>
      </c>
    </row>
    <row r="32" spans="1:18" ht="21">
      <c r="A32" s="287"/>
      <c r="B32" s="306"/>
      <c r="C32" s="283"/>
      <c r="D32" s="284"/>
      <c r="E32" s="291"/>
      <c r="F32" s="508" t="s">
        <v>624</v>
      </c>
      <c r="G32" s="509"/>
      <c r="H32" s="509"/>
      <c r="I32" s="509"/>
      <c r="J32" s="509"/>
      <c r="K32" s="509"/>
      <c r="L32" s="509"/>
      <c r="M32" s="509"/>
      <c r="N32" s="509"/>
      <c r="O32" s="509"/>
      <c r="P32" s="509"/>
      <c r="Q32" s="510"/>
      <c r="R32" s="286"/>
    </row>
    <row r="33" spans="1:18" ht="21">
      <c r="A33" s="281" t="s">
        <v>76</v>
      </c>
      <c r="B33" s="307" t="s">
        <v>77</v>
      </c>
      <c r="C33" s="283"/>
      <c r="D33" s="284"/>
      <c r="E33" s="291"/>
      <c r="F33" s="291"/>
      <c r="G33" s="291"/>
      <c r="H33" s="291"/>
      <c r="I33" s="291"/>
      <c r="J33" s="291"/>
      <c r="K33" s="291"/>
      <c r="L33" s="291"/>
      <c r="M33" s="291"/>
      <c r="N33" s="291"/>
      <c r="O33" s="291"/>
      <c r="P33" s="291"/>
      <c r="Q33" s="291"/>
      <c r="R33" s="286"/>
    </row>
    <row r="34" spans="1:18" ht="21">
      <c r="A34" s="287">
        <v>1</v>
      </c>
      <c r="B34" s="304" t="s">
        <v>78</v>
      </c>
      <c r="C34" s="308" t="s">
        <v>76</v>
      </c>
      <c r="D34" s="302">
        <v>43</v>
      </c>
      <c r="E34" s="303" t="s">
        <v>79</v>
      </c>
      <c r="F34" s="292"/>
      <c r="G34" s="293"/>
      <c r="H34" s="293"/>
      <c r="I34" s="293"/>
      <c r="J34" s="293"/>
      <c r="K34" s="293"/>
      <c r="L34" s="293"/>
      <c r="M34" s="293"/>
      <c r="N34" s="293"/>
      <c r="O34" s="293"/>
      <c r="P34" s="293"/>
      <c r="Q34" s="294"/>
      <c r="R34" s="309" t="s">
        <v>81</v>
      </c>
    </row>
    <row r="35" spans="1:18" ht="21">
      <c r="A35" s="287">
        <v>2</v>
      </c>
      <c r="B35" s="304" t="s">
        <v>77</v>
      </c>
      <c r="C35" s="308" t="s">
        <v>76</v>
      </c>
      <c r="D35" s="302">
        <v>45</v>
      </c>
      <c r="E35" s="303" t="s">
        <v>82</v>
      </c>
      <c r="F35" s="297"/>
      <c r="G35" s="298"/>
      <c r="H35" s="298"/>
      <c r="I35" s="298"/>
      <c r="J35" s="298"/>
      <c r="K35" s="298"/>
      <c r="L35" s="298"/>
      <c r="M35" s="298"/>
      <c r="N35" s="298"/>
      <c r="O35" s="298"/>
      <c r="P35" s="298"/>
      <c r="Q35" s="299"/>
      <c r="R35" s="310" t="s">
        <v>625</v>
      </c>
    </row>
    <row r="36" spans="1:18" ht="21">
      <c r="A36" s="287">
        <v>3</v>
      </c>
      <c r="B36" s="304" t="s">
        <v>83</v>
      </c>
      <c r="C36" s="308" t="s">
        <v>76</v>
      </c>
      <c r="D36" s="302">
        <v>45</v>
      </c>
      <c r="E36" s="303" t="s">
        <v>84</v>
      </c>
      <c r="F36" s="292"/>
      <c r="G36" s="293"/>
      <c r="H36" s="293"/>
      <c r="I36" s="293"/>
      <c r="J36" s="293"/>
      <c r="K36" s="293"/>
      <c r="L36" s="293"/>
      <c r="M36" s="293"/>
      <c r="N36" s="293"/>
      <c r="O36" s="293"/>
      <c r="P36" s="293"/>
      <c r="Q36" s="294"/>
      <c r="R36" s="309"/>
    </row>
    <row r="37" spans="1:18" ht="21">
      <c r="A37" s="287">
        <v>4</v>
      </c>
      <c r="B37" s="304" t="s">
        <v>86</v>
      </c>
      <c r="C37" s="308" t="s">
        <v>76</v>
      </c>
      <c r="D37" s="302">
        <v>46</v>
      </c>
      <c r="E37" s="303" t="s">
        <v>87</v>
      </c>
      <c r="F37" s="292"/>
      <c r="G37" s="293"/>
      <c r="H37" s="293"/>
      <c r="I37" s="293"/>
      <c r="J37" s="293"/>
      <c r="K37" s="293"/>
      <c r="L37" s="293"/>
      <c r="M37" s="293"/>
      <c r="N37" s="293"/>
      <c r="O37" s="293"/>
      <c r="P37" s="293"/>
      <c r="Q37" s="294"/>
      <c r="R37" s="309" t="s">
        <v>89</v>
      </c>
    </row>
    <row r="38" spans="1:18" ht="21">
      <c r="A38" s="287">
        <v>5</v>
      </c>
      <c r="B38" s="304" t="s">
        <v>90</v>
      </c>
      <c r="C38" s="308" t="s">
        <v>76</v>
      </c>
      <c r="D38" s="302">
        <v>46</v>
      </c>
      <c r="E38" s="303" t="s">
        <v>91</v>
      </c>
      <c r="F38" s="297"/>
      <c r="G38" s="298"/>
      <c r="H38" s="298"/>
      <c r="I38" s="298"/>
      <c r="J38" s="298"/>
      <c r="K38" s="298"/>
      <c r="L38" s="298"/>
      <c r="M38" s="298"/>
      <c r="N38" s="298"/>
      <c r="O38" s="298"/>
      <c r="P38" s="298"/>
      <c r="Q38" s="299"/>
      <c r="R38" s="309" t="s">
        <v>89</v>
      </c>
    </row>
    <row r="39" spans="1:18" ht="21">
      <c r="A39" s="287">
        <v>6</v>
      </c>
      <c r="B39" s="304" t="s">
        <v>90</v>
      </c>
      <c r="C39" s="308" t="s">
        <v>76</v>
      </c>
      <c r="D39" s="302">
        <v>46</v>
      </c>
      <c r="E39" s="303" t="s">
        <v>92</v>
      </c>
      <c r="F39" s="292"/>
      <c r="G39" s="298"/>
      <c r="H39" s="298"/>
      <c r="I39" s="298"/>
      <c r="J39" s="298"/>
      <c r="K39" s="298"/>
      <c r="L39" s="298"/>
      <c r="M39" s="298"/>
      <c r="N39" s="298"/>
      <c r="O39" s="298"/>
      <c r="P39" s="298"/>
      <c r="Q39" s="299"/>
      <c r="R39" s="309" t="s">
        <v>89</v>
      </c>
    </row>
    <row r="40" spans="1:18" ht="21">
      <c r="A40" s="287">
        <v>7</v>
      </c>
      <c r="B40" s="304" t="s">
        <v>90</v>
      </c>
      <c r="C40" s="308" t="s">
        <v>76</v>
      </c>
      <c r="D40" s="302">
        <v>46</v>
      </c>
      <c r="E40" s="303" t="s">
        <v>93</v>
      </c>
      <c r="F40" s="292"/>
      <c r="G40" s="298"/>
      <c r="H40" s="298"/>
      <c r="I40" s="298"/>
      <c r="J40" s="298"/>
      <c r="K40" s="298"/>
      <c r="L40" s="298"/>
      <c r="M40" s="298"/>
      <c r="N40" s="298"/>
      <c r="O40" s="298"/>
      <c r="P40" s="298"/>
      <c r="Q40" s="299"/>
      <c r="R40" s="309" t="s">
        <v>89</v>
      </c>
    </row>
    <row r="41" spans="1:18" ht="21">
      <c r="A41" s="287">
        <v>8</v>
      </c>
      <c r="B41" s="304" t="s">
        <v>90</v>
      </c>
      <c r="C41" s="308" t="s">
        <v>76</v>
      </c>
      <c r="D41" s="302">
        <v>46</v>
      </c>
      <c r="E41" s="303" t="s">
        <v>94</v>
      </c>
      <c r="F41" s="297"/>
      <c r="G41" s="298"/>
      <c r="H41" s="298"/>
      <c r="I41" s="298"/>
      <c r="J41" s="298"/>
      <c r="K41" s="298"/>
      <c r="L41" s="298"/>
      <c r="M41" s="298"/>
      <c r="N41" s="298"/>
      <c r="O41" s="298"/>
      <c r="P41" s="298"/>
      <c r="Q41" s="299"/>
      <c r="R41" s="309" t="s">
        <v>89</v>
      </c>
    </row>
    <row r="42" spans="1:18" ht="21">
      <c r="A42" s="287">
        <v>9</v>
      </c>
      <c r="B42" s="304" t="s">
        <v>90</v>
      </c>
      <c r="C42" s="308" t="s">
        <v>76</v>
      </c>
      <c r="D42" s="302">
        <v>46</v>
      </c>
      <c r="E42" s="303" t="s">
        <v>95</v>
      </c>
      <c r="F42" s="292"/>
      <c r="G42" s="298"/>
      <c r="H42" s="298"/>
      <c r="I42" s="298"/>
      <c r="J42" s="298"/>
      <c r="K42" s="298"/>
      <c r="L42" s="298"/>
      <c r="M42" s="298"/>
      <c r="N42" s="298"/>
      <c r="O42" s="298"/>
      <c r="P42" s="298"/>
      <c r="Q42" s="299"/>
      <c r="R42" s="309" t="s">
        <v>89</v>
      </c>
    </row>
    <row r="43" spans="1:18" ht="21">
      <c r="A43" s="287">
        <v>10</v>
      </c>
      <c r="B43" s="304" t="s">
        <v>90</v>
      </c>
      <c r="C43" s="308" t="s">
        <v>76</v>
      </c>
      <c r="D43" s="302">
        <v>46</v>
      </c>
      <c r="E43" s="303" t="s">
        <v>96</v>
      </c>
      <c r="F43" s="292"/>
      <c r="G43" s="297"/>
      <c r="H43" s="297"/>
      <c r="I43" s="297"/>
      <c r="J43" s="297"/>
      <c r="K43" s="297"/>
      <c r="L43" s="297"/>
      <c r="M43" s="297"/>
      <c r="N43" s="297"/>
      <c r="O43" s="297"/>
      <c r="P43" s="297"/>
      <c r="Q43" s="305"/>
      <c r="R43" s="309" t="s">
        <v>89</v>
      </c>
    </row>
    <row r="44" spans="1:18" ht="21">
      <c r="A44" s="287">
        <v>11</v>
      </c>
      <c r="B44" s="304" t="s">
        <v>90</v>
      </c>
      <c r="C44" s="308" t="s">
        <v>76</v>
      </c>
      <c r="D44" s="302">
        <v>46</v>
      </c>
      <c r="E44" s="303" t="s">
        <v>97</v>
      </c>
      <c r="F44" s="292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4"/>
      <c r="R44" s="309" t="s">
        <v>89</v>
      </c>
    </row>
    <row r="45" spans="1:18" ht="21">
      <c r="A45" s="287">
        <v>12</v>
      </c>
      <c r="B45" s="304" t="s">
        <v>90</v>
      </c>
      <c r="C45" s="308" t="s">
        <v>76</v>
      </c>
      <c r="D45" s="302">
        <v>46</v>
      </c>
      <c r="E45" s="303" t="s">
        <v>98</v>
      </c>
      <c r="F45" s="297"/>
      <c r="G45" s="298"/>
      <c r="H45" s="298"/>
      <c r="I45" s="298"/>
      <c r="J45" s="298"/>
      <c r="K45" s="298"/>
      <c r="L45" s="298"/>
      <c r="M45" s="298"/>
      <c r="N45" s="298"/>
      <c r="O45" s="298"/>
      <c r="P45" s="298"/>
      <c r="Q45" s="299"/>
      <c r="R45" s="309" t="s">
        <v>622</v>
      </c>
    </row>
    <row r="46" spans="1:18" ht="21">
      <c r="A46" s="287">
        <v>13</v>
      </c>
      <c r="B46" s="304" t="s">
        <v>99</v>
      </c>
      <c r="C46" s="308" t="s">
        <v>76</v>
      </c>
      <c r="D46" s="302">
        <v>47</v>
      </c>
      <c r="E46" s="303" t="s">
        <v>100</v>
      </c>
      <c r="F46" s="292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4"/>
      <c r="R46" s="309" t="s">
        <v>65</v>
      </c>
    </row>
    <row r="47" spans="1:18" ht="21">
      <c r="A47" s="287">
        <v>14</v>
      </c>
      <c r="B47" s="304" t="s">
        <v>102</v>
      </c>
      <c r="C47" s="308" t="s">
        <v>76</v>
      </c>
      <c r="D47" s="302">
        <v>52</v>
      </c>
      <c r="E47" s="303" t="s">
        <v>103</v>
      </c>
      <c r="F47" s="292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4"/>
      <c r="R47" s="309" t="s">
        <v>626</v>
      </c>
    </row>
    <row r="48" spans="1:18" ht="21">
      <c r="A48" s="287">
        <v>15</v>
      </c>
      <c r="B48" s="304" t="s">
        <v>102</v>
      </c>
      <c r="C48" s="308" t="s">
        <v>76</v>
      </c>
      <c r="D48" s="302">
        <v>52</v>
      </c>
      <c r="E48" s="303" t="s">
        <v>105</v>
      </c>
      <c r="F48" s="297"/>
      <c r="G48" s="298"/>
      <c r="H48" s="298"/>
      <c r="I48" s="298"/>
      <c r="J48" s="298"/>
      <c r="K48" s="298"/>
      <c r="L48" s="298"/>
      <c r="M48" s="298"/>
      <c r="N48" s="298"/>
      <c r="O48" s="298"/>
      <c r="P48" s="298"/>
      <c r="Q48" s="299"/>
      <c r="R48" s="309" t="s">
        <v>89</v>
      </c>
    </row>
    <row r="49" spans="1:18" ht="21">
      <c r="A49" s="287">
        <v>16</v>
      </c>
      <c r="B49" s="304" t="s">
        <v>102</v>
      </c>
      <c r="C49" s="308" t="s">
        <v>76</v>
      </c>
      <c r="D49" s="302">
        <v>52</v>
      </c>
      <c r="E49" s="303" t="s">
        <v>106</v>
      </c>
      <c r="F49" s="292"/>
      <c r="G49" s="298"/>
      <c r="H49" s="298"/>
      <c r="I49" s="298"/>
      <c r="J49" s="298"/>
      <c r="K49" s="298"/>
      <c r="L49" s="298"/>
      <c r="M49" s="298"/>
      <c r="N49" s="298"/>
      <c r="O49" s="298"/>
      <c r="P49" s="298"/>
      <c r="Q49" s="299"/>
      <c r="R49" s="309"/>
    </row>
    <row r="50" spans="1:18" ht="21">
      <c r="A50" s="287">
        <v>17</v>
      </c>
      <c r="B50" s="304" t="s">
        <v>102</v>
      </c>
      <c r="C50" s="308" t="s">
        <v>76</v>
      </c>
      <c r="D50" s="302">
        <v>52</v>
      </c>
      <c r="E50" s="303" t="s">
        <v>107</v>
      </c>
      <c r="F50" s="292"/>
      <c r="G50" s="298"/>
      <c r="H50" s="298"/>
      <c r="I50" s="298"/>
      <c r="J50" s="298"/>
      <c r="K50" s="298"/>
      <c r="L50" s="298"/>
      <c r="M50" s="298"/>
      <c r="N50" s="298"/>
      <c r="O50" s="298"/>
      <c r="P50" s="298"/>
      <c r="Q50" s="299"/>
      <c r="R50" s="309"/>
    </row>
    <row r="51" spans="1:18" ht="21">
      <c r="A51" s="287">
        <v>18</v>
      </c>
      <c r="B51" s="304" t="s">
        <v>102</v>
      </c>
      <c r="C51" s="308" t="s">
        <v>76</v>
      </c>
      <c r="D51" s="302">
        <v>52</v>
      </c>
      <c r="E51" s="303" t="s">
        <v>108</v>
      </c>
      <c r="F51" s="297"/>
      <c r="G51" s="298"/>
      <c r="H51" s="298"/>
      <c r="I51" s="298"/>
      <c r="J51" s="298"/>
      <c r="K51" s="298"/>
      <c r="L51" s="298"/>
      <c r="M51" s="298"/>
      <c r="N51" s="298"/>
      <c r="O51" s="298"/>
      <c r="P51" s="298"/>
      <c r="Q51" s="299"/>
      <c r="R51" s="309"/>
    </row>
    <row r="52" spans="1:18" ht="21">
      <c r="A52" s="287">
        <v>19</v>
      </c>
      <c r="B52" s="304" t="s">
        <v>102</v>
      </c>
      <c r="C52" s="308" t="s">
        <v>76</v>
      </c>
      <c r="D52" s="302">
        <v>52</v>
      </c>
      <c r="E52" s="303" t="s">
        <v>109</v>
      </c>
      <c r="F52" s="292"/>
      <c r="G52" s="298"/>
      <c r="H52" s="298"/>
      <c r="I52" s="298"/>
      <c r="J52" s="298"/>
      <c r="K52" s="298"/>
      <c r="L52" s="298"/>
      <c r="M52" s="298"/>
      <c r="N52" s="298"/>
      <c r="O52" s="298"/>
      <c r="P52" s="298"/>
      <c r="Q52" s="299"/>
      <c r="R52" s="309" t="s">
        <v>110</v>
      </c>
    </row>
    <row r="53" spans="1:18" ht="21">
      <c r="A53" s="287">
        <v>20</v>
      </c>
      <c r="B53" s="304" t="s">
        <v>111</v>
      </c>
      <c r="C53" s="308" t="s">
        <v>76</v>
      </c>
      <c r="D53" s="302">
        <v>57</v>
      </c>
      <c r="E53" s="303" t="s">
        <v>112</v>
      </c>
      <c r="F53" s="292"/>
      <c r="G53" s="297"/>
      <c r="H53" s="297"/>
      <c r="I53" s="297"/>
      <c r="J53" s="297"/>
      <c r="K53" s="297"/>
      <c r="L53" s="297"/>
      <c r="M53" s="297"/>
      <c r="N53" s="297"/>
      <c r="O53" s="297"/>
      <c r="P53" s="297"/>
      <c r="Q53" s="305"/>
      <c r="R53" s="309"/>
    </row>
    <row r="54" spans="1:18" ht="21">
      <c r="A54" s="287">
        <v>21</v>
      </c>
      <c r="B54" s="304" t="s">
        <v>113</v>
      </c>
      <c r="C54" s="308" t="s">
        <v>76</v>
      </c>
      <c r="D54" s="302">
        <v>57</v>
      </c>
      <c r="E54" s="303" t="s">
        <v>114</v>
      </c>
      <c r="F54" s="292"/>
      <c r="G54" s="293"/>
      <c r="H54" s="293"/>
      <c r="I54" s="293"/>
      <c r="J54" s="293"/>
      <c r="K54" s="293"/>
      <c r="L54" s="293"/>
      <c r="M54" s="293"/>
      <c r="N54" s="293"/>
      <c r="O54" s="293"/>
      <c r="P54" s="293"/>
      <c r="Q54" s="294"/>
      <c r="R54" s="309"/>
    </row>
    <row r="55" spans="1:18" ht="21">
      <c r="A55" s="287">
        <v>22</v>
      </c>
      <c r="B55" s="304" t="s">
        <v>113</v>
      </c>
      <c r="C55" s="308" t="s">
        <v>76</v>
      </c>
      <c r="D55" s="302">
        <v>57</v>
      </c>
      <c r="E55" s="303" t="s">
        <v>115</v>
      </c>
      <c r="F55" s="297"/>
      <c r="G55" s="298"/>
      <c r="H55" s="298"/>
      <c r="I55" s="298"/>
      <c r="J55" s="298"/>
      <c r="K55" s="298"/>
      <c r="L55" s="298"/>
      <c r="M55" s="298"/>
      <c r="N55" s="298"/>
      <c r="O55" s="298"/>
      <c r="P55" s="298"/>
      <c r="Q55" s="299"/>
      <c r="R55" s="309"/>
    </row>
    <row r="56" spans="1:18" ht="21">
      <c r="A56" s="287">
        <v>23</v>
      </c>
      <c r="B56" s="304" t="s">
        <v>113</v>
      </c>
      <c r="C56" s="308" t="s">
        <v>76</v>
      </c>
      <c r="D56" s="302">
        <v>57</v>
      </c>
      <c r="E56" s="303" t="s">
        <v>116</v>
      </c>
      <c r="F56" s="292"/>
      <c r="G56" s="293"/>
      <c r="H56" s="293"/>
      <c r="I56" s="293"/>
      <c r="J56" s="293"/>
      <c r="K56" s="293"/>
      <c r="L56" s="293"/>
      <c r="M56" s="293"/>
      <c r="N56" s="293"/>
      <c r="O56" s="293"/>
      <c r="P56" s="293"/>
      <c r="Q56" s="294"/>
      <c r="R56" s="309"/>
    </row>
    <row r="57" spans="1:18" ht="21">
      <c r="A57" s="287">
        <v>24</v>
      </c>
      <c r="B57" s="304" t="s">
        <v>113</v>
      </c>
      <c r="C57" s="308" t="s">
        <v>76</v>
      </c>
      <c r="D57" s="302">
        <v>57</v>
      </c>
      <c r="E57" s="303" t="s">
        <v>117</v>
      </c>
      <c r="F57" s="292"/>
      <c r="G57" s="293"/>
      <c r="H57" s="293"/>
      <c r="I57" s="293"/>
      <c r="J57" s="293"/>
      <c r="K57" s="293"/>
      <c r="L57" s="293"/>
      <c r="M57" s="293"/>
      <c r="N57" s="293"/>
      <c r="O57" s="293"/>
      <c r="P57" s="293"/>
      <c r="Q57" s="294"/>
      <c r="R57" s="309" t="s">
        <v>118</v>
      </c>
    </row>
    <row r="58" spans="1:18" ht="21">
      <c r="A58" s="287">
        <v>25</v>
      </c>
      <c r="B58" s="304" t="s">
        <v>113</v>
      </c>
      <c r="C58" s="308" t="s">
        <v>76</v>
      </c>
      <c r="D58" s="302">
        <v>57</v>
      </c>
      <c r="E58" s="303" t="s">
        <v>119</v>
      </c>
      <c r="F58" s="297"/>
      <c r="G58" s="298"/>
      <c r="H58" s="298"/>
      <c r="I58" s="298"/>
      <c r="J58" s="298"/>
      <c r="K58" s="298"/>
      <c r="L58" s="298"/>
      <c r="M58" s="298"/>
      <c r="N58" s="298"/>
      <c r="O58" s="298"/>
      <c r="P58" s="298"/>
      <c r="Q58" s="299"/>
      <c r="R58" s="309"/>
    </row>
    <row r="59" spans="1:18" ht="21">
      <c r="A59" s="287">
        <v>26</v>
      </c>
      <c r="B59" s="304" t="s">
        <v>113</v>
      </c>
      <c r="C59" s="308" t="s">
        <v>76</v>
      </c>
      <c r="D59" s="302">
        <v>57</v>
      </c>
      <c r="E59" s="303" t="s">
        <v>120</v>
      </c>
      <c r="F59" s="292"/>
      <c r="G59" s="298"/>
      <c r="H59" s="298"/>
      <c r="I59" s="298"/>
      <c r="J59" s="298"/>
      <c r="K59" s="298"/>
      <c r="L59" s="298"/>
      <c r="M59" s="298"/>
      <c r="N59" s="298"/>
      <c r="O59" s="298"/>
      <c r="P59" s="298"/>
      <c r="Q59" s="299"/>
      <c r="R59" s="309"/>
    </row>
    <row r="60" spans="1:18" ht="21">
      <c r="A60" s="287">
        <v>27</v>
      </c>
      <c r="B60" s="304" t="s">
        <v>113</v>
      </c>
      <c r="C60" s="308" t="s">
        <v>76</v>
      </c>
      <c r="D60" s="302">
        <v>57</v>
      </c>
      <c r="E60" s="303" t="s">
        <v>121</v>
      </c>
      <c r="F60" s="292"/>
      <c r="G60" s="298"/>
      <c r="H60" s="298"/>
      <c r="I60" s="298"/>
      <c r="J60" s="298"/>
      <c r="K60" s="298"/>
      <c r="L60" s="298"/>
      <c r="M60" s="298"/>
      <c r="N60" s="298"/>
      <c r="O60" s="298"/>
      <c r="P60" s="298"/>
      <c r="Q60" s="299"/>
      <c r="R60" s="309"/>
    </row>
    <row r="61" spans="1:18" ht="21">
      <c r="A61" s="287"/>
      <c r="B61" s="306"/>
      <c r="C61" s="308"/>
      <c r="D61" s="302"/>
      <c r="E61" s="303"/>
      <c r="F61" s="508" t="s">
        <v>624</v>
      </c>
      <c r="G61" s="509"/>
      <c r="H61" s="509"/>
      <c r="I61" s="509"/>
      <c r="J61" s="509"/>
      <c r="K61" s="509"/>
      <c r="L61" s="509"/>
      <c r="M61" s="509"/>
      <c r="N61" s="509"/>
      <c r="O61" s="509"/>
      <c r="P61" s="509"/>
      <c r="Q61" s="510"/>
      <c r="R61" s="309"/>
    </row>
    <row r="62" spans="1:18" ht="21">
      <c r="A62" s="311" t="s">
        <v>134</v>
      </c>
      <c r="B62" s="307" t="s">
        <v>135</v>
      </c>
      <c r="C62" s="308"/>
      <c r="D62" s="302"/>
      <c r="E62" s="303"/>
      <c r="F62" s="292"/>
      <c r="G62" s="298"/>
      <c r="H62" s="298"/>
      <c r="I62" s="298"/>
      <c r="J62" s="298"/>
      <c r="K62" s="298"/>
      <c r="L62" s="298"/>
      <c r="M62" s="298"/>
      <c r="N62" s="298"/>
      <c r="O62" s="298"/>
      <c r="P62" s="298"/>
      <c r="Q62" s="299"/>
      <c r="R62" s="309"/>
    </row>
    <row r="63" spans="1:18" ht="21">
      <c r="A63" s="287">
        <v>1</v>
      </c>
      <c r="B63" s="304" t="s">
        <v>136</v>
      </c>
      <c r="C63" s="308" t="s">
        <v>134</v>
      </c>
      <c r="D63" s="302">
        <v>19</v>
      </c>
      <c r="E63" s="303" t="s">
        <v>137</v>
      </c>
      <c r="F63" s="292"/>
      <c r="G63" s="297"/>
      <c r="H63" s="297"/>
      <c r="I63" s="297"/>
      <c r="J63" s="297"/>
      <c r="K63" s="297"/>
      <c r="L63" s="297"/>
      <c r="M63" s="297"/>
      <c r="N63" s="297"/>
      <c r="O63" s="297"/>
      <c r="P63" s="297"/>
      <c r="Q63" s="305"/>
      <c r="R63" s="312" t="s">
        <v>627</v>
      </c>
    </row>
    <row r="64" spans="1:18" ht="21">
      <c r="A64" s="287">
        <v>2</v>
      </c>
      <c r="B64" s="304" t="s">
        <v>136</v>
      </c>
      <c r="C64" s="308" t="s">
        <v>134</v>
      </c>
      <c r="D64" s="302">
        <v>22</v>
      </c>
      <c r="E64" s="303" t="s">
        <v>140</v>
      </c>
      <c r="F64" s="292"/>
      <c r="G64" s="293"/>
      <c r="H64" s="293"/>
      <c r="I64" s="293"/>
      <c r="J64" s="293"/>
      <c r="K64" s="293"/>
      <c r="L64" s="293"/>
      <c r="M64" s="293"/>
      <c r="N64" s="293"/>
      <c r="O64" s="293"/>
      <c r="P64" s="293"/>
      <c r="Q64" s="294"/>
      <c r="R64" s="312" t="s">
        <v>627</v>
      </c>
    </row>
    <row r="65" spans="1:18" ht="21">
      <c r="A65" s="287">
        <v>3</v>
      </c>
      <c r="B65" s="304" t="s">
        <v>142</v>
      </c>
      <c r="C65" s="308" t="s">
        <v>134</v>
      </c>
      <c r="D65" s="302">
        <v>24</v>
      </c>
      <c r="E65" s="303" t="s">
        <v>143</v>
      </c>
      <c r="F65" s="292"/>
      <c r="G65" s="293"/>
      <c r="H65" s="293"/>
      <c r="I65" s="293"/>
      <c r="J65" s="293"/>
      <c r="K65" s="293"/>
      <c r="L65" s="293"/>
      <c r="M65" s="293"/>
      <c r="N65" s="293"/>
      <c r="O65" s="293"/>
      <c r="P65" s="293"/>
      <c r="Q65" s="294"/>
      <c r="R65" s="309" t="s">
        <v>145</v>
      </c>
    </row>
    <row r="66" spans="1:18" ht="42">
      <c r="A66" s="287">
        <v>4</v>
      </c>
      <c r="B66" s="304" t="s">
        <v>146</v>
      </c>
      <c r="C66" s="308" t="s">
        <v>134</v>
      </c>
      <c r="D66" s="302">
        <v>35</v>
      </c>
      <c r="E66" s="303" t="s">
        <v>147</v>
      </c>
      <c r="F66" s="297"/>
      <c r="G66" s="298"/>
      <c r="H66" s="298"/>
      <c r="I66" s="298"/>
      <c r="J66" s="298"/>
      <c r="K66" s="298"/>
      <c r="L66" s="298"/>
      <c r="M66" s="298"/>
      <c r="N66" s="298"/>
      <c r="O66" s="298"/>
      <c r="P66" s="298"/>
      <c r="Q66" s="299"/>
      <c r="R66" s="309" t="s">
        <v>149</v>
      </c>
    </row>
    <row r="67" spans="1:18" ht="42">
      <c r="A67" s="287">
        <v>5</v>
      </c>
      <c r="B67" s="304" t="s">
        <v>146</v>
      </c>
      <c r="C67" s="308" t="s">
        <v>134</v>
      </c>
      <c r="D67" s="302">
        <v>35</v>
      </c>
      <c r="E67" s="303" t="s">
        <v>150</v>
      </c>
      <c r="F67" s="292"/>
      <c r="G67" s="298"/>
      <c r="H67" s="298"/>
      <c r="I67" s="298"/>
      <c r="J67" s="298"/>
      <c r="K67" s="298"/>
      <c r="L67" s="298"/>
      <c r="M67" s="298"/>
      <c r="N67" s="298"/>
      <c r="O67" s="298"/>
      <c r="P67" s="298"/>
      <c r="Q67" s="299"/>
      <c r="R67" s="309"/>
    </row>
    <row r="68" spans="1:18" ht="42">
      <c r="A68" s="287">
        <v>6</v>
      </c>
      <c r="B68" s="304" t="s">
        <v>146</v>
      </c>
      <c r="C68" s="308" t="s">
        <v>134</v>
      </c>
      <c r="D68" s="302">
        <v>35</v>
      </c>
      <c r="E68" s="303" t="s">
        <v>151</v>
      </c>
      <c r="F68" s="292"/>
      <c r="G68" s="298"/>
      <c r="H68" s="298"/>
      <c r="I68" s="298"/>
      <c r="J68" s="298"/>
      <c r="K68" s="298"/>
      <c r="L68" s="298"/>
      <c r="M68" s="298"/>
      <c r="N68" s="298"/>
      <c r="O68" s="298"/>
      <c r="P68" s="298"/>
      <c r="Q68" s="299"/>
      <c r="R68" s="309"/>
    </row>
    <row r="69" spans="1:18" ht="21">
      <c r="A69" s="287">
        <v>7</v>
      </c>
      <c r="B69" s="304" t="s">
        <v>152</v>
      </c>
      <c r="C69" s="308" t="s">
        <v>134</v>
      </c>
      <c r="D69" s="302">
        <v>36</v>
      </c>
      <c r="E69" s="303" t="s">
        <v>153</v>
      </c>
      <c r="F69" s="297"/>
      <c r="G69" s="298"/>
      <c r="H69" s="298"/>
      <c r="I69" s="298"/>
      <c r="J69" s="298"/>
      <c r="K69" s="298"/>
      <c r="L69" s="298"/>
      <c r="M69" s="298"/>
      <c r="N69" s="298"/>
      <c r="O69" s="298"/>
      <c r="P69" s="298"/>
      <c r="Q69" s="299"/>
      <c r="R69" s="309" t="s">
        <v>155</v>
      </c>
    </row>
    <row r="70" spans="1:18" ht="21">
      <c r="A70" s="287">
        <v>8</v>
      </c>
      <c r="B70" s="304" t="s">
        <v>156</v>
      </c>
      <c r="C70" s="308" t="s">
        <v>134</v>
      </c>
      <c r="D70" s="302">
        <v>36</v>
      </c>
      <c r="E70" s="303" t="s">
        <v>157</v>
      </c>
      <c r="F70" s="292"/>
      <c r="G70" s="298"/>
      <c r="H70" s="298"/>
      <c r="I70" s="298"/>
      <c r="J70" s="298"/>
      <c r="K70" s="298"/>
      <c r="L70" s="298"/>
      <c r="M70" s="298"/>
      <c r="N70" s="298"/>
      <c r="O70" s="298"/>
      <c r="P70" s="298"/>
      <c r="Q70" s="299"/>
      <c r="R70" s="309" t="s">
        <v>43</v>
      </c>
    </row>
    <row r="71" spans="1:18" ht="21">
      <c r="A71" s="287">
        <v>9</v>
      </c>
      <c r="B71" s="304" t="s">
        <v>156</v>
      </c>
      <c r="C71" s="308" t="s">
        <v>134</v>
      </c>
      <c r="D71" s="302">
        <v>36</v>
      </c>
      <c r="E71" s="303" t="s">
        <v>158</v>
      </c>
      <c r="F71" s="292"/>
      <c r="G71" s="297"/>
      <c r="H71" s="297"/>
      <c r="I71" s="297"/>
      <c r="J71" s="297"/>
      <c r="K71" s="297"/>
      <c r="L71" s="297"/>
      <c r="M71" s="297"/>
      <c r="N71" s="297"/>
      <c r="O71" s="297"/>
      <c r="P71" s="297"/>
      <c r="Q71" s="305"/>
      <c r="R71" s="309" t="s">
        <v>65</v>
      </c>
    </row>
    <row r="72" spans="1:18" ht="21">
      <c r="A72" s="287">
        <v>10</v>
      </c>
      <c r="B72" s="304" t="s">
        <v>152</v>
      </c>
      <c r="C72" s="308" t="s">
        <v>134</v>
      </c>
      <c r="D72" s="302">
        <v>36</v>
      </c>
      <c r="E72" s="303" t="s">
        <v>159</v>
      </c>
      <c r="F72" s="292"/>
      <c r="G72" s="293"/>
      <c r="H72" s="293"/>
      <c r="I72" s="293"/>
      <c r="J72" s="293"/>
      <c r="K72" s="293"/>
      <c r="L72" s="293"/>
      <c r="M72" s="293"/>
      <c r="N72" s="293"/>
      <c r="O72" s="293"/>
      <c r="P72" s="293"/>
      <c r="Q72" s="294"/>
      <c r="R72" s="309" t="s">
        <v>65</v>
      </c>
    </row>
    <row r="73" spans="1:18" ht="42">
      <c r="A73" s="287">
        <v>11</v>
      </c>
      <c r="B73" s="304" t="s">
        <v>160</v>
      </c>
      <c r="C73" s="308" t="s">
        <v>134</v>
      </c>
      <c r="D73" s="302">
        <v>39</v>
      </c>
      <c r="E73" s="303" t="s">
        <v>161</v>
      </c>
      <c r="F73" s="297"/>
      <c r="G73" s="298"/>
      <c r="H73" s="298"/>
      <c r="I73" s="298"/>
      <c r="J73" s="298"/>
      <c r="K73" s="298"/>
      <c r="L73" s="298"/>
      <c r="M73" s="298"/>
      <c r="N73" s="298"/>
      <c r="O73" s="298"/>
      <c r="P73" s="298"/>
      <c r="Q73" s="299"/>
      <c r="R73" s="309" t="s">
        <v>65</v>
      </c>
    </row>
    <row r="74" spans="1:18" ht="42">
      <c r="A74" s="287">
        <v>12</v>
      </c>
      <c r="B74" s="304" t="s">
        <v>160</v>
      </c>
      <c r="C74" s="308" t="s">
        <v>134</v>
      </c>
      <c r="D74" s="302">
        <v>39</v>
      </c>
      <c r="E74" s="303" t="s">
        <v>163</v>
      </c>
      <c r="F74" s="292"/>
      <c r="G74" s="293"/>
      <c r="H74" s="293"/>
      <c r="I74" s="293"/>
      <c r="J74" s="293"/>
      <c r="K74" s="293"/>
      <c r="L74" s="293"/>
      <c r="M74" s="293"/>
      <c r="N74" s="293"/>
      <c r="O74" s="293"/>
      <c r="P74" s="293"/>
      <c r="Q74" s="294"/>
      <c r="R74" s="309" t="s">
        <v>65</v>
      </c>
    </row>
    <row r="75" spans="1:18" ht="21">
      <c r="A75" s="287">
        <v>13</v>
      </c>
      <c r="B75" s="304" t="s">
        <v>164</v>
      </c>
      <c r="C75" s="308" t="s">
        <v>134</v>
      </c>
      <c r="D75" s="302">
        <v>39</v>
      </c>
      <c r="E75" s="303" t="s">
        <v>165</v>
      </c>
      <c r="F75" s="292"/>
      <c r="G75" s="293"/>
      <c r="H75" s="293"/>
      <c r="I75" s="293"/>
      <c r="J75" s="293"/>
      <c r="K75" s="293"/>
      <c r="L75" s="293"/>
      <c r="M75" s="293"/>
      <c r="N75" s="293"/>
      <c r="O75" s="293"/>
      <c r="P75" s="293"/>
      <c r="Q75" s="294"/>
      <c r="R75" s="309"/>
    </row>
    <row r="76" spans="1:18" ht="21">
      <c r="A76" s="287">
        <v>14</v>
      </c>
      <c r="B76" s="304" t="s">
        <v>164</v>
      </c>
      <c r="C76" s="308" t="s">
        <v>134</v>
      </c>
      <c r="D76" s="302">
        <v>39</v>
      </c>
      <c r="E76" s="303" t="s">
        <v>167</v>
      </c>
      <c r="F76" s="297"/>
      <c r="G76" s="298"/>
      <c r="H76" s="298"/>
      <c r="I76" s="298"/>
      <c r="J76" s="298"/>
      <c r="K76" s="298"/>
      <c r="L76" s="298"/>
      <c r="M76" s="298"/>
      <c r="N76" s="298"/>
      <c r="O76" s="298"/>
      <c r="P76" s="298"/>
      <c r="Q76" s="299"/>
      <c r="R76" s="309" t="s">
        <v>626</v>
      </c>
    </row>
    <row r="77" spans="1:18" ht="21">
      <c r="A77" s="287">
        <v>15</v>
      </c>
      <c r="B77" s="304" t="s">
        <v>164</v>
      </c>
      <c r="C77" s="308" t="s">
        <v>134</v>
      </c>
      <c r="D77" s="302">
        <v>39</v>
      </c>
      <c r="E77" s="303" t="s">
        <v>168</v>
      </c>
      <c r="F77" s="292"/>
      <c r="G77" s="298"/>
      <c r="H77" s="298"/>
      <c r="I77" s="298"/>
      <c r="J77" s="298"/>
      <c r="K77" s="298"/>
      <c r="L77" s="298"/>
      <c r="M77" s="298"/>
      <c r="N77" s="298"/>
      <c r="O77" s="298"/>
      <c r="P77" s="298"/>
      <c r="Q77" s="299"/>
      <c r="R77" s="309" t="s">
        <v>628</v>
      </c>
    </row>
    <row r="78" spans="1:18" ht="21">
      <c r="A78" s="287">
        <v>16</v>
      </c>
      <c r="B78" s="304" t="s">
        <v>164</v>
      </c>
      <c r="C78" s="308" t="s">
        <v>134</v>
      </c>
      <c r="D78" s="302">
        <v>39</v>
      </c>
      <c r="E78" s="303" t="s">
        <v>169</v>
      </c>
      <c r="F78" s="292"/>
      <c r="G78" s="298"/>
      <c r="H78" s="298"/>
      <c r="I78" s="298"/>
      <c r="J78" s="298"/>
      <c r="K78" s="298"/>
      <c r="L78" s="298"/>
      <c r="M78" s="298"/>
      <c r="N78" s="298"/>
      <c r="O78" s="298"/>
      <c r="P78" s="298"/>
      <c r="Q78" s="299"/>
      <c r="R78" s="309" t="s">
        <v>36</v>
      </c>
    </row>
    <row r="79" spans="1:18" ht="21">
      <c r="A79" s="287">
        <v>17</v>
      </c>
      <c r="B79" s="304" t="s">
        <v>164</v>
      </c>
      <c r="C79" s="308" t="s">
        <v>134</v>
      </c>
      <c r="D79" s="302">
        <v>39</v>
      </c>
      <c r="E79" s="303" t="s">
        <v>170</v>
      </c>
      <c r="F79" s="297"/>
      <c r="G79" s="298"/>
      <c r="H79" s="298"/>
      <c r="I79" s="298"/>
      <c r="J79" s="298"/>
      <c r="K79" s="298"/>
      <c r="L79" s="298"/>
      <c r="M79" s="298"/>
      <c r="N79" s="298"/>
      <c r="O79" s="298"/>
      <c r="P79" s="298"/>
      <c r="Q79" s="299"/>
      <c r="R79" s="309"/>
    </row>
    <row r="80" spans="1:18" ht="21">
      <c r="A80" s="287">
        <v>18</v>
      </c>
      <c r="B80" s="304" t="s">
        <v>171</v>
      </c>
      <c r="C80" s="308" t="s">
        <v>134</v>
      </c>
      <c r="D80" s="302">
        <v>39</v>
      </c>
      <c r="E80" s="303" t="s">
        <v>172</v>
      </c>
      <c r="F80" s="292"/>
      <c r="G80" s="298"/>
      <c r="H80" s="298"/>
      <c r="I80" s="298"/>
      <c r="J80" s="298"/>
      <c r="K80" s="298"/>
      <c r="L80" s="298"/>
      <c r="M80" s="298"/>
      <c r="N80" s="298"/>
      <c r="O80" s="298"/>
      <c r="P80" s="298"/>
      <c r="Q80" s="299"/>
      <c r="R80" s="309" t="s">
        <v>43</v>
      </c>
    </row>
    <row r="81" spans="1:18" ht="21">
      <c r="A81" s="287">
        <v>19</v>
      </c>
      <c r="B81" s="304" t="s">
        <v>171</v>
      </c>
      <c r="C81" s="308" t="s">
        <v>134</v>
      </c>
      <c r="D81" s="302">
        <v>39</v>
      </c>
      <c r="E81" s="303" t="s">
        <v>174</v>
      </c>
      <c r="F81" s="292"/>
      <c r="G81" s="297"/>
      <c r="H81" s="297"/>
      <c r="I81" s="297"/>
      <c r="J81" s="297"/>
      <c r="K81" s="297"/>
      <c r="L81" s="297"/>
      <c r="M81" s="297"/>
      <c r="N81" s="297"/>
      <c r="O81" s="297"/>
      <c r="P81" s="297"/>
      <c r="Q81" s="305"/>
      <c r="R81" s="309" t="s">
        <v>145</v>
      </c>
    </row>
    <row r="82" spans="1:18" ht="21">
      <c r="A82" s="287">
        <v>20</v>
      </c>
      <c r="B82" s="304" t="s">
        <v>171</v>
      </c>
      <c r="C82" s="308" t="s">
        <v>134</v>
      </c>
      <c r="D82" s="302">
        <v>39</v>
      </c>
      <c r="E82" s="303" t="s">
        <v>175</v>
      </c>
      <c r="F82" s="292"/>
      <c r="G82" s="293"/>
      <c r="H82" s="293"/>
      <c r="I82" s="293"/>
      <c r="J82" s="293"/>
      <c r="K82" s="293"/>
      <c r="L82" s="293"/>
      <c r="M82" s="293"/>
      <c r="N82" s="293"/>
      <c r="O82" s="293"/>
      <c r="P82" s="293"/>
      <c r="Q82" s="294"/>
      <c r="R82" s="309"/>
    </row>
    <row r="83" spans="1:18" ht="21">
      <c r="A83" s="287">
        <v>21</v>
      </c>
      <c r="B83" s="304" t="s">
        <v>171</v>
      </c>
      <c r="C83" s="308" t="s">
        <v>134</v>
      </c>
      <c r="D83" s="302">
        <v>39</v>
      </c>
      <c r="E83" s="303" t="s">
        <v>176</v>
      </c>
      <c r="F83" s="297"/>
      <c r="G83" s="298"/>
      <c r="H83" s="298"/>
      <c r="I83" s="298"/>
      <c r="J83" s="298"/>
      <c r="K83" s="298"/>
      <c r="L83" s="298"/>
      <c r="M83" s="298"/>
      <c r="N83" s="298"/>
      <c r="O83" s="298"/>
      <c r="P83" s="298"/>
      <c r="Q83" s="299"/>
      <c r="R83" s="309" t="s">
        <v>22</v>
      </c>
    </row>
    <row r="84" spans="1:18" ht="21">
      <c r="A84" s="287">
        <v>22</v>
      </c>
      <c r="B84" s="304" t="s">
        <v>171</v>
      </c>
      <c r="C84" s="308" t="s">
        <v>134</v>
      </c>
      <c r="D84" s="302">
        <v>39</v>
      </c>
      <c r="E84" s="303" t="s">
        <v>177</v>
      </c>
      <c r="F84" s="292"/>
      <c r="G84" s="293"/>
      <c r="H84" s="293"/>
      <c r="I84" s="293"/>
      <c r="J84" s="293"/>
      <c r="K84" s="293"/>
      <c r="L84" s="293"/>
      <c r="M84" s="293"/>
      <c r="N84" s="293"/>
      <c r="O84" s="293"/>
      <c r="P84" s="293"/>
      <c r="Q84" s="294"/>
      <c r="R84" s="309"/>
    </row>
    <row r="85" spans="1:18" ht="21">
      <c r="A85" s="287">
        <v>23</v>
      </c>
      <c r="B85" s="304" t="s">
        <v>171</v>
      </c>
      <c r="C85" s="308" t="s">
        <v>134</v>
      </c>
      <c r="D85" s="302">
        <v>39</v>
      </c>
      <c r="E85" s="303" t="s">
        <v>178</v>
      </c>
      <c r="F85" s="292"/>
      <c r="G85" s="293"/>
      <c r="H85" s="293"/>
      <c r="I85" s="293"/>
      <c r="J85" s="293"/>
      <c r="K85" s="293"/>
      <c r="L85" s="293"/>
      <c r="M85" s="293"/>
      <c r="N85" s="293"/>
      <c r="O85" s="293"/>
      <c r="P85" s="293"/>
      <c r="Q85" s="294"/>
      <c r="R85" s="309"/>
    </row>
    <row r="86" spans="1:18" ht="21">
      <c r="A86" s="287">
        <v>24</v>
      </c>
      <c r="B86" s="304" t="s">
        <v>171</v>
      </c>
      <c r="C86" s="308" t="s">
        <v>134</v>
      </c>
      <c r="D86" s="302">
        <v>39</v>
      </c>
      <c r="E86" s="303" t="s">
        <v>179</v>
      </c>
      <c r="F86" s="297"/>
      <c r="G86" s="298"/>
      <c r="H86" s="298"/>
      <c r="I86" s="298"/>
      <c r="J86" s="298"/>
      <c r="K86" s="298"/>
      <c r="L86" s="298"/>
      <c r="M86" s="298"/>
      <c r="N86" s="298"/>
      <c r="O86" s="298"/>
      <c r="P86" s="298"/>
      <c r="Q86" s="299"/>
      <c r="R86" s="309"/>
    </row>
    <row r="87" spans="1:18" ht="21">
      <c r="A87" s="287">
        <v>25</v>
      </c>
      <c r="B87" s="304" t="s">
        <v>171</v>
      </c>
      <c r="C87" s="308" t="s">
        <v>134</v>
      </c>
      <c r="D87" s="302">
        <v>39</v>
      </c>
      <c r="E87" s="303" t="s">
        <v>180</v>
      </c>
      <c r="F87" s="292"/>
      <c r="G87" s="298"/>
      <c r="H87" s="298"/>
      <c r="I87" s="298"/>
      <c r="J87" s="298"/>
      <c r="K87" s="298"/>
      <c r="L87" s="298"/>
      <c r="M87" s="298"/>
      <c r="N87" s="298"/>
      <c r="O87" s="298"/>
      <c r="P87" s="298"/>
      <c r="Q87" s="299"/>
      <c r="R87" s="309"/>
    </row>
    <row r="88" spans="1:18" ht="21">
      <c r="A88" s="287">
        <v>26</v>
      </c>
      <c r="B88" s="304" t="s">
        <v>181</v>
      </c>
      <c r="C88" s="308" t="s">
        <v>134</v>
      </c>
      <c r="D88" s="302">
        <v>40</v>
      </c>
      <c r="E88" s="303" t="s">
        <v>182</v>
      </c>
      <c r="F88" s="292"/>
      <c r="G88" s="298"/>
      <c r="H88" s="298"/>
      <c r="I88" s="298"/>
      <c r="J88" s="298"/>
      <c r="K88" s="298"/>
      <c r="L88" s="298"/>
      <c r="M88" s="298"/>
      <c r="N88" s="298"/>
      <c r="O88" s="298"/>
      <c r="P88" s="298"/>
      <c r="Q88" s="299"/>
      <c r="R88" s="309" t="s">
        <v>65</v>
      </c>
    </row>
    <row r="89" spans="1:18" ht="21">
      <c r="A89" s="287">
        <v>27</v>
      </c>
      <c r="B89" s="304" t="s">
        <v>183</v>
      </c>
      <c r="C89" s="308" t="s">
        <v>134</v>
      </c>
      <c r="D89" s="302">
        <v>40</v>
      </c>
      <c r="E89" s="303" t="s">
        <v>184</v>
      </c>
      <c r="F89" s="297"/>
      <c r="G89" s="298"/>
      <c r="H89" s="298"/>
      <c r="I89" s="298"/>
      <c r="J89" s="298"/>
      <c r="K89" s="298"/>
      <c r="L89" s="298"/>
      <c r="M89" s="298"/>
      <c r="N89" s="298"/>
      <c r="O89" s="298"/>
      <c r="P89" s="298"/>
      <c r="Q89" s="299"/>
      <c r="R89" s="309"/>
    </row>
    <row r="90" spans="1:18" ht="42">
      <c r="A90" s="287">
        <v>28</v>
      </c>
      <c r="B90" s="304" t="s">
        <v>185</v>
      </c>
      <c r="C90" s="308" t="s">
        <v>134</v>
      </c>
      <c r="D90" s="302">
        <v>40</v>
      </c>
      <c r="E90" s="303" t="s">
        <v>186</v>
      </c>
      <c r="F90" s="292"/>
      <c r="G90" s="298"/>
      <c r="H90" s="298"/>
      <c r="I90" s="298"/>
      <c r="J90" s="298"/>
      <c r="K90" s="298"/>
      <c r="L90" s="298"/>
      <c r="M90" s="298"/>
      <c r="N90" s="298"/>
      <c r="O90" s="298"/>
      <c r="P90" s="298"/>
      <c r="Q90" s="299"/>
      <c r="R90" s="309" t="s">
        <v>43</v>
      </c>
    </row>
    <row r="91" spans="1:18" ht="21">
      <c r="A91" s="287">
        <v>29</v>
      </c>
      <c r="B91" s="304" t="s">
        <v>183</v>
      </c>
      <c r="C91" s="308" t="s">
        <v>134</v>
      </c>
      <c r="D91" s="302">
        <v>40</v>
      </c>
      <c r="E91" s="303" t="s">
        <v>187</v>
      </c>
      <c r="F91" s="292"/>
      <c r="G91" s="297"/>
      <c r="H91" s="297"/>
      <c r="I91" s="297"/>
      <c r="J91" s="297"/>
      <c r="K91" s="297"/>
      <c r="L91" s="297"/>
      <c r="M91" s="297"/>
      <c r="N91" s="297"/>
      <c r="O91" s="297"/>
      <c r="P91" s="297"/>
      <c r="Q91" s="305"/>
      <c r="R91" s="309" t="s">
        <v>145</v>
      </c>
    </row>
    <row r="92" spans="1:18" ht="42">
      <c r="A92" s="287">
        <v>30</v>
      </c>
      <c r="B92" s="304" t="s">
        <v>185</v>
      </c>
      <c r="C92" s="308" t="s">
        <v>134</v>
      </c>
      <c r="D92" s="302">
        <v>40</v>
      </c>
      <c r="E92" s="303" t="s">
        <v>188</v>
      </c>
      <c r="F92" s="292"/>
      <c r="G92" s="293"/>
      <c r="H92" s="293"/>
      <c r="I92" s="293"/>
      <c r="J92" s="293"/>
      <c r="K92" s="293"/>
      <c r="L92" s="293"/>
      <c r="M92" s="293"/>
      <c r="N92" s="293"/>
      <c r="O92" s="293"/>
      <c r="P92" s="293"/>
      <c r="Q92" s="294"/>
      <c r="R92" s="309" t="s">
        <v>81</v>
      </c>
    </row>
    <row r="93" spans="1:18" ht="42">
      <c r="A93" s="287">
        <v>31</v>
      </c>
      <c r="B93" s="304" t="s">
        <v>189</v>
      </c>
      <c r="C93" s="308" t="s">
        <v>134</v>
      </c>
      <c r="D93" s="302">
        <v>43</v>
      </c>
      <c r="E93" s="303" t="s">
        <v>190</v>
      </c>
      <c r="F93" s="297"/>
      <c r="G93" s="298"/>
      <c r="H93" s="298"/>
      <c r="I93" s="298"/>
      <c r="J93" s="298"/>
      <c r="K93" s="298"/>
      <c r="L93" s="298"/>
      <c r="M93" s="298"/>
      <c r="N93" s="298"/>
      <c r="O93" s="298"/>
      <c r="P93" s="298"/>
      <c r="Q93" s="299"/>
      <c r="R93" s="309"/>
    </row>
    <row r="94" spans="1:18" ht="42">
      <c r="A94" s="287">
        <v>32</v>
      </c>
      <c r="B94" s="304" t="s">
        <v>189</v>
      </c>
      <c r="C94" s="308" t="s">
        <v>134</v>
      </c>
      <c r="D94" s="302">
        <v>43</v>
      </c>
      <c r="E94" s="303" t="s">
        <v>192</v>
      </c>
      <c r="F94" s="292"/>
      <c r="G94" s="293"/>
      <c r="H94" s="293"/>
      <c r="I94" s="293"/>
      <c r="J94" s="293"/>
      <c r="K94" s="293"/>
      <c r="L94" s="293"/>
      <c r="M94" s="293"/>
      <c r="N94" s="293"/>
      <c r="O94" s="293"/>
      <c r="P94" s="293"/>
      <c r="Q94" s="294"/>
      <c r="R94" s="309"/>
    </row>
    <row r="95" spans="1:18" ht="21">
      <c r="A95" s="287">
        <v>33</v>
      </c>
      <c r="B95" s="304" t="s">
        <v>193</v>
      </c>
      <c r="C95" s="308" t="s">
        <v>134</v>
      </c>
      <c r="D95" s="302">
        <v>43</v>
      </c>
      <c r="E95" s="303" t="s">
        <v>194</v>
      </c>
      <c r="F95" s="292"/>
      <c r="G95" s="293"/>
      <c r="H95" s="293"/>
      <c r="I95" s="293"/>
      <c r="J95" s="293"/>
      <c r="K95" s="293"/>
      <c r="L95" s="293"/>
      <c r="M95" s="293"/>
      <c r="N95" s="293"/>
      <c r="O95" s="293"/>
      <c r="P95" s="293"/>
      <c r="Q95" s="294"/>
      <c r="R95" s="309" t="s">
        <v>36</v>
      </c>
    </row>
    <row r="96" spans="1:18" ht="42">
      <c r="A96" s="287">
        <v>34</v>
      </c>
      <c r="B96" s="304" t="s">
        <v>195</v>
      </c>
      <c r="C96" s="308" t="s">
        <v>134</v>
      </c>
      <c r="D96" s="302">
        <v>43</v>
      </c>
      <c r="E96" s="303" t="s">
        <v>196</v>
      </c>
      <c r="F96" s="297"/>
      <c r="G96" s="298"/>
      <c r="H96" s="298"/>
      <c r="I96" s="298"/>
      <c r="J96" s="298"/>
      <c r="K96" s="298"/>
      <c r="L96" s="298"/>
      <c r="M96" s="298"/>
      <c r="N96" s="298"/>
      <c r="O96" s="298"/>
      <c r="P96" s="298"/>
      <c r="Q96" s="299"/>
      <c r="R96" s="309"/>
    </row>
    <row r="97" spans="1:18" ht="21">
      <c r="A97" s="287">
        <v>35</v>
      </c>
      <c r="B97" s="304" t="s">
        <v>197</v>
      </c>
      <c r="C97" s="308" t="s">
        <v>134</v>
      </c>
      <c r="D97" s="302">
        <v>44</v>
      </c>
      <c r="E97" s="303" t="s">
        <v>198</v>
      </c>
      <c r="F97" s="292"/>
      <c r="G97" s="298"/>
      <c r="H97" s="298"/>
      <c r="I97" s="298"/>
      <c r="J97" s="298"/>
      <c r="K97" s="298"/>
      <c r="L97" s="298"/>
      <c r="M97" s="298"/>
      <c r="N97" s="298"/>
      <c r="O97" s="298"/>
      <c r="P97" s="298"/>
      <c r="Q97" s="299"/>
      <c r="R97" s="309" t="s">
        <v>155</v>
      </c>
    </row>
    <row r="98" spans="1:18" ht="21">
      <c r="A98" s="287">
        <v>36</v>
      </c>
      <c r="B98" s="304" t="s">
        <v>199</v>
      </c>
      <c r="C98" s="308" t="s">
        <v>134</v>
      </c>
      <c r="D98" s="302">
        <v>44</v>
      </c>
      <c r="E98" s="303" t="s">
        <v>200</v>
      </c>
      <c r="F98" s="292"/>
      <c r="G98" s="298"/>
      <c r="H98" s="298"/>
      <c r="I98" s="298"/>
      <c r="J98" s="298"/>
      <c r="K98" s="298"/>
      <c r="L98" s="298"/>
      <c r="M98" s="298"/>
      <c r="N98" s="298"/>
      <c r="O98" s="298"/>
      <c r="P98" s="298"/>
      <c r="Q98" s="299"/>
      <c r="R98" s="309" t="s">
        <v>155</v>
      </c>
    </row>
    <row r="99" spans="1:18" ht="21">
      <c r="A99" s="287">
        <v>37</v>
      </c>
      <c r="B99" s="304" t="s">
        <v>201</v>
      </c>
      <c r="C99" s="308" t="s">
        <v>134</v>
      </c>
      <c r="D99" s="302">
        <v>46</v>
      </c>
      <c r="E99" s="303" t="s">
        <v>202</v>
      </c>
      <c r="F99" s="297"/>
      <c r="G99" s="298"/>
      <c r="H99" s="298"/>
      <c r="I99" s="298"/>
      <c r="J99" s="298"/>
      <c r="K99" s="298"/>
      <c r="L99" s="298"/>
      <c r="M99" s="298"/>
      <c r="N99" s="298"/>
      <c r="O99" s="298"/>
      <c r="P99" s="298"/>
      <c r="Q99" s="299"/>
      <c r="R99" s="309" t="s">
        <v>629</v>
      </c>
    </row>
    <row r="100" spans="1:18" ht="21">
      <c r="A100" s="287">
        <v>38</v>
      </c>
      <c r="B100" s="304" t="s">
        <v>204</v>
      </c>
      <c r="C100" s="308" t="s">
        <v>134</v>
      </c>
      <c r="D100" s="302">
        <v>48</v>
      </c>
      <c r="E100" s="303" t="s">
        <v>205</v>
      </c>
      <c r="F100" s="292"/>
      <c r="G100" s="298"/>
      <c r="H100" s="298"/>
      <c r="I100" s="298"/>
      <c r="J100" s="298"/>
      <c r="K100" s="298"/>
      <c r="L100" s="298"/>
      <c r="M100" s="298"/>
      <c r="N100" s="298"/>
      <c r="O100" s="298"/>
      <c r="P100" s="298"/>
      <c r="Q100" s="299"/>
      <c r="R100" s="309" t="s">
        <v>65</v>
      </c>
    </row>
    <row r="101" spans="1:18" ht="21">
      <c r="A101" s="287">
        <v>39</v>
      </c>
      <c r="B101" s="304" t="s">
        <v>201</v>
      </c>
      <c r="C101" s="308" t="s">
        <v>134</v>
      </c>
      <c r="D101" s="302">
        <v>52</v>
      </c>
      <c r="E101" s="303" t="s">
        <v>207</v>
      </c>
      <c r="F101" s="292"/>
      <c r="G101" s="297"/>
      <c r="H101" s="297"/>
      <c r="I101" s="297"/>
      <c r="J101" s="297"/>
      <c r="K101" s="297"/>
      <c r="L101" s="297"/>
      <c r="M101" s="297"/>
      <c r="N101" s="297"/>
      <c r="O101" s="297"/>
      <c r="P101" s="297"/>
      <c r="Q101" s="305"/>
      <c r="R101" s="309"/>
    </row>
    <row r="102" spans="1:18" ht="21">
      <c r="A102" s="313"/>
      <c r="B102" s="306"/>
      <c r="C102" s="308"/>
      <c r="D102" s="302"/>
      <c r="E102" s="303"/>
      <c r="F102" s="508" t="s">
        <v>624</v>
      </c>
      <c r="G102" s="509"/>
      <c r="H102" s="509"/>
      <c r="I102" s="509"/>
      <c r="J102" s="509"/>
      <c r="K102" s="509"/>
      <c r="L102" s="509"/>
      <c r="M102" s="509"/>
      <c r="N102" s="509"/>
      <c r="O102" s="509"/>
      <c r="P102" s="509"/>
      <c r="Q102" s="510"/>
      <c r="R102" s="309"/>
    </row>
    <row r="103" spans="1:18" ht="21">
      <c r="A103" s="281" t="s">
        <v>210</v>
      </c>
      <c r="B103" s="307" t="s">
        <v>211</v>
      </c>
      <c r="C103" s="283"/>
      <c r="D103" s="284"/>
      <c r="E103" s="291"/>
      <c r="F103" s="292"/>
      <c r="G103" s="298"/>
      <c r="H103" s="298"/>
      <c r="I103" s="298"/>
      <c r="J103" s="298"/>
      <c r="K103" s="298"/>
      <c r="L103" s="298"/>
      <c r="M103" s="298"/>
      <c r="N103" s="298"/>
      <c r="O103" s="298"/>
      <c r="P103" s="298"/>
      <c r="Q103" s="299"/>
      <c r="R103" s="286"/>
    </row>
    <row r="104" spans="1:18" ht="42">
      <c r="A104" s="287">
        <v>1</v>
      </c>
      <c r="B104" s="288" t="s">
        <v>212</v>
      </c>
      <c r="C104" s="283" t="s">
        <v>210</v>
      </c>
      <c r="D104" s="284">
        <v>50</v>
      </c>
      <c r="E104" s="291" t="s">
        <v>213</v>
      </c>
      <c r="F104" s="292"/>
      <c r="G104" s="298"/>
      <c r="H104" s="298"/>
      <c r="I104" s="298"/>
      <c r="J104" s="298"/>
      <c r="K104" s="298"/>
      <c r="L104" s="298"/>
      <c r="M104" s="298"/>
      <c r="N104" s="298"/>
      <c r="O104" s="298"/>
      <c r="P104" s="298"/>
      <c r="Q104" s="299"/>
      <c r="R104" s="286" t="s">
        <v>215</v>
      </c>
    </row>
    <row r="105" spans="1:18" ht="21">
      <c r="A105" s="287">
        <v>2</v>
      </c>
      <c r="B105" s="288" t="s">
        <v>216</v>
      </c>
      <c r="C105" s="283" t="s">
        <v>210</v>
      </c>
      <c r="D105" s="284">
        <v>56</v>
      </c>
      <c r="E105" s="291" t="s">
        <v>217</v>
      </c>
      <c r="F105" s="297"/>
      <c r="G105" s="298"/>
      <c r="H105" s="298"/>
      <c r="I105" s="298"/>
      <c r="J105" s="298"/>
      <c r="K105" s="298"/>
      <c r="L105" s="298"/>
      <c r="M105" s="298"/>
      <c r="N105" s="298"/>
      <c r="O105" s="298"/>
      <c r="P105" s="298"/>
      <c r="Q105" s="299"/>
      <c r="R105" s="286" t="s">
        <v>22</v>
      </c>
    </row>
    <row r="106" spans="1:18" ht="21">
      <c r="A106" s="287">
        <v>3</v>
      </c>
      <c r="B106" s="314" t="s">
        <v>211</v>
      </c>
      <c r="C106" s="283" t="s">
        <v>210</v>
      </c>
      <c r="D106" s="284">
        <v>52</v>
      </c>
      <c r="E106" s="291" t="s">
        <v>219</v>
      </c>
      <c r="F106" s="292"/>
      <c r="G106" s="298"/>
      <c r="H106" s="298"/>
      <c r="I106" s="298"/>
      <c r="J106" s="298"/>
      <c r="K106" s="298"/>
      <c r="L106" s="298"/>
      <c r="M106" s="298"/>
      <c r="N106" s="298"/>
      <c r="O106" s="298"/>
      <c r="P106" s="298"/>
      <c r="Q106" s="299"/>
      <c r="R106" s="315" t="s">
        <v>222</v>
      </c>
    </row>
    <row r="107" spans="1:18" ht="21">
      <c r="A107" s="287">
        <v>4</v>
      </c>
      <c r="B107" s="314" t="s">
        <v>211</v>
      </c>
      <c r="C107" s="283" t="s">
        <v>210</v>
      </c>
      <c r="D107" s="284">
        <v>52</v>
      </c>
      <c r="E107" s="291" t="s">
        <v>223</v>
      </c>
      <c r="F107" s="292"/>
      <c r="G107" s="297"/>
      <c r="H107" s="297"/>
      <c r="I107" s="297"/>
      <c r="J107" s="297"/>
      <c r="K107" s="297"/>
      <c r="L107" s="297"/>
      <c r="M107" s="297"/>
      <c r="N107" s="297"/>
      <c r="O107" s="297"/>
      <c r="P107" s="297"/>
      <c r="Q107" s="305"/>
      <c r="R107" s="315" t="s">
        <v>222</v>
      </c>
    </row>
    <row r="108" spans="1:18" ht="21">
      <c r="A108" s="287">
        <v>5</v>
      </c>
      <c r="B108" s="314" t="s">
        <v>211</v>
      </c>
      <c r="C108" s="283" t="s">
        <v>210</v>
      </c>
      <c r="D108" s="284">
        <v>52</v>
      </c>
      <c r="E108" s="291" t="s">
        <v>225</v>
      </c>
      <c r="F108" s="292"/>
      <c r="G108" s="293"/>
      <c r="H108" s="293"/>
      <c r="I108" s="293"/>
      <c r="J108" s="293"/>
      <c r="K108" s="293"/>
      <c r="L108" s="293"/>
      <c r="M108" s="293"/>
      <c r="N108" s="293"/>
      <c r="O108" s="293"/>
      <c r="P108" s="293"/>
      <c r="Q108" s="294"/>
      <c r="R108" s="315" t="s">
        <v>222</v>
      </c>
    </row>
    <row r="109" spans="1:18" ht="42">
      <c r="A109" s="287">
        <v>6</v>
      </c>
      <c r="B109" s="288" t="s">
        <v>226</v>
      </c>
      <c r="C109" s="296" t="s">
        <v>210</v>
      </c>
      <c r="D109" s="284">
        <v>64</v>
      </c>
      <c r="E109" s="291" t="s">
        <v>227</v>
      </c>
      <c r="F109" s="297"/>
      <c r="G109" s="298"/>
      <c r="H109" s="298"/>
      <c r="I109" s="298"/>
      <c r="J109" s="298"/>
      <c r="K109" s="298"/>
      <c r="L109" s="298"/>
      <c r="M109" s="298"/>
      <c r="N109" s="298"/>
      <c r="O109" s="298"/>
      <c r="P109" s="298"/>
      <c r="Q109" s="299"/>
      <c r="R109" s="316" t="s">
        <v>229</v>
      </c>
    </row>
    <row r="110" spans="1:18" ht="42">
      <c r="A110" s="287">
        <v>7</v>
      </c>
      <c r="B110" s="288" t="s">
        <v>226</v>
      </c>
      <c r="C110" s="296" t="s">
        <v>210</v>
      </c>
      <c r="D110" s="284">
        <v>64</v>
      </c>
      <c r="E110" s="291" t="s">
        <v>230</v>
      </c>
      <c r="F110" s="292"/>
      <c r="G110" s="293"/>
      <c r="H110" s="293"/>
      <c r="I110" s="293"/>
      <c r="J110" s="293"/>
      <c r="K110" s="293"/>
      <c r="L110" s="293"/>
      <c r="M110" s="293"/>
      <c r="N110" s="293"/>
      <c r="O110" s="293"/>
      <c r="P110" s="293"/>
      <c r="Q110" s="294"/>
      <c r="R110" s="316" t="s">
        <v>229</v>
      </c>
    </row>
    <row r="111" spans="1:18" ht="42">
      <c r="A111" s="287">
        <v>8</v>
      </c>
      <c r="B111" s="288" t="s">
        <v>226</v>
      </c>
      <c r="C111" s="296" t="s">
        <v>210</v>
      </c>
      <c r="D111" s="284">
        <v>64</v>
      </c>
      <c r="E111" s="291" t="s">
        <v>231</v>
      </c>
      <c r="F111" s="292"/>
      <c r="G111" s="293"/>
      <c r="H111" s="293"/>
      <c r="I111" s="293"/>
      <c r="J111" s="293"/>
      <c r="K111" s="293"/>
      <c r="L111" s="293"/>
      <c r="M111" s="293"/>
      <c r="N111" s="293"/>
      <c r="O111" s="293"/>
      <c r="P111" s="293"/>
      <c r="Q111" s="294"/>
      <c r="R111" s="316" t="s">
        <v>229</v>
      </c>
    </row>
    <row r="112" spans="1:18" ht="42">
      <c r="A112" s="287">
        <v>9</v>
      </c>
      <c r="B112" s="288" t="s">
        <v>226</v>
      </c>
      <c r="C112" s="296" t="s">
        <v>210</v>
      </c>
      <c r="D112" s="284">
        <v>64</v>
      </c>
      <c r="E112" s="291" t="s">
        <v>232</v>
      </c>
      <c r="F112" s="297"/>
      <c r="G112" s="298"/>
      <c r="H112" s="298"/>
      <c r="I112" s="298"/>
      <c r="J112" s="298"/>
      <c r="K112" s="298"/>
      <c r="L112" s="298"/>
      <c r="M112" s="298"/>
      <c r="N112" s="298"/>
      <c r="O112" s="298"/>
      <c r="P112" s="298"/>
      <c r="Q112" s="299"/>
      <c r="R112" s="316" t="s">
        <v>229</v>
      </c>
    </row>
    <row r="113" spans="1:18" ht="42">
      <c r="A113" s="287">
        <v>10</v>
      </c>
      <c r="B113" s="288" t="s">
        <v>226</v>
      </c>
      <c r="C113" s="296" t="s">
        <v>210</v>
      </c>
      <c r="D113" s="284">
        <v>64</v>
      </c>
      <c r="E113" s="291" t="s">
        <v>233</v>
      </c>
      <c r="F113" s="292"/>
      <c r="G113" s="298"/>
      <c r="H113" s="298"/>
      <c r="I113" s="298"/>
      <c r="J113" s="298"/>
      <c r="K113" s="298"/>
      <c r="L113" s="298"/>
      <c r="M113" s="298"/>
      <c r="N113" s="298"/>
      <c r="O113" s="298"/>
      <c r="P113" s="298"/>
      <c r="Q113" s="299"/>
      <c r="R113" s="316" t="s">
        <v>229</v>
      </c>
    </row>
    <row r="114" spans="1:18" ht="21">
      <c r="A114" s="287"/>
      <c r="B114" s="306"/>
      <c r="C114" s="283"/>
      <c r="D114" s="284"/>
      <c r="E114" s="291"/>
      <c r="F114" s="508" t="s">
        <v>624</v>
      </c>
      <c r="G114" s="509"/>
      <c r="H114" s="509"/>
      <c r="I114" s="509"/>
      <c r="J114" s="509"/>
      <c r="K114" s="509"/>
      <c r="L114" s="509"/>
      <c r="M114" s="509"/>
      <c r="N114" s="509"/>
      <c r="O114" s="509"/>
      <c r="P114" s="509"/>
      <c r="Q114" s="510"/>
      <c r="R114" s="286"/>
    </row>
    <row r="115" spans="1:18" ht="21">
      <c r="A115" s="281" t="s">
        <v>235</v>
      </c>
      <c r="B115" s="307" t="s">
        <v>236</v>
      </c>
      <c r="C115" s="283"/>
      <c r="D115" s="284"/>
      <c r="E115" s="291"/>
      <c r="F115" s="297"/>
      <c r="G115" s="298"/>
      <c r="H115" s="298"/>
      <c r="I115" s="298"/>
      <c r="J115" s="298"/>
      <c r="K115" s="298"/>
      <c r="L115" s="298"/>
      <c r="M115" s="298"/>
      <c r="N115" s="298"/>
      <c r="O115" s="298"/>
      <c r="P115" s="298"/>
      <c r="Q115" s="299"/>
      <c r="R115" s="286"/>
    </row>
    <row r="116" spans="1:18" ht="21">
      <c r="A116" s="287">
        <v>1</v>
      </c>
      <c r="B116" s="288" t="s">
        <v>237</v>
      </c>
      <c r="C116" s="283" t="s">
        <v>235</v>
      </c>
      <c r="D116" s="284">
        <v>40</v>
      </c>
      <c r="E116" s="291" t="s">
        <v>238</v>
      </c>
      <c r="F116" s="292"/>
      <c r="G116" s="298"/>
      <c r="H116" s="298"/>
      <c r="I116" s="298"/>
      <c r="J116" s="298"/>
      <c r="K116" s="298"/>
      <c r="L116" s="298"/>
      <c r="M116" s="298"/>
      <c r="N116" s="298"/>
      <c r="O116" s="298"/>
      <c r="P116" s="298"/>
      <c r="Q116" s="299"/>
      <c r="R116" s="286" t="s">
        <v>89</v>
      </c>
    </row>
    <row r="117" spans="1:18" ht="21">
      <c r="A117" s="287">
        <v>2</v>
      </c>
      <c r="B117" s="288" t="s">
        <v>237</v>
      </c>
      <c r="C117" s="283" t="s">
        <v>235</v>
      </c>
      <c r="D117" s="284">
        <v>40</v>
      </c>
      <c r="E117" s="291" t="s">
        <v>240</v>
      </c>
      <c r="F117" s="292"/>
      <c r="G117" s="297"/>
      <c r="H117" s="297"/>
      <c r="I117" s="297"/>
      <c r="J117" s="297"/>
      <c r="K117" s="297"/>
      <c r="L117" s="297"/>
      <c r="M117" s="297"/>
      <c r="N117" s="297"/>
      <c r="O117" s="297"/>
      <c r="P117" s="297"/>
      <c r="Q117" s="305"/>
      <c r="R117" s="286" t="s">
        <v>622</v>
      </c>
    </row>
    <row r="118" spans="1:18" ht="21">
      <c r="A118" s="287">
        <v>3</v>
      </c>
      <c r="B118" s="288" t="s">
        <v>237</v>
      </c>
      <c r="C118" s="283" t="s">
        <v>235</v>
      </c>
      <c r="D118" s="284">
        <v>40</v>
      </c>
      <c r="E118" s="291" t="s">
        <v>241</v>
      </c>
      <c r="F118" s="292"/>
      <c r="G118" s="293"/>
      <c r="H118" s="293"/>
      <c r="I118" s="293"/>
      <c r="J118" s="293"/>
      <c r="K118" s="293"/>
      <c r="L118" s="293"/>
      <c r="M118" s="293"/>
      <c r="N118" s="293"/>
      <c r="O118" s="293"/>
      <c r="P118" s="293"/>
      <c r="Q118" s="294"/>
      <c r="R118" s="286" t="s">
        <v>43</v>
      </c>
    </row>
    <row r="119" spans="1:18" ht="21">
      <c r="A119" s="287">
        <v>4</v>
      </c>
      <c r="B119" s="288" t="s">
        <v>237</v>
      </c>
      <c r="C119" s="283" t="s">
        <v>235</v>
      </c>
      <c r="D119" s="284">
        <v>40</v>
      </c>
      <c r="E119" s="291" t="s">
        <v>242</v>
      </c>
      <c r="F119" s="297"/>
      <c r="G119" s="298"/>
      <c r="H119" s="298"/>
      <c r="I119" s="298"/>
      <c r="J119" s="298"/>
      <c r="K119" s="298"/>
      <c r="L119" s="298"/>
      <c r="M119" s="298"/>
      <c r="N119" s="298"/>
      <c r="O119" s="298"/>
      <c r="P119" s="298"/>
      <c r="Q119" s="299"/>
      <c r="R119" s="286" t="s">
        <v>243</v>
      </c>
    </row>
    <row r="120" spans="1:18" ht="21">
      <c r="A120" s="287">
        <v>5</v>
      </c>
      <c r="B120" s="288" t="s">
        <v>244</v>
      </c>
      <c r="C120" s="283" t="s">
        <v>235</v>
      </c>
      <c r="D120" s="284">
        <v>57</v>
      </c>
      <c r="E120" s="291" t="s">
        <v>245</v>
      </c>
      <c r="F120" s="292"/>
      <c r="G120" s="293"/>
      <c r="H120" s="293"/>
      <c r="I120" s="293"/>
      <c r="J120" s="293"/>
      <c r="K120" s="293"/>
      <c r="L120" s="293"/>
      <c r="M120" s="293"/>
      <c r="N120" s="293"/>
      <c r="O120" s="293"/>
      <c r="P120" s="293"/>
      <c r="Q120" s="294"/>
      <c r="R120" s="286"/>
    </row>
    <row r="121" spans="1:18" ht="21">
      <c r="A121" s="287">
        <v>6</v>
      </c>
      <c r="B121" s="288" t="s">
        <v>244</v>
      </c>
      <c r="C121" s="283" t="s">
        <v>235</v>
      </c>
      <c r="D121" s="284">
        <v>57</v>
      </c>
      <c r="E121" s="291" t="s">
        <v>246</v>
      </c>
      <c r="F121" s="292"/>
      <c r="G121" s="293"/>
      <c r="H121" s="293"/>
      <c r="I121" s="293"/>
      <c r="J121" s="293"/>
      <c r="K121" s="293"/>
      <c r="L121" s="293"/>
      <c r="M121" s="293"/>
      <c r="N121" s="293"/>
      <c r="O121" s="293"/>
      <c r="P121" s="293"/>
      <c r="Q121" s="294"/>
      <c r="R121" s="286"/>
    </row>
    <row r="122" spans="1:18" ht="21">
      <c r="A122" s="287">
        <v>7</v>
      </c>
      <c r="B122" s="288" t="s">
        <v>247</v>
      </c>
      <c r="C122" s="283" t="s">
        <v>235</v>
      </c>
      <c r="D122" s="284">
        <v>57</v>
      </c>
      <c r="E122" s="291" t="s">
        <v>248</v>
      </c>
      <c r="F122" s="297"/>
      <c r="G122" s="298"/>
      <c r="H122" s="298"/>
      <c r="I122" s="298"/>
      <c r="J122" s="298"/>
      <c r="K122" s="298"/>
      <c r="L122" s="298"/>
      <c r="M122" s="298"/>
      <c r="N122" s="298"/>
      <c r="O122" s="298"/>
      <c r="P122" s="298"/>
      <c r="Q122" s="299"/>
      <c r="R122" s="286"/>
    </row>
    <row r="123" spans="1:18" ht="21">
      <c r="A123" s="287">
        <v>8</v>
      </c>
      <c r="B123" s="314" t="s">
        <v>249</v>
      </c>
      <c r="C123" s="317" t="s">
        <v>235</v>
      </c>
      <c r="D123" s="318" t="s">
        <v>250</v>
      </c>
      <c r="E123" s="319" t="s">
        <v>251</v>
      </c>
      <c r="F123" s="292"/>
      <c r="G123" s="298"/>
      <c r="H123" s="298"/>
      <c r="I123" s="298"/>
      <c r="J123" s="298"/>
      <c r="K123" s="298"/>
      <c r="L123" s="298"/>
      <c r="M123" s="298"/>
      <c r="N123" s="298"/>
      <c r="O123" s="298"/>
      <c r="P123" s="298"/>
      <c r="Q123" s="299"/>
      <c r="R123" s="315" t="s">
        <v>222</v>
      </c>
    </row>
    <row r="124" spans="1:18" ht="21">
      <c r="A124" s="287">
        <v>9</v>
      </c>
      <c r="B124" s="314" t="s">
        <v>249</v>
      </c>
      <c r="C124" s="317" t="s">
        <v>235</v>
      </c>
      <c r="D124" s="318" t="s">
        <v>250</v>
      </c>
      <c r="E124" s="319" t="s">
        <v>252</v>
      </c>
      <c r="F124" s="292"/>
      <c r="G124" s="298"/>
      <c r="H124" s="298"/>
      <c r="I124" s="298"/>
      <c r="J124" s="298"/>
      <c r="K124" s="298"/>
      <c r="L124" s="298"/>
      <c r="M124" s="298"/>
      <c r="N124" s="298"/>
      <c r="O124" s="298"/>
      <c r="P124" s="298"/>
      <c r="Q124" s="299"/>
      <c r="R124" s="315" t="s">
        <v>222</v>
      </c>
    </row>
    <row r="125" spans="1:18" ht="21">
      <c r="A125" s="287">
        <v>10</v>
      </c>
      <c r="B125" s="314" t="s">
        <v>249</v>
      </c>
      <c r="C125" s="317" t="s">
        <v>235</v>
      </c>
      <c r="D125" s="318" t="s">
        <v>250</v>
      </c>
      <c r="E125" s="319" t="s">
        <v>253</v>
      </c>
      <c r="F125" s="297"/>
      <c r="G125" s="298"/>
      <c r="H125" s="298"/>
      <c r="I125" s="298"/>
      <c r="J125" s="298"/>
      <c r="K125" s="298"/>
      <c r="L125" s="298"/>
      <c r="M125" s="298"/>
      <c r="N125" s="298"/>
      <c r="O125" s="298"/>
      <c r="P125" s="298"/>
      <c r="Q125" s="299"/>
      <c r="R125" s="315" t="s">
        <v>222</v>
      </c>
    </row>
    <row r="126" spans="1:18" ht="21">
      <c r="A126" s="287">
        <v>11</v>
      </c>
      <c r="B126" s="314" t="s">
        <v>254</v>
      </c>
      <c r="C126" s="317" t="s">
        <v>235</v>
      </c>
      <c r="D126" s="318" t="s">
        <v>250</v>
      </c>
      <c r="E126" s="319" t="s">
        <v>255</v>
      </c>
      <c r="F126" s="292"/>
      <c r="G126" s="298"/>
      <c r="H126" s="298"/>
      <c r="I126" s="298"/>
      <c r="J126" s="298"/>
      <c r="K126" s="298"/>
      <c r="L126" s="298"/>
      <c r="M126" s="298"/>
      <c r="N126" s="298"/>
      <c r="O126" s="298"/>
      <c r="P126" s="298"/>
      <c r="Q126" s="299"/>
      <c r="R126" s="320" t="s">
        <v>256</v>
      </c>
    </row>
    <row r="127" spans="1:18" ht="21">
      <c r="A127" s="287">
        <v>12</v>
      </c>
      <c r="B127" s="314" t="s">
        <v>254</v>
      </c>
      <c r="C127" s="317" t="s">
        <v>235</v>
      </c>
      <c r="D127" s="318" t="s">
        <v>250</v>
      </c>
      <c r="E127" s="319" t="s">
        <v>257</v>
      </c>
      <c r="F127" s="292"/>
      <c r="G127" s="297"/>
      <c r="H127" s="297"/>
      <c r="I127" s="297"/>
      <c r="J127" s="297"/>
      <c r="K127" s="297"/>
      <c r="L127" s="297"/>
      <c r="M127" s="297"/>
      <c r="N127" s="297"/>
      <c r="O127" s="297"/>
      <c r="P127" s="297"/>
      <c r="Q127" s="305"/>
      <c r="R127" s="320" t="s">
        <v>256</v>
      </c>
    </row>
    <row r="128" spans="1:18" ht="21">
      <c r="A128" s="287">
        <v>13</v>
      </c>
      <c r="B128" s="314" t="s">
        <v>254</v>
      </c>
      <c r="C128" s="317" t="s">
        <v>235</v>
      </c>
      <c r="D128" s="318" t="s">
        <v>250</v>
      </c>
      <c r="E128" s="319" t="s">
        <v>258</v>
      </c>
      <c r="F128" s="292"/>
      <c r="G128" s="293"/>
      <c r="H128" s="293"/>
      <c r="I128" s="293"/>
      <c r="J128" s="293"/>
      <c r="K128" s="293"/>
      <c r="L128" s="293"/>
      <c r="M128" s="293"/>
      <c r="N128" s="293"/>
      <c r="O128" s="293"/>
      <c r="P128" s="293"/>
      <c r="Q128" s="294"/>
      <c r="R128" s="320" t="s">
        <v>256</v>
      </c>
    </row>
    <row r="129" spans="1:18" ht="21">
      <c r="A129" s="321">
        <v>2</v>
      </c>
      <c r="B129" s="322" t="s">
        <v>261</v>
      </c>
      <c r="C129" s="284"/>
      <c r="D129" s="323"/>
      <c r="E129" s="291"/>
      <c r="F129" s="292"/>
      <c r="G129" s="298"/>
      <c r="H129" s="298"/>
      <c r="I129" s="298"/>
      <c r="J129" s="298"/>
      <c r="K129" s="298"/>
      <c r="L129" s="298"/>
      <c r="M129" s="298"/>
      <c r="N129" s="298"/>
      <c r="O129" s="298"/>
      <c r="P129" s="298"/>
      <c r="Q129" s="299"/>
      <c r="R129" s="324"/>
    </row>
    <row r="130" spans="1:18" ht="21">
      <c r="A130" s="281" t="s">
        <v>262</v>
      </c>
      <c r="B130" s="307" t="s">
        <v>263</v>
      </c>
      <c r="C130" s="283"/>
      <c r="D130" s="284"/>
      <c r="E130" s="291"/>
      <c r="F130" s="297"/>
      <c r="G130" s="298"/>
      <c r="H130" s="298"/>
      <c r="I130" s="298"/>
      <c r="J130" s="298"/>
      <c r="K130" s="298"/>
      <c r="L130" s="298"/>
      <c r="M130" s="298"/>
      <c r="N130" s="298"/>
      <c r="O130" s="298"/>
      <c r="P130" s="298"/>
      <c r="Q130" s="299"/>
      <c r="R130" s="286"/>
    </row>
    <row r="131" spans="1:18" ht="42">
      <c r="A131" s="325">
        <v>1</v>
      </c>
      <c r="B131" s="314" t="s">
        <v>264</v>
      </c>
      <c r="C131" s="317" t="s">
        <v>262</v>
      </c>
      <c r="D131" s="318" t="s">
        <v>265</v>
      </c>
      <c r="E131" s="319" t="s">
        <v>266</v>
      </c>
      <c r="F131" s="292"/>
      <c r="G131" s="298"/>
      <c r="H131" s="298"/>
      <c r="I131" s="298"/>
      <c r="J131" s="298"/>
      <c r="K131" s="298"/>
      <c r="L131" s="298"/>
      <c r="M131" s="298"/>
      <c r="N131" s="298"/>
      <c r="O131" s="298"/>
      <c r="P131" s="298"/>
      <c r="Q131" s="299"/>
      <c r="R131" s="326" t="s">
        <v>268</v>
      </c>
    </row>
    <row r="132" spans="1:18" ht="21">
      <c r="A132" s="325"/>
      <c r="B132" s="306"/>
      <c r="C132" s="317"/>
      <c r="D132" s="318"/>
      <c r="E132" s="319"/>
      <c r="F132" s="508" t="s">
        <v>624</v>
      </c>
      <c r="G132" s="509"/>
      <c r="H132" s="509"/>
      <c r="I132" s="509"/>
      <c r="J132" s="509"/>
      <c r="K132" s="509"/>
      <c r="L132" s="509"/>
      <c r="M132" s="509"/>
      <c r="N132" s="509"/>
      <c r="O132" s="509"/>
      <c r="P132" s="509"/>
      <c r="Q132" s="510"/>
      <c r="R132" s="326"/>
    </row>
    <row r="133" spans="1:18" ht="21">
      <c r="A133" s="327">
        <v>3</v>
      </c>
      <c r="B133" s="328" t="s">
        <v>270</v>
      </c>
      <c r="C133" s="284"/>
      <c r="D133" s="323"/>
      <c r="E133" s="291"/>
      <c r="F133" s="292"/>
      <c r="G133" s="293"/>
      <c r="H133" s="293"/>
      <c r="I133" s="293"/>
      <c r="J133" s="293"/>
      <c r="K133" s="293"/>
      <c r="L133" s="293"/>
      <c r="M133" s="293"/>
      <c r="N133" s="293"/>
      <c r="O133" s="293"/>
      <c r="P133" s="293"/>
      <c r="Q133" s="294"/>
      <c r="R133" s="324"/>
    </row>
    <row r="134" spans="1:18" ht="21">
      <c r="A134" s="281" t="s">
        <v>271</v>
      </c>
      <c r="B134" s="307" t="s">
        <v>272</v>
      </c>
      <c r="C134" s="283"/>
      <c r="D134" s="284"/>
      <c r="E134" s="291"/>
      <c r="F134" s="297"/>
      <c r="G134" s="298"/>
      <c r="H134" s="298"/>
      <c r="I134" s="298"/>
      <c r="J134" s="298"/>
      <c r="K134" s="298"/>
      <c r="L134" s="298"/>
      <c r="M134" s="298"/>
      <c r="N134" s="298"/>
      <c r="O134" s="298"/>
      <c r="P134" s="298"/>
      <c r="Q134" s="299"/>
      <c r="R134" s="286"/>
    </row>
    <row r="135" spans="1:18" ht="42">
      <c r="A135" s="325">
        <v>1</v>
      </c>
      <c r="B135" s="295" t="s">
        <v>273</v>
      </c>
      <c r="C135" s="329" t="s">
        <v>271</v>
      </c>
      <c r="D135" s="302">
        <v>64</v>
      </c>
      <c r="E135" s="303" t="s">
        <v>274</v>
      </c>
      <c r="F135" s="292"/>
      <c r="G135" s="298"/>
      <c r="H135" s="298"/>
      <c r="I135" s="298"/>
      <c r="J135" s="298"/>
      <c r="K135" s="298"/>
      <c r="L135" s="298"/>
      <c r="M135" s="298"/>
      <c r="N135" s="298"/>
      <c r="O135" s="298"/>
      <c r="P135" s="298"/>
      <c r="Q135" s="299"/>
      <c r="R135" s="309" t="s">
        <v>276</v>
      </c>
    </row>
    <row r="136" spans="1:18" ht="42">
      <c r="A136" s="325">
        <v>2</v>
      </c>
      <c r="B136" s="295" t="s">
        <v>273</v>
      </c>
      <c r="C136" s="329" t="s">
        <v>271</v>
      </c>
      <c r="D136" s="302">
        <v>64</v>
      </c>
      <c r="E136" s="303" t="s">
        <v>277</v>
      </c>
      <c r="F136" s="292"/>
      <c r="G136" s="298"/>
      <c r="H136" s="298"/>
      <c r="I136" s="298"/>
      <c r="J136" s="298"/>
      <c r="K136" s="298"/>
      <c r="L136" s="298"/>
      <c r="M136" s="298"/>
      <c r="N136" s="298"/>
      <c r="O136" s="298"/>
      <c r="P136" s="298"/>
      <c r="Q136" s="299"/>
      <c r="R136" s="309" t="s">
        <v>276</v>
      </c>
    </row>
    <row r="137" spans="1:18" ht="51" customHeight="1">
      <c r="A137" s="325">
        <v>3</v>
      </c>
      <c r="B137" s="295" t="s">
        <v>273</v>
      </c>
      <c r="C137" s="329" t="s">
        <v>271</v>
      </c>
      <c r="D137" s="302">
        <v>64</v>
      </c>
      <c r="E137" s="303" t="s">
        <v>278</v>
      </c>
      <c r="F137" s="297"/>
      <c r="G137" s="298"/>
      <c r="H137" s="298"/>
      <c r="I137" s="298"/>
      <c r="J137" s="298"/>
      <c r="K137" s="298"/>
      <c r="L137" s="298"/>
      <c r="M137" s="298"/>
      <c r="N137" s="298"/>
      <c r="O137" s="298"/>
      <c r="P137" s="298"/>
      <c r="Q137" s="299"/>
      <c r="R137" s="309" t="s">
        <v>276</v>
      </c>
    </row>
    <row r="138" spans="1:18" ht="42">
      <c r="A138" s="325">
        <v>4</v>
      </c>
      <c r="B138" s="295" t="s">
        <v>273</v>
      </c>
      <c r="C138" s="329" t="s">
        <v>271</v>
      </c>
      <c r="D138" s="302">
        <v>64</v>
      </c>
      <c r="E138" s="303" t="s">
        <v>279</v>
      </c>
      <c r="F138" s="292"/>
      <c r="G138" s="298"/>
      <c r="H138" s="298"/>
      <c r="I138" s="298"/>
      <c r="J138" s="298"/>
      <c r="K138" s="298"/>
      <c r="L138" s="298"/>
      <c r="M138" s="298"/>
      <c r="N138" s="298"/>
      <c r="O138" s="298"/>
      <c r="P138" s="298"/>
      <c r="Q138" s="299"/>
      <c r="R138" s="309" t="s">
        <v>276</v>
      </c>
    </row>
    <row r="139" spans="1:18" ht="21">
      <c r="A139" s="300"/>
      <c r="B139" s="306"/>
      <c r="C139" s="329"/>
      <c r="D139" s="302"/>
      <c r="E139" s="303"/>
      <c r="F139" s="508" t="s">
        <v>624</v>
      </c>
      <c r="G139" s="509"/>
      <c r="H139" s="509"/>
      <c r="I139" s="509"/>
      <c r="J139" s="509"/>
      <c r="K139" s="509"/>
      <c r="L139" s="509"/>
      <c r="M139" s="509"/>
      <c r="N139" s="509"/>
      <c r="O139" s="509"/>
      <c r="P139" s="509"/>
      <c r="Q139" s="510"/>
      <c r="R139" s="309"/>
    </row>
    <row r="140" spans="1:18" ht="21">
      <c r="A140" s="327">
        <v>4</v>
      </c>
      <c r="B140" s="328" t="s">
        <v>281</v>
      </c>
      <c r="C140" s="284"/>
      <c r="D140" s="323"/>
      <c r="E140" s="291"/>
      <c r="F140" s="292"/>
      <c r="G140" s="293"/>
      <c r="H140" s="293"/>
      <c r="I140" s="293"/>
      <c r="J140" s="293"/>
      <c r="K140" s="293"/>
      <c r="L140" s="293"/>
      <c r="M140" s="293"/>
      <c r="N140" s="293"/>
      <c r="O140" s="293"/>
      <c r="P140" s="293"/>
      <c r="Q140" s="294"/>
      <c r="R140" s="324"/>
    </row>
    <row r="141" spans="1:18" ht="21">
      <c r="A141" s="281" t="s">
        <v>282</v>
      </c>
      <c r="B141" s="307" t="s">
        <v>283</v>
      </c>
      <c r="C141" s="283"/>
      <c r="D141" s="284"/>
      <c r="E141" s="285"/>
      <c r="F141" s="297"/>
      <c r="G141" s="298"/>
      <c r="H141" s="298"/>
      <c r="I141" s="298"/>
      <c r="J141" s="298"/>
      <c r="K141" s="298"/>
      <c r="L141" s="298"/>
      <c r="M141" s="298"/>
      <c r="N141" s="298"/>
      <c r="O141" s="298"/>
      <c r="P141" s="298"/>
      <c r="Q141" s="299"/>
      <c r="R141" s="286"/>
    </row>
    <row r="142" spans="1:18" ht="21">
      <c r="A142" s="330">
        <v>1</v>
      </c>
      <c r="B142" s="331" t="s">
        <v>284</v>
      </c>
      <c r="C142" s="332" t="s">
        <v>282</v>
      </c>
      <c r="D142" s="302">
        <v>44</v>
      </c>
      <c r="E142" s="333" t="s">
        <v>285</v>
      </c>
      <c r="F142" s="292"/>
      <c r="G142" s="293"/>
      <c r="H142" s="293"/>
      <c r="I142" s="293"/>
      <c r="J142" s="293"/>
      <c r="K142" s="293"/>
      <c r="L142" s="293"/>
      <c r="M142" s="293"/>
      <c r="N142" s="293"/>
      <c r="O142" s="293"/>
      <c r="P142" s="293"/>
      <c r="Q142" s="294"/>
      <c r="R142" s="334" t="s">
        <v>268</v>
      </c>
    </row>
    <row r="143" spans="1:18" ht="21">
      <c r="A143" s="300"/>
      <c r="B143" s="306"/>
      <c r="C143" s="335"/>
      <c r="D143" s="302"/>
      <c r="E143" s="303"/>
      <c r="F143" s="508" t="s">
        <v>624</v>
      </c>
      <c r="G143" s="509"/>
      <c r="H143" s="509"/>
      <c r="I143" s="509"/>
      <c r="J143" s="509"/>
      <c r="K143" s="509"/>
      <c r="L143" s="509"/>
      <c r="M143" s="509"/>
      <c r="N143" s="509"/>
      <c r="O143" s="509"/>
      <c r="P143" s="509"/>
      <c r="Q143" s="510"/>
      <c r="R143" s="336"/>
    </row>
    <row r="144" spans="1:18" ht="21">
      <c r="A144" s="321">
        <v>6</v>
      </c>
      <c r="B144" s="328" t="s">
        <v>288</v>
      </c>
      <c r="C144" s="284"/>
      <c r="D144" s="323"/>
      <c r="E144" s="291"/>
      <c r="F144" s="292"/>
      <c r="G144" s="293"/>
      <c r="H144" s="293"/>
      <c r="I144" s="293"/>
      <c r="J144" s="293"/>
      <c r="K144" s="293"/>
      <c r="L144" s="293"/>
      <c r="M144" s="293"/>
      <c r="N144" s="293"/>
      <c r="O144" s="293"/>
      <c r="P144" s="293"/>
      <c r="Q144" s="294"/>
      <c r="R144" s="324"/>
    </row>
    <row r="145" spans="1:18" ht="21">
      <c r="A145" s="281" t="s">
        <v>289</v>
      </c>
      <c r="B145" s="307" t="s">
        <v>290</v>
      </c>
      <c r="C145" s="337"/>
      <c r="D145" s="338"/>
      <c r="E145" s="339"/>
      <c r="F145" s="292"/>
      <c r="G145" s="293"/>
      <c r="H145" s="293"/>
      <c r="I145" s="293"/>
      <c r="J145" s="293"/>
      <c r="K145" s="293"/>
      <c r="L145" s="293"/>
      <c r="M145" s="293"/>
      <c r="N145" s="293"/>
      <c r="O145" s="293"/>
      <c r="P145" s="293"/>
      <c r="Q145" s="294"/>
      <c r="R145" s="340"/>
    </row>
    <row r="146" spans="1:18" ht="21">
      <c r="A146" s="287">
        <v>1</v>
      </c>
      <c r="B146" s="314" t="s">
        <v>291</v>
      </c>
      <c r="C146" s="283" t="s">
        <v>289</v>
      </c>
      <c r="D146" s="284">
        <v>49</v>
      </c>
      <c r="E146" s="291" t="s">
        <v>292</v>
      </c>
      <c r="F146" s="297"/>
      <c r="G146" s="298"/>
      <c r="H146" s="298"/>
      <c r="I146" s="298"/>
      <c r="J146" s="298"/>
      <c r="K146" s="298"/>
      <c r="L146" s="298"/>
      <c r="M146" s="298"/>
      <c r="N146" s="298"/>
      <c r="O146" s="298"/>
      <c r="P146" s="298"/>
      <c r="Q146" s="299"/>
      <c r="R146" s="286" t="s">
        <v>294</v>
      </c>
    </row>
    <row r="147" spans="1:18" ht="21">
      <c r="A147" s="287"/>
      <c r="B147" s="306"/>
      <c r="C147" s="283"/>
      <c r="D147" s="284"/>
      <c r="E147" s="291"/>
      <c r="F147" s="508" t="s">
        <v>624</v>
      </c>
      <c r="G147" s="509"/>
      <c r="H147" s="509"/>
      <c r="I147" s="509"/>
      <c r="J147" s="509"/>
      <c r="K147" s="509"/>
      <c r="L147" s="509"/>
      <c r="M147" s="509"/>
      <c r="N147" s="509"/>
      <c r="O147" s="509"/>
      <c r="P147" s="509"/>
      <c r="Q147" s="510"/>
      <c r="R147" s="286"/>
    </row>
    <row r="148" spans="1:18" ht="21">
      <c r="A148" s="281" t="s">
        <v>296</v>
      </c>
      <c r="B148" s="307" t="s">
        <v>297</v>
      </c>
      <c r="C148" s="341"/>
      <c r="D148" s="342"/>
      <c r="E148" s="343"/>
      <c r="F148" s="292"/>
      <c r="G148" s="298"/>
      <c r="H148" s="298"/>
      <c r="I148" s="298"/>
      <c r="J148" s="298"/>
      <c r="K148" s="298"/>
      <c r="L148" s="298"/>
      <c r="M148" s="298"/>
      <c r="N148" s="298"/>
      <c r="O148" s="298"/>
      <c r="P148" s="298"/>
      <c r="Q148" s="299"/>
      <c r="R148" s="344"/>
    </row>
    <row r="149" spans="1:18" ht="21">
      <c r="A149" s="300">
        <v>1</v>
      </c>
      <c r="B149" s="304" t="s">
        <v>298</v>
      </c>
      <c r="C149" s="283" t="s">
        <v>296</v>
      </c>
      <c r="D149" s="284">
        <v>52</v>
      </c>
      <c r="E149" s="291" t="s">
        <v>299</v>
      </c>
      <c r="F149" s="297"/>
      <c r="G149" s="298"/>
      <c r="H149" s="298"/>
      <c r="I149" s="298"/>
      <c r="J149" s="298"/>
      <c r="K149" s="298"/>
      <c r="L149" s="298"/>
      <c r="M149" s="298"/>
      <c r="N149" s="298"/>
      <c r="O149" s="298"/>
      <c r="P149" s="298"/>
      <c r="Q149" s="299"/>
      <c r="R149" s="286" t="s">
        <v>294</v>
      </c>
    </row>
    <row r="150" spans="1:18" ht="42">
      <c r="A150" s="300">
        <v>2</v>
      </c>
      <c r="B150" s="304" t="s">
        <v>630</v>
      </c>
      <c r="C150" s="308" t="s">
        <v>296</v>
      </c>
      <c r="D150" s="302">
        <v>52</v>
      </c>
      <c r="E150" s="303" t="s">
        <v>302</v>
      </c>
      <c r="F150" s="292"/>
      <c r="G150" s="298"/>
      <c r="H150" s="298"/>
      <c r="I150" s="298"/>
      <c r="J150" s="298"/>
      <c r="K150" s="298"/>
      <c r="L150" s="298"/>
      <c r="M150" s="298"/>
      <c r="N150" s="298"/>
      <c r="O150" s="298"/>
      <c r="P150" s="298"/>
      <c r="Q150" s="299"/>
      <c r="R150" s="309" t="s">
        <v>303</v>
      </c>
    </row>
    <row r="151" spans="1:18" ht="21">
      <c r="A151" s="300">
        <v>3</v>
      </c>
      <c r="B151" s="304" t="s">
        <v>304</v>
      </c>
      <c r="C151" s="283" t="s">
        <v>296</v>
      </c>
      <c r="D151" s="284">
        <v>63</v>
      </c>
      <c r="E151" s="291" t="s">
        <v>305</v>
      </c>
      <c r="F151" s="292"/>
      <c r="G151" s="297"/>
      <c r="H151" s="297"/>
      <c r="I151" s="297"/>
      <c r="J151" s="297"/>
      <c r="K151" s="297"/>
      <c r="L151" s="297"/>
      <c r="M151" s="297"/>
      <c r="N151" s="297"/>
      <c r="O151" s="297"/>
      <c r="P151" s="297"/>
      <c r="Q151" s="305"/>
      <c r="R151" s="286" t="s">
        <v>294</v>
      </c>
    </row>
    <row r="152" spans="1:18" ht="21">
      <c r="A152" s="287"/>
      <c r="B152" s="306"/>
      <c r="C152" s="283"/>
      <c r="D152" s="284"/>
      <c r="E152" s="291"/>
      <c r="F152" s="508" t="s">
        <v>624</v>
      </c>
      <c r="G152" s="509"/>
      <c r="H152" s="509"/>
      <c r="I152" s="509"/>
      <c r="J152" s="509"/>
      <c r="K152" s="509"/>
      <c r="L152" s="509"/>
      <c r="M152" s="509"/>
      <c r="N152" s="509"/>
      <c r="O152" s="509"/>
      <c r="P152" s="509"/>
      <c r="Q152" s="510"/>
      <c r="R152" s="286"/>
    </row>
    <row r="153" spans="1:18" ht="21">
      <c r="A153" s="281" t="s">
        <v>308</v>
      </c>
      <c r="B153" s="307" t="s">
        <v>309</v>
      </c>
      <c r="C153" s="283"/>
      <c r="D153" s="284"/>
      <c r="E153" s="291"/>
      <c r="F153" s="297"/>
      <c r="G153" s="298"/>
      <c r="H153" s="298"/>
      <c r="I153" s="298"/>
      <c r="J153" s="298"/>
      <c r="K153" s="298"/>
      <c r="L153" s="298"/>
      <c r="M153" s="298"/>
      <c r="N153" s="298"/>
      <c r="O153" s="298"/>
      <c r="P153" s="298"/>
      <c r="Q153" s="299"/>
      <c r="R153" s="286"/>
    </row>
    <row r="154" spans="1:18" ht="21">
      <c r="A154" s="287">
        <v>1</v>
      </c>
      <c r="B154" s="314" t="s">
        <v>310</v>
      </c>
      <c r="C154" s="283" t="s">
        <v>308</v>
      </c>
      <c r="D154" s="284">
        <v>18</v>
      </c>
      <c r="E154" s="291" t="s">
        <v>266</v>
      </c>
      <c r="F154" s="292"/>
      <c r="G154" s="293"/>
      <c r="H154" s="293"/>
      <c r="I154" s="293"/>
      <c r="J154" s="293"/>
      <c r="K154" s="293"/>
      <c r="L154" s="293"/>
      <c r="M154" s="293"/>
      <c r="N154" s="293"/>
      <c r="O154" s="293"/>
      <c r="P154" s="293"/>
      <c r="Q154" s="294"/>
      <c r="R154" s="286" t="s">
        <v>312</v>
      </c>
    </row>
    <row r="155" spans="1:18" ht="42">
      <c r="A155" s="300">
        <v>2</v>
      </c>
      <c r="B155" s="345" t="s">
        <v>313</v>
      </c>
      <c r="C155" s="308" t="s">
        <v>308</v>
      </c>
      <c r="D155" s="302">
        <v>34</v>
      </c>
      <c r="E155" s="303" t="s">
        <v>314</v>
      </c>
      <c r="F155" s="292"/>
      <c r="G155" s="293"/>
      <c r="H155" s="293"/>
      <c r="I155" s="293"/>
      <c r="J155" s="293"/>
      <c r="K155" s="293"/>
      <c r="L155" s="293"/>
      <c r="M155" s="293"/>
      <c r="N155" s="293"/>
      <c r="O155" s="293"/>
      <c r="P155" s="293"/>
      <c r="Q155" s="294"/>
      <c r="R155" s="309" t="s">
        <v>312</v>
      </c>
    </row>
    <row r="156" spans="1:18" ht="42">
      <c r="A156" s="300">
        <v>3</v>
      </c>
      <c r="B156" s="314" t="s">
        <v>631</v>
      </c>
      <c r="C156" s="308" t="s">
        <v>308</v>
      </c>
      <c r="D156" s="302">
        <v>45</v>
      </c>
      <c r="E156" s="303" t="s">
        <v>292</v>
      </c>
      <c r="F156" s="297"/>
      <c r="G156" s="298"/>
      <c r="H156" s="298"/>
      <c r="I156" s="298"/>
      <c r="J156" s="298"/>
      <c r="K156" s="298"/>
      <c r="L156" s="298"/>
      <c r="M156" s="298"/>
      <c r="N156" s="298"/>
      <c r="O156" s="298"/>
      <c r="P156" s="298"/>
      <c r="Q156" s="299"/>
      <c r="R156" s="309" t="s">
        <v>36</v>
      </c>
    </row>
    <row r="157" spans="1:18" ht="21">
      <c r="A157" s="300">
        <v>4</v>
      </c>
      <c r="B157" s="314" t="s">
        <v>318</v>
      </c>
      <c r="C157" s="308" t="s">
        <v>308</v>
      </c>
      <c r="D157" s="302">
        <v>56</v>
      </c>
      <c r="E157" s="303" t="s">
        <v>319</v>
      </c>
      <c r="F157" s="292"/>
      <c r="G157" s="298"/>
      <c r="H157" s="298"/>
      <c r="I157" s="298"/>
      <c r="J157" s="298"/>
      <c r="K157" s="298"/>
      <c r="L157" s="298"/>
      <c r="M157" s="298"/>
      <c r="N157" s="298"/>
      <c r="O157" s="298"/>
      <c r="P157" s="298"/>
      <c r="Q157" s="299"/>
      <c r="R157" s="309" t="s">
        <v>312</v>
      </c>
    </row>
    <row r="158" spans="1:18" ht="42">
      <c r="A158" s="300">
        <v>5</v>
      </c>
      <c r="B158" s="314" t="s">
        <v>321</v>
      </c>
      <c r="C158" s="308" t="s">
        <v>308</v>
      </c>
      <c r="D158" s="302">
        <v>62</v>
      </c>
      <c r="E158" s="303" t="s">
        <v>322</v>
      </c>
      <c r="F158" s="292"/>
      <c r="G158" s="298"/>
      <c r="H158" s="298"/>
      <c r="I158" s="298"/>
      <c r="J158" s="298"/>
      <c r="K158" s="298"/>
      <c r="L158" s="298"/>
      <c r="M158" s="298"/>
      <c r="N158" s="298"/>
      <c r="O158" s="298"/>
      <c r="P158" s="298"/>
      <c r="Q158" s="299"/>
      <c r="R158" s="309" t="s">
        <v>312</v>
      </c>
    </row>
    <row r="159" spans="1:18" ht="21">
      <c r="A159" s="300"/>
      <c r="B159" s="306"/>
      <c r="C159" s="308"/>
      <c r="D159" s="302"/>
      <c r="E159" s="303"/>
      <c r="F159" s="508" t="s">
        <v>624</v>
      </c>
      <c r="G159" s="509"/>
      <c r="H159" s="509"/>
      <c r="I159" s="509"/>
      <c r="J159" s="509"/>
      <c r="K159" s="509"/>
      <c r="L159" s="509"/>
      <c r="M159" s="509"/>
      <c r="N159" s="509"/>
      <c r="O159" s="509"/>
      <c r="P159" s="509"/>
      <c r="Q159" s="510"/>
      <c r="R159" s="309"/>
    </row>
    <row r="160" spans="1:18" ht="21">
      <c r="A160" s="281" t="s">
        <v>325</v>
      </c>
      <c r="B160" s="307" t="s">
        <v>326</v>
      </c>
      <c r="C160" s="308"/>
      <c r="D160" s="302"/>
      <c r="E160" s="303"/>
      <c r="F160" s="292"/>
      <c r="G160" s="298"/>
      <c r="H160" s="298"/>
      <c r="I160" s="298"/>
      <c r="J160" s="298"/>
      <c r="K160" s="298"/>
      <c r="L160" s="298"/>
      <c r="M160" s="298"/>
      <c r="N160" s="298"/>
      <c r="O160" s="298"/>
      <c r="P160" s="298"/>
      <c r="Q160" s="299"/>
      <c r="R160" s="309"/>
    </row>
    <row r="161" spans="1:18" ht="42">
      <c r="A161" s="300">
        <v>1</v>
      </c>
      <c r="B161" s="314" t="s">
        <v>327</v>
      </c>
      <c r="C161" s="308" t="s">
        <v>325</v>
      </c>
      <c r="D161" s="302">
        <v>28</v>
      </c>
      <c r="E161" s="303" t="s">
        <v>314</v>
      </c>
      <c r="F161" s="292"/>
      <c r="G161" s="297"/>
      <c r="H161" s="297"/>
      <c r="I161" s="297"/>
      <c r="J161" s="297"/>
      <c r="K161" s="297"/>
      <c r="L161" s="297"/>
      <c r="M161" s="297"/>
      <c r="N161" s="297"/>
      <c r="O161" s="297"/>
      <c r="P161" s="297"/>
      <c r="Q161" s="305"/>
      <c r="R161" s="309" t="s">
        <v>632</v>
      </c>
    </row>
    <row r="162" spans="1:18" ht="21">
      <c r="A162" s="287">
        <v>2</v>
      </c>
      <c r="B162" s="314" t="s">
        <v>330</v>
      </c>
      <c r="C162" s="283" t="s">
        <v>325</v>
      </c>
      <c r="D162" s="284">
        <v>32</v>
      </c>
      <c r="E162" s="291" t="s">
        <v>331</v>
      </c>
      <c r="F162" s="292"/>
      <c r="G162" s="293"/>
      <c r="H162" s="293"/>
      <c r="I162" s="293"/>
      <c r="J162" s="293"/>
      <c r="K162" s="293"/>
      <c r="L162" s="293"/>
      <c r="M162" s="293"/>
      <c r="N162" s="293"/>
      <c r="O162" s="293"/>
      <c r="P162" s="293"/>
      <c r="Q162" s="294"/>
      <c r="R162" s="309" t="s">
        <v>312</v>
      </c>
    </row>
    <row r="163" spans="1:18" ht="42">
      <c r="A163" s="287">
        <v>3</v>
      </c>
      <c r="B163" s="314" t="s">
        <v>333</v>
      </c>
      <c r="C163" s="283" t="s">
        <v>325</v>
      </c>
      <c r="D163" s="284">
        <v>45</v>
      </c>
      <c r="E163" s="291" t="s">
        <v>292</v>
      </c>
      <c r="F163" s="297"/>
      <c r="G163" s="298"/>
      <c r="H163" s="298"/>
      <c r="I163" s="298"/>
      <c r="J163" s="298"/>
      <c r="K163" s="298"/>
      <c r="L163" s="298"/>
      <c r="M163" s="298"/>
      <c r="N163" s="298"/>
      <c r="O163" s="298"/>
      <c r="P163" s="298"/>
      <c r="Q163" s="299"/>
      <c r="R163" s="286" t="s">
        <v>312</v>
      </c>
    </row>
    <row r="164" spans="1:18" ht="63">
      <c r="A164" s="300">
        <v>4</v>
      </c>
      <c r="B164" s="345" t="s">
        <v>335</v>
      </c>
      <c r="C164" s="308" t="s">
        <v>325</v>
      </c>
      <c r="D164" s="302">
        <v>45</v>
      </c>
      <c r="E164" s="303" t="s">
        <v>319</v>
      </c>
      <c r="F164" s="292"/>
      <c r="G164" s="293"/>
      <c r="H164" s="293"/>
      <c r="I164" s="293"/>
      <c r="J164" s="293"/>
      <c r="K164" s="293"/>
      <c r="L164" s="293"/>
      <c r="M164" s="293"/>
      <c r="N164" s="293"/>
      <c r="O164" s="293"/>
      <c r="P164" s="293"/>
      <c r="Q164" s="294"/>
      <c r="R164" s="286" t="s">
        <v>312</v>
      </c>
    </row>
    <row r="165" spans="1:18" ht="105">
      <c r="A165" s="300">
        <v>5</v>
      </c>
      <c r="B165" s="304" t="s">
        <v>336</v>
      </c>
      <c r="C165" s="308" t="s">
        <v>325</v>
      </c>
      <c r="D165" s="302">
        <v>49</v>
      </c>
      <c r="E165" s="303" t="s">
        <v>322</v>
      </c>
      <c r="F165" s="292"/>
      <c r="G165" s="293"/>
      <c r="H165" s="293"/>
      <c r="I165" s="293"/>
      <c r="J165" s="293"/>
      <c r="K165" s="293"/>
      <c r="L165" s="293"/>
      <c r="M165" s="293"/>
      <c r="N165" s="293"/>
      <c r="O165" s="293"/>
      <c r="P165" s="293"/>
      <c r="Q165" s="294"/>
      <c r="R165" s="309" t="s">
        <v>312</v>
      </c>
    </row>
    <row r="166" spans="1:18" ht="21">
      <c r="A166" s="287"/>
      <c r="B166" s="306"/>
      <c r="C166" s="283"/>
      <c r="D166" s="284"/>
      <c r="E166" s="291"/>
      <c r="F166" s="508" t="s">
        <v>624</v>
      </c>
      <c r="G166" s="509"/>
      <c r="H166" s="509"/>
      <c r="I166" s="509"/>
      <c r="J166" s="509"/>
      <c r="K166" s="509"/>
      <c r="L166" s="509"/>
      <c r="M166" s="509"/>
      <c r="N166" s="509"/>
      <c r="O166" s="509"/>
      <c r="P166" s="509"/>
      <c r="Q166" s="510"/>
      <c r="R166" s="286"/>
    </row>
    <row r="167" spans="1:18" ht="21">
      <c r="A167" s="321">
        <v>7</v>
      </c>
      <c r="B167" s="328" t="s">
        <v>339</v>
      </c>
      <c r="C167" s="284"/>
      <c r="D167" s="323"/>
      <c r="E167" s="291"/>
      <c r="F167" s="292"/>
      <c r="G167" s="298"/>
      <c r="H167" s="298"/>
      <c r="I167" s="298"/>
      <c r="J167" s="298"/>
      <c r="K167" s="298"/>
      <c r="L167" s="298"/>
      <c r="M167" s="298"/>
      <c r="N167" s="298"/>
      <c r="O167" s="298"/>
      <c r="P167" s="298"/>
      <c r="Q167" s="299"/>
      <c r="R167" s="324"/>
    </row>
    <row r="168" spans="1:18" ht="21">
      <c r="A168" s="281" t="s">
        <v>340</v>
      </c>
      <c r="B168" s="307" t="s">
        <v>341</v>
      </c>
      <c r="C168" s="283"/>
      <c r="D168" s="284"/>
      <c r="E168" s="291"/>
      <c r="F168" s="292"/>
      <c r="G168" s="298"/>
      <c r="H168" s="298"/>
      <c r="I168" s="298"/>
      <c r="J168" s="298"/>
      <c r="K168" s="298"/>
      <c r="L168" s="298"/>
      <c r="M168" s="298"/>
      <c r="N168" s="298"/>
      <c r="O168" s="298"/>
      <c r="P168" s="298"/>
      <c r="Q168" s="299"/>
      <c r="R168" s="286"/>
    </row>
    <row r="169" spans="1:18" ht="42">
      <c r="A169" s="300">
        <v>1</v>
      </c>
      <c r="B169" s="288" t="s">
        <v>342</v>
      </c>
      <c r="C169" s="308" t="s">
        <v>340</v>
      </c>
      <c r="D169" s="302">
        <v>43</v>
      </c>
      <c r="E169" s="303" t="s">
        <v>343</v>
      </c>
      <c r="F169" s="297"/>
      <c r="G169" s="298"/>
      <c r="H169" s="298"/>
      <c r="I169" s="298"/>
      <c r="J169" s="298"/>
      <c r="K169" s="298"/>
      <c r="L169" s="298"/>
      <c r="M169" s="298"/>
      <c r="N169" s="298"/>
      <c r="O169" s="298"/>
      <c r="P169" s="298"/>
      <c r="Q169" s="299"/>
      <c r="R169" s="309" t="s">
        <v>345</v>
      </c>
    </row>
    <row r="170" spans="1:18" ht="21">
      <c r="A170" s="300">
        <v>2</v>
      </c>
      <c r="B170" s="288" t="s">
        <v>633</v>
      </c>
      <c r="C170" s="283" t="s">
        <v>340</v>
      </c>
      <c r="D170" s="284">
        <v>44</v>
      </c>
      <c r="E170" s="291" t="s">
        <v>347</v>
      </c>
      <c r="F170" s="292"/>
      <c r="G170" s="298"/>
      <c r="H170" s="298"/>
      <c r="I170" s="298"/>
      <c r="J170" s="298"/>
      <c r="K170" s="298"/>
      <c r="L170" s="298"/>
      <c r="M170" s="298"/>
      <c r="N170" s="298"/>
      <c r="O170" s="298"/>
      <c r="P170" s="298"/>
      <c r="Q170" s="299"/>
      <c r="R170" s="286" t="s">
        <v>125</v>
      </c>
    </row>
    <row r="171" spans="1:18" ht="21">
      <c r="A171" s="300">
        <v>3</v>
      </c>
      <c r="B171" s="288" t="s">
        <v>634</v>
      </c>
      <c r="C171" s="283" t="s">
        <v>340</v>
      </c>
      <c r="D171" s="284">
        <v>44</v>
      </c>
      <c r="E171" s="291" t="s">
        <v>350</v>
      </c>
      <c r="F171" s="292"/>
      <c r="G171" s="297"/>
      <c r="H171" s="297"/>
      <c r="I171" s="297"/>
      <c r="J171" s="297"/>
      <c r="K171" s="297"/>
      <c r="L171" s="297"/>
      <c r="M171" s="297"/>
      <c r="N171" s="297"/>
      <c r="O171" s="297"/>
      <c r="P171" s="297"/>
      <c r="Q171" s="305"/>
      <c r="R171" s="286" t="s">
        <v>377</v>
      </c>
    </row>
    <row r="172" spans="1:18" ht="21">
      <c r="A172" s="300">
        <v>4</v>
      </c>
      <c r="B172" s="288" t="s">
        <v>352</v>
      </c>
      <c r="C172" s="283" t="s">
        <v>340</v>
      </c>
      <c r="D172" s="284">
        <v>46</v>
      </c>
      <c r="E172" s="291" t="s">
        <v>353</v>
      </c>
      <c r="F172" s="292"/>
      <c r="G172" s="293"/>
      <c r="H172" s="293"/>
      <c r="I172" s="293"/>
      <c r="J172" s="293"/>
      <c r="K172" s="293"/>
      <c r="L172" s="293"/>
      <c r="M172" s="293"/>
      <c r="N172" s="293"/>
      <c r="O172" s="293"/>
      <c r="P172" s="293"/>
      <c r="Q172" s="294"/>
      <c r="R172" s="286" t="s">
        <v>345</v>
      </c>
    </row>
    <row r="173" spans="1:18" ht="21">
      <c r="A173" s="300">
        <v>5</v>
      </c>
      <c r="B173" s="288" t="s">
        <v>352</v>
      </c>
      <c r="C173" s="283" t="s">
        <v>340</v>
      </c>
      <c r="D173" s="284">
        <v>46</v>
      </c>
      <c r="E173" s="291" t="s">
        <v>354</v>
      </c>
      <c r="F173" s="297"/>
      <c r="G173" s="298"/>
      <c r="H173" s="298"/>
      <c r="I173" s="298"/>
      <c r="J173" s="298"/>
      <c r="K173" s="298"/>
      <c r="L173" s="298"/>
      <c r="M173" s="298"/>
      <c r="N173" s="298"/>
      <c r="O173" s="298"/>
      <c r="P173" s="298"/>
      <c r="Q173" s="299"/>
      <c r="R173" s="286" t="s">
        <v>623</v>
      </c>
    </row>
    <row r="174" spans="1:18" ht="21">
      <c r="A174" s="300">
        <v>6</v>
      </c>
      <c r="B174" s="288" t="s">
        <v>356</v>
      </c>
      <c r="C174" s="283" t="s">
        <v>340</v>
      </c>
      <c r="D174" s="284">
        <v>46</v>
      </c>
      <c r="E174" s="291" t="s">
        <v>219</v>
      </c>
      <c r="F174" s="292"/>
      <c r="G174" s="293"/>
      <c r="H174" s="293"/>
      <c r="I174" s="293"/>
      <c r="J174" s="293"/>
      <c r="K174" s="293"/>
      <c r="L174" s="293"/>
      <c r="M174" s="293"/>
      <c r="N174" s="293"/>
      <c r="O174" s="293"/>
      <c r="P174" s="293"/>
      <c r="Q174" s="294"/>
      <c r="R174" s="286" t="s">
        <v>635</v>
      </c>
    </row>
    <row r="175" spans="1:18" ht="21">
      <c r="A175" s="300">
        <v>7</v>
      </c>
      <c r="B175" s="288" t="s">
        <v>356</v>
      </c>
      <c r="C175" s="283" t="s">
        <v>340</v>
      </c>
      <c r="D175" s="284">
        <v>46</v>
      </c>
      <c r="E175" s="291" t="s">
        <v>225</v>
      </c>
      <c r="F175" s="292"/>
      <c r="G175" s="293"/>
      <c r="H175" s="293"/>
      <c r="I175" s="293"/>
      <c r="J175" s="293"/>
      <c r="K175" s="293"/>
      <c r="L175" s="293"/>
      <c r="M175" s="293"/>
      <c r="N175" s="293"/>
      <c r="O175" s="293"/>
      <c r="P175" s="293"/>
      <c r="Q175" s="294"/>
      <c r="R175" s="286" t="s">
        <v>368</v>
      </c>
    </row>
    <row r="176" spans="1:18" ht="21">
      <c r="A176" s="300">
        <v>8</v>
      </c>
      <c r="B176" s="288" t="s">
        <v>356</v>
      </c>
      <c r="C176" s="283" t="s">
        <v>340</v>
      </c>
      <c r="D176" s="284">
        <v>51</v>
      </c>
      <c r="E176" s="291" t="s">
        <v>360</v>
      </c>
      <c r="F176" s="297"/>
      <c r="G176" s="298"/>
      <c r="H176" s="298"/>
      <c r="I176" s="298"/>
      <c r="J176" s="298"/>
      <c r="K176" s="298"/>
      <c r="L176" s="298"/>
      <c r="M176" s="298"/>
      <c r="N176" s="298"/>
      <c r="O176" s="298"/>
      <c r="P176" s="298"/>
      <c r="Q176" s="299"/>
      <c r="R176" s="286" t="s">
        <v>65</v>
      </c>
    </row>
    <row r="177" spans="1:18" ht="21">
      <c r="A177" s="300">
        <v>9</v>
      </c>
      <c r="B177" s="288" t="s">
        <v>362</v>
      </c>
      <c r="C177" s="283" t="s">
        <v>340</v>
      </c>
      <c r="D177" s="284">
        <v>51</v>
      </c>
      <c r="E177" s="291" t="s">
        <v>363</v>
      </c>
      <c r="F177" s="292"/>
      <c r="G177" s="298"/>
      <c r="H177" s="298"/>
      <c r="I177" s="298"/>
      <c r="J177" s="298"/>
      <c r="K177" s="298"/>
      <c r="L177" s="298"/>
      <c r="M177" s="298"/>
      <c r="N177" s="298"/>
      <c r="O177" s="298"/>
      <c r="P177" s="298"/>
      <c r="Q177" s="299"/>
      <c r="R177" s="286" t="s">
        <v>623</v>
      </c>
    </row>
    <row r="178" spans="1:18" ht="21">
      <c r="A178" s="300">
        <v>10</v>
      </c>
      <c r="B178" s="288" t="s">
        <v>364</v>
      </c>
      <c r="C178" s="283" t="s">
        <v>340</v>
      </c>
      <c r="D178" s="284">
        <v>51</v>
      </c>
      <c r="E178" s="291" t="s">
        <v>365</v>
      </c>
      <c r="F178" s="292"/>
      <c r="G178" s="298"/>
      <c r="H178" s="298"/>
      <c r="I178" s="298"/>
      <c r="J178" s="298"/>
      <c r="K178" s="298"/>
      <c r="L178" s="298"/>
      <c r="M178" s="298"/>
      <c r="N178" s="298"/>
      <c r="O178" s="298"/>
      <c r="P178" s="298"/>
      <c r="Q178" s="299"/>
      <c r="R178" s="286" t="s">
        <v>636</v>
      </c>
    </row>
    <row r="179" spans="1:18" ht="21">
      <c r="A179" s="300">
        <v>11</v>
      </c>
      <c r="B179" s="288" t="s">
        <v>356</v>
      </c>
      <c r="C179" s="283" t="s">
        <v>340</v>
      </c>
      <c r="D179" s="284">
        <v>51</v>
      </c>
      <c r="E179" s="291" t="s">
        <v>366</v>
      </c>
      <c r="F179" s="297"/>
      <c r="G179" s="298"/>
      <c r="H179" s="298"/>
      <c r="I179" s="298"/>
      <c r="J179" s="298"/>
      <c r="K179" s="298"/>
      <c r="L179" s="298"/>
      <c r="M179" s="298"/>
      <c r="N179" s="298"/>
      <c r="O179" s="298"/>
      <c r="P179" s="298"/>
      <c r="Q179" s="299"/>
      <c r="R179" s="286" t="s">
        <v>470</v>
      </c>
    </row>
    <row r="180" spans="1:18" ht="21">
      <c r="A180" s="300">
        <v>12</v>
      </c>
      <c r="B180" s="288" t="s">
        <v>356</v>
      </c>
      <c r="C180" s="283" t="s">
        <v>340</v>
      </c>
      <c r="D180" s="284">
        <v>51</v>
      </c>
      <c r="E180" s="291" t="s">
        <v>369</v>
      </c>
      <c r="F180" s="292"/>
      <c r="G180" s="298"/>
      <c r="H180" s="298"/>
      <c r="I180" s="298"/>
      <c r="J180" s="298"/>
      <c r="K180" s="298"/>
      <c r="L180" s="298"/>
      <c r="M180" s="298"/>
      <c r="N180" s="298"/>
      <c r="O180" s="298"/>
      <c r="P180" s="298"/>
      <c r="Q180" s="299"/>
      <c r="R180" s="286" t="s">
        <v>637</v>
      </c>
    </row>
    <row r="181" spans="1:18" ht="21">
      <c r="A181" s="300">
        <v>13</v>
      </c>
      <c r="B181" s="288" t="s">
        <v>362</v>
      </c>
      <c r="C181" s="283" t="s">
        <v>340</v>
      </c>
      <c r="D181" s="284">
        <v>51</v>
      </c>
      <c r="E181" s="291" t="s">
        <v>370</v>
      </c>
      <c r="F181" s="292"/>
      <c r="G181" s="293"/>
      <c r="H181" s="293"/>
      <c r="I181" s="293"/>
      <c r="J181" s="293"/>
      <c r="K181" s="293"/>
      <c r="L181" s="293"/>
      <c r="M181" s="293"/>
      <c r="N181" s="293"/>
      <c r="O181" s="293"/>
      <c r="P181" s="293"/>
      <c r="Q181" s="294"/>
      <c r="R181" s="286" t="s">
        <v>637</v>
      </c>
    </row>
    <row r="182" spans="1:18" ht="21">
      <c r="A182" s="300">
        <v>14</v>
      </c>
      <c r="B182" s="288" t="s">
        <v>362</v>
      </c>
      <c r="C182" s="283" t="s">
        <v>340</v>
      </c>
      <c r="D182" s="284">
        <v>51</v>
      </c>
      <c r="E182" s="291" t="s">
        <v>371</v>
      </c>
      <c r="F182" s="297"/>
      <c r="G182" s="298"/>
      <c r="H182" s="298"/>
      <c r="I182" s="298"/>
      <c r="J182" s="298"/>
      <c r="K182" s="298"/>
      <c r="L182" s="298"/>
      <c r="M182" s="298"/>
      <c r="N182" s="298"/>
      <c r="O182" s="298"/>
      <c r="P182" s="298"/>
      <c r="Q182" s="299"/>
      <c r="R182" s="286" t="s">
        <v>637</v>
      </c>
    </row>
    <row r="183" spans="1:18" ht="21">
      <c r="A183" s="300">
        <v>15</v>
      </c>
      <c r="B183" s="288" t="s">
        <v>362</v>
      </c>
      <c r="C183" s="283" t="s">
        <v>340</v>
      </c>
      <c r="D183" s="284">
        <v>51</v>
      </c>
      <c r="E183" s="291" t="s">
        <v>372</v>
      </c>
      <c r="F183" s="292"/>
      <c r="G183" s="293"/>
      <c r="H183" s="293"/>
      <c r="I183" s="293"/>
      <c r="J183" s="293"/>
      <c r="K183" s="293"/>
      <c r="L183" s="293"/>
      <c r="M183" s="293"/>
      <c r="N183" s="293"/>
      <c r="O183" s="293"/>
      <c r="P183" s="293"/>
      <c r="Q183" s="294"/>
      <c r="R183" s="286" t="s">
        <v>470</v>
      </c>
    </row>
    <row r="184" spans="1:18" ht="21">
      <c r="A184" s="300">
        <v>16</v>
      </c>
      <c r="B184" s="288" t="s">
        <v>374</v>
      </c>
      <c r="C184" s="283" t="s">
        <v>340</v>
      </c>
      <c r="D184" s="284">
        <v>52</v>
      </c>
      <c r="E184" s="291" t="s">
        <v>375</v>
      </c>
      <c r="F184" s="292"/>
      <c r="G184" s="293"/>
      <c r="H184" s="293"/>
      <c r="I184" s="293"/>
      <c r="J184" s="293"/>
      <c r="K184" s="293"/>
      <c r="L184" s="293"/>
      <c r="M184" s="293"/>
      <c r="N184" s="293"/>
      <c r="O184" s="293"/>
      <c r="P184" s="293"/>
      <c r="Q184" s="294"/>
      <c r="R184" s="286" t="s">
        <v>377</v>
      </c>
    </row>
    <row r="185" spans="1:18" ht="21">
      <c r="A185" s="300">
        <v>17</v>
      </c>
      <c r="B185" s="288" t="s">
        <v>378</v>
      </c>
      <c r="C185" s="283" t="s">
        <v>340</v>
      </c>
      <c r="D185" s="284">
        <v>52</v>
      </c>
      <c r="E185" s="291" t="s">
        <v>379</v>
      </c>
      <c r="F185" s="297"/>
      <c r="G185" s="298"/>
      <c r="H185" s="298"/>
      <c r="I185" s="298"/>
      <c r="J185" s="298"/>
      <c r="K185" s="298"/>
      <c r="L185" s="298"/>
      <c r="M185" s="298"/>
      <c r="N185" s="298"/>
      <c r="O185" s="298"/>
      <c r="P185" s="298"/>
      <c r="Q185" s="299"/>
      <c r="R185" s="286" t="s">
        <v>373</v>
      </c>
    </row>
    <row r="186" spans="1:18" ht="21">
      <c r="A186" s="300">
        <v>18</v>
      </c>
      <c r="B186" s="288" t="s">
        <v>380</v>
      </c>
      <c r="C186" s="283" t="s">
        <v>340</v>
      </c>
      <c r="D186" s="284">
        <v>52</v>
      </c>
      <c r="E186" s="291" t="s">
        <v>381</v>
      </c>
      <c r="F186" s="292"/>
      <c r="G186" s="298"/>
      <c r="H186" s="298"/>
      <c r="I186" s="298"/>
      <c r="J186" s="298"/>
      <c r="K186" s="298"/>
      <c r="L186" s="298"/>
      <c r="M186" s="298"/>
      <c r="N186" s="298"/>
      <c r="O186" s="298"/>
      <c r="P186" s="298"/>
      <c r="Q186" s="299"/>
      <c r="R186" s="286" t="s">
        <v>377</v>
      </c>
    </row>
    <row r="187" spans="1:18" ht="21">
      <c r="A187" s="300">
        <v>19</v>
      </c>
      <c r="B187" s="288" t="s">
        <v>382</v>
      </c>
      <c r="C187" s="283" t="s">
        <v>340</v>
      </c>
      <c r="D187" s="284">
        <v>52</v>
      </c>
      <c r="E187" s="291" t="s">
        <v>383</v>
      </c>
      <c r="F187" s="292"/>
      <c r="G187" s="298"/>
      <c r="H187" s="298"/>
      <c r="I187" s="298"/>
      <c r="J187" s="298"/>
      <c r="K187" s="298"/>
      <c r="L187" s="298"/>
      <c r="M187" s="298"/>
      <c r="N187" s="298"/>
      <c r="O187" s="298"/>
      <c r="P187" s="298"/>
      <c r="Q187" s="299"/>
      <c r="R187" s="286" t="s">
        <v>538</v>
      </c>
    </row>
    <row r="188" spans="1:18" ht="21">
      <c r="A188" s="300">
        <v>20</v>
      </c>
      <c r="B188" s="288" t="s">
        <v>382</v>
      </c>
      <c r="C188" s="283" t="s">
        <v>340</v>
      </c>
      <c r="D188" s="284">
        <v>52</v>
      </c>
      <c r="E188" s="291" t="s">
        <v>385</v>
      </c>
      <c r="F188" s="297"/>
      <c r="G188" s="298"/>
      <c r="H188" s="298"/>
      <c r="I188" s="298"/>
      <c r="J188" s="298"/>
      <c r="K188" s="298"/>
      <c r="L188" s="298"/>
      <c r="M188" s="298"/>
      <c r="N188" s="298"/>
      <c r="O188" s="298"/>
      <c r="P188" s="298"/>
      <c r="Q188" s="299"/>
      <c r="R188" s="286" t="s">
        <v>65</v>
      </c>
    </row>
    <row r="189" spans="1:18" ht="21">
      <c r="A189" s="300">
        <v>21</v>
      </c>
      <c r="B189" s="288" t="s">
        <v>382</v>
      </c>
      <c r="C189" s="283" t="s">
        <v>340</v>
      </c>
      <c r="D189" s="284">
        <v>52</v>
      </c>
      <c r="E189" s="291" t="s">
        <v>386</v>
      </c>
      <c r="F189" s="292"/>
      <c r="G189" s="298"/>
      <c r="H189" s="298"/>
      <c r="I189" s="298"/>
      <c r="J189" s="298"/>
      <c r="K189" s="298"/>
      <c r="L189" s="298"/>
      <c r="M189" s="298"/>
      <c r="N189" s="298"/>
      <c r="O189" s="298"/>
      <c r="P189" s="298"/>
      <c r="Q189" s="299"/>
      <c r="R189" s="286" t="s">
        <v>387</v>
      </c>
    </row>
    <row r="190" spans="1:18" ht="21">
      <c r="A190" s="300">
        <v>22</v>
      </c>
      <c r="B190" s="288" t="s">
        <v>388</v>
      </c>
      <c r="C190" s="283" t="s">
        <v>340</v>
      </c>
      <c r="D190" s="284">
        <v>52</v>
      </c>
      <c r="E190" s="291" t="s">
        <v>389</v>
      </c>
      <c r="F190" s="292"/>
      <c r="G190" s="297"/>
      <c r="H190" s="297"/>
      <c r="I190" s="297"/>
      <c r="J190" s="297"/>
      <c r="K190" s="297"/>
      <c r="L190" s="297"/>
      <c r="M190" s="297"/>
      <c r="N190" s="297"/>
      <c r="O190" s="297"/>
      <c r="P190" s="297"/>
      <c r="Q190" s="305"/>
      <c r="R190" s="286" t="s">
        <v>387</v>
      </c>
    </row>
    <row r="191" spans="1:18" ht="21">
      <c r="A191" s="300">
        <v>23</v>
      </c>
      <c r="B191" s="288" t="s">
        <v>388</v>
      </c>
      <c r="C191" s="283" t="s">
        <v>340</v>
      </c>
      <c r="D191" s="284">
        <v>52</v>
      </c>
      <c r="E191" s="291" t="s">
        <v>390</v>
      </c>
      <c r="F191" s="292"/>
      <c r="G191" s="293"/>
      <c r="H191" s="293"/>
      <c r="I191" s="293"/>
      <c r="J191" s="293"/>
      <c r="K191" s="293"/>
      <c r="L191" s="293"/>
      <c r="M191" s="293"/>
      <c r="N191" s="293"/>
      <c r="O191" s="293"/>
      <c r="P191" s="293"/>
      <c r="Q191" s="294"/>
      <c r="R191" s="286" t="s">
        <v>368</v>
      </c>
    </row>
    <row r="192" spans="1:18" ht="21">
      <c r="A192" s="300">
        <v>24</v>
      </c>
      <c r="B192" s="288" t="s">
        <v>391</v>
      </c>
      <c r="C192" s="283" t="s">
        <v>340</v>
      </c>
      <c r="D192" s="284">
        <v>52</v>
      </c>
      <c r="E192" s="291" t="s">
        <v>392</v>
      </c>
      <c r="F192" s="297"/>
      <c r="G192" s="298"/>
      <c r="H192" s="298"/>
      <c r="I192" s="298"/>
      <c r="J192" s="298"/>
      <c r="K192" s="298"/>
      <c r="L192" s="298"/>
      <c r="M192" s="298"/>
      <c r="N192" s="298"/>
      <c r="O192" s="298"/>
      <c r="P192" s="298"/>
      <c r="Q192" s="299"/>
      <c r="R192" s="286" t="s">
        <v>36</v>
      </c>
    </row>
    <row r="193" spans="1:18" ht="21">
      <c r="A193" s="300">
        <v>25</v>
      </c>
      <c r="B193" s="288" t="s">
        <v>393</v>
      </c>
      <c r="C193" s="283" t="s">
        <v>340</v>
      </c>
      <c r="D193" s="284">
        <v>52</v>
      </c>
      <c r="E193" s="291" t="s">
        <v>147</v>
      </c>
      <c r="F193" s="292"/>
      <c r="G193" s="293"/>
      <c r="H193" s="293"/>
      <c r="I193" s="293"/>
      <c r="J193" s="293"/>
      <c r="K193" s="293"/>
      <c r="L193" s="293"/>
      <c r="M193" s="293"/>
      <c r="N193" s="293"/>
      <c r="O193" s="293"/>
      <c r="P193" s="293"/>
      <c r="Q193" s="294"/>
      <c r="R193" s="286" t="s">
        <v>22</v>
      </c>
    </row>
    <row r="194" spans="1:18" ht="21">
      <c r="A194" s="300">
        <v>26</v>
      </c>
      <c r="B194" s="288" t="s">
        <v>394</v>
      </c>
      <c r="C194" s="296" t="s">
        <v>340</v>
      </c>
      <c r="D194" s="346">
        <v>55</v>
      </c>
      <c r="E194" s="291" t="s">
        <v>395</v>
      </c>
      <c r="F194" s="292"/>
      <c r="G194" s="293"/>
      <c r="H194" s="293"/>
      <c r="I194" s="293"/>
      <c r="J194" s="293"/>
      <c r="K194" s="293"/>
      <c r="L194" s="293"/>
      <c r="M194" s="293"/>
      <c r="N194" s="293"/>
      <c r="O194" s="293"/>
      <c r="P194" s="293"/>
      <c r="Q194" s="294"/>
      <c r="R194" s="347" t="s">
        <v>38</v>
      </c>
    </row>
    <row r="195" spans="1:18" ht="21">
      <c r="A195" s="300">
        <v>27</v>
      </c>
      <c r="B195" s="288" t="s">
        <v>397</v>
      </c>
      <c r="C195" s="296" t="s">
        <v>340</v>
      </c>
      <c r="D195" s="346">
        <v>55</v>
      </c>
      <c r="E195" s="291" t="s">
        <v>398</v>
      </c>
      <c r="F195" s="297"/>
      <c r="G195" s="298"/>
      <c r="H195" s="298"/>
      <c r="I195" s="298"/>
      <c r="J195" s="298"/>
      <c r="K195" s="298"/>
      <c r="L195" s="298"/>
      <c r="M195" s="298"/>
      <c r="N195" s="298"/>
      <c r="O195" s="298"/>
      <c r="P195" s="298"/>
      <c r="Q195" s="299"/>
      <c r="R195" s="347" t="s">
        <v>358</v>
      </c>
    </row>
    <row r="196" spans="1:18" ht="21">
      <c r="A196" s="300">
        <v>28</v>
      </c>
      <c r="B196" s="288" t="s">
        <v>399</v>
      </c>
      <c r="C196" s="296" t="s">
        <v>340</v>
      </c>
      <c r="D196" s="346">
        <v>55</v>
      </c>
      <c r="E196" s="291" t="s">
        <v>400</v>
      </c>
      <c r="F196" s="292"/>
      <c r="G196" s="298"/>
      <c r="H196" s="298"/>
      <c r="I196" s="298"/>
      <c r="J196" s="298"/>
      <c r="K196" s="298"/>
      <c r="L196" s="298"/>
      <c r="M196" s="298"/>
      <c r="N196" s="298"/>
      <c r="O196" s="298"/>
      <c r="P196" s="298"/>
      <c r="Q196" s="299"/>
      <c r="R196" s="347" t="s">
        <v>65</v>
      </c>
    </row>
    <row r="197" spans="1:18" ht="21">
      <c r="A197" s="300">
        <v>29</v>
      </c>
      <c r="B197" s="288" t="s">
        <v>401</v>
      </c>
      <c r="C197" s="296" t="s">
        <v>340</v>
      </c>
      <c r="D197" s="346">
        <v>55</v>
      </c>
      <c r="E197" s="291" t="s">
        <v>402</v>
      </c>
      <c r="F197" s="292"/>
      <c r="G197" s="298"/>
      <c r="H197" s="298"/>
      <c r="I197" s="298"/>
      <c r="J197" s="298"/>
      <c r="K197" s="298"/>
      <c r="L197" s="298"/>
      <c r="M197" s="298"/>
      <c r="N197" s="298"/>
      <c r="O197" s="298"/>
      <c r="P197" s="298"/>
      <c r="Q197" s="299"/>
      <c r="R197" s="347" t="s">
        <v>622</v>
      </c>
    </row>
    <row r="198" spans="1:18" ht="21">
      <c r="A198" s="300">
        <v>30</v>
      </c>
      <c r="B198" s="288" t="s">
        <v>403</v>
      </c>
      <c r="C198" s="296" t="s">
        <v>340</v>
      </c>
      <c r="D198" s="346">
        <v>55</v>
      </c>
      <c r="E198" s="291" t="s">
        <v>404</v>
      </c>
      <c r="F198" s="297"/>
      <c r="G198" s="298"/>
      <c r="H198" s="298"/>
      <c r="I198" s="298"/>
      <c r="J198" s="298"/>
      <c r="K198" s="298"/>
      <c r="L198" s="298"/>
      <c r="M198" s="298"/>
      <c r="N198" s="298"/>
      <c r="O198" s="298"/>
      <c r="P198" s="298"/>
      <c r="Q198" s="299"/>
      <c r="R198" s="347" t="s">
        <v>145</v>
      </c>
    </row>
    <row r="199" spans="1:18" ht="21">
      <c r="A199" s="300">
        <v>31</v>
      </c>
      <c r="B199" s="288" t="s">
        <v>406</v>
      </c>
      <c r="C199" s="296" t="s">
        <v>340</v>
      </c>
      <c r="D199" s="346">
        <v>55</v>
      </c>
      <c r="E199" s="291" t="s">
        <v>407</v>
      </c>
      <c r="F199" s="292"/>
      <c r="G199" s="298"/>
      <c r="H199" s="298"/>
      <c r="I199" s="298"/>
      <c r="J199" s="298"/>
      <c r="K199" s="298"/>
      <c r="L199" s="298"/>
      <c r="M199" s="298"/>
      <c r="N199" s="298"/>
      <c r="O199" s="298"/>
      <c r="P199" s="298"/>
      <c r="Q199" s="299"/>
      <c r="R199" s="347" t="s">
        <v>355</v>
      </c>
    </row>
    <row r="200" spans="1:18" ht="21">
      <c r="A200" s="300">
        <v>32</v>
      </c>
      <c r="B200" s="288" t="s">
        <v>356</v>
      </c>
      <c r="C200" s="283" t="s">
        <v>340</v>
      </c>
      <c r="D200" s="284">
        <v>55</v>
      </c>
      <c r="E200" s="291" t="s">
        <v>259</v>
      </c>
      <c r="F200" s="292"/>
      <c r="G200" s="297"/>
      <c r="H200" s="297"/>
      <c r="I200" s="297"/>
      <c r="J200" s="297"/>
      <c r="K200" s="297"/>
      <c r="L200" s="297"/>
      <c r="M200" s="297"/>
      <c r="N200" s="297"/>
      <c r="O200" s="297"/>
      <c r="P200" s="297"/>
      <c r="Q200" s="305"/>
      <c r="R200" s="286" t="s">
        <v>409</v>
      </c>
    </row>
    <row r="201" spans="1:18" ht="21">
      <c r="A201" s="300">
        <v>33</v>
      </c>
      <c r="B201" s="288" t="s">
        <v>410</v>
      </c>
      <c r="C201" s="283" t="s">
        <v>340</v>
      </c>
      <c r="D201" s="284">
        <v>55</v>
      </c>
      <c r="E201" s="291" t="s">
        <v>411</v>
      </c>
      <c r="F201" s="292"/>
      <c r="G201" s="293"/>
      <c r="H201" s="293"/>
      <c r="I201" s="293"/>
      <c r="J201" s="293"/>
      <c r="K201" s="293"/>
      <c r="L201" s="293"/>
      <c r="M201" s="293"/>
      <c r="N201" s="293"/>
      <c r="O201" s="293"/>
      <c r="P201" s="293"/>
      <c r="Q201" s="294"/>
      <c r="R201" s="286" t="s">
        <v>409</v>
      </c>
    </row>
    <row r="202" spans="1:18" ht="42">
      <c r="A202" s="300">
        <v>34</v>
      </c>
      <c r="B202" s="348" t="s">
        <v>412</v>
      </c>
      <c r="C202" s="308" t="s">
        <v>340</v>
      </c>
      <c r="D202" s="302">
        <v>56</v>
      </c>
      <c r="E202" s="303" t="s">
        <v>413</v>
      </c>
      <c r="F202" s="297"/>
      <c r="G202" s="298"/>
      <c r="H202" s="298"/>
      <c r="I202" s="298"/>
      <c r="J202" s="298"/>
      <c r="K202" s="298"/>
      <c r="L202" s="298"/>
      <c r="M202" s="298"/>
      <c r="N202" s="298"/>
      <c r="O202" s="298"/>
      <c r="P202" s="298"/>
      <c r="Q202" s="299"/>
      <c r="R202" s="309" t="s">
        <v>638</v>
      </c>
    </row>
    <row r="203" spans="1:18" ht="21">
      <c r="A203" s="300">
        <v>35</v>
      </c>
      <c r="B203" s="288" t="s">
        <v>415</v>
      </c>
      <c r="C203" s="283" t="s">
        <v>340</v>
      </c>
      <c r="D203" s="284">
        <v>56</v>
      </c>
      <c r="E203" s="291" t="s">
        <v>416</v>
      </c>
      <c r="F203" s="292"/>
      <c r="G203" s="293"/>
      <c r="H203" s="293"/>
      <c r="I203" s="293"/>
      <c r="J203" s="293"/>
      <c r="K203" s="293"/>
      <c r="L203" s="293"/>
      <c r="M203" s="293"/>
      <c r="N203" s="293"/>
      <c r="O203" s="293"/>
      <c r="P203" s="293"/>
      <c r="Q203" s="294"/>
      <c r="R203" s="286" t="s">
        <v>65</v>
      </c>
    </row>
    <row r="204" spans="1:18" ht="21">
      <c r="A204" s="300">
        <v>36</v>
      </c>
      <c r="B204" s="288" t="s">
        <v>639</v>
      </c>
      <c r="C204" s="283" t="s">
        <v>340</v>
      </c>
      <c r="D204" s="284">
        <v>59</v>
      </c>
      <c r="E204" s="291" t="s">
        <v>419</v>
      </c>
      <c r="F204" s="292"/>
      <c r="G204" s="293"/>
      <c r="H204" s="293"/>
      <c r="I204" s="293"/>
      <c r="J204" s="293"/>
      <c r="K204" s="293"/>
      <c r="L204" s="293"/>
      <c r="M204" s="293"/>
      <c r="N204" s="293"/>
      <c r="O204" s="293"/>
      <c r="P204" s="293"/>
      <c r="Q204" s="294"/>
      <c r="R204" s="286" t="s">
        <v>421</v>
      </c>
    </row>
    <row r="205" spans="1:18" ht="21">
      <c r="A205" s="300">
        <v>37</v>
      </c>
      <c r="B205" s="288" t="s">
        <v>422</v>
      </c>
      <c r="C205" s="283" t="s">
        <v>340</v>
      </c>
      <c r="D205" s="284">
        <v>59</v>
      </c>
      <c r="E205" s="291" t="s">
        <v>423</v>
      </c>
      <c r="F205" s="297"/>
      <c r="G205" s="298"/>
      <c r="H205" s="298"/>
      <c r="I205" s="298"/>
      <c r="J205" s="298"/>
      <c r="K205" s="298"/>
      <c r="L205" s="298"/>
      <c r="M205" s="298"/>
      <c r="N205" s="298"/>
      <c r="O205" s="298"/>
      <c r="P205" s="298"/>
      <c r="Q205" s="299"/>
      <c r="R205" s="349" t="s">
        <v>421</v>
      </c>
    </row>
    <row r="206" spans="1:18" ht="21">
      <c r="A206" s="300">
        <v>38</v>
      </c>
      <c r="B206" s="348" t="s">
        <v>364</v>
      </c>
      <c r="C206" s="283" t="s">
        <v>340</v>
      </c>
      <c r="D206" s="284">
        <v>59</v>
      </c>
      <c r="E206" s="291" t="s">
        <v>424</v>
      </c>
      <c r="F206" s="292"/>
      <c r="G206" s="298"/>
      <c r="H206" s="298"/>
      <c r="I206" s="298"/>
      <c r="J206" s="298"/>
      <c r="K206" s="298"/>
      <c r="L206" s="298"/>
      <c r="M206" s="298"/>
      <c r="N206" s="298"/>
      <c r="O206" s="298"/>
      <c r="P206" s="298"/>
      <c r="Q206" s="299"/>
      <c r="R206" s="349" t="s">
        <v>421</v>
      </c>
    </row>
    <row r="207" spans="1:18" ht="21">
      <c r="A207" s="300">
        <v>39</v>
      </c>
      <c r="B207" s="288" t="s">
        <v>425</v>
      </c>
      <c r="C207" s="283" t="s">
        <v>340</v>
      </c>
      <c r="D207" s="284">
        <v>61</v>
      </c>
      <c r="E207" s="291" t="s">
        <v>426</v>
      </c>
      <c r="F207" s="292"/>
      <c r="G207" s="298"/>
      <c r="H207" s="298"/>
      <c r="I207" s="298"/>
      <c r="J207" s="298"/>
      <c r="K207" s="298"/>
      <c r="L207" s="298"/>
      <c r="M207" s="298"/>
      <c r="N207" s="298"/>
      <c r="O207" s="298"/>
      <c r="P207" s="298"/>
      <c r="Q207" s="299"/>
      <c r="R207" s="350" t="s">
        <v>640</v>
      </c>
    </row>
    <row r="208" spans="1:18" ht="42">
      <c r="A208" s="300">
        <v>40</v>
      </c>
      <c r="B208" s="288" t="s">
        <v>428</v>
      </c>
      <c r="C208" s="283" t="s">
        <v>340</v>
      </c>
      <c r="D208" s="284">
        <v>63</v>
      </c>
      <c r="E208" s="291" t="s">
        <v>429</v>
      </c>
      <c r="F208" s="297"/>
      <c r="G208" s="298"/>
      <c r="H208" s="298"/>
      <c r="I208" s="298"/>
      <c r="J208" s="298"/>
      <c r="K208" s="298"/>
      <c r="L208" s="298"/>
      <c r="M208" s="298"/>
      <c r="N208" s="298"/>
      <c r="O208" s="298"/>
      <c r="P208" s="298"/>
      <c r="Q208" s="299"/>
      <c r="R208" s="349" t="s">
        <v>641</v>
      </c>
    </row>
    <row r="209" spans="1:18" ht="21">
      <c r="A209" s="300">
        <v>41</v>
      </c>
      <c r="B209" s="288" t="s">
        <v>432</v>
      </c>
      <c r="C209" s="283" t="s">
        <v>340</v>
      </c>
      <c r="D209" s="284">
        <v>63</v>
      </c>
      <c r="E209" s="291" t="s">
        <v>433</v>
      </c>
      <c r="F209" s="292"/>
      <c r="G209" s="298"/>
      <c r="H209" s="298"/>
      <c r="I209" s="298"/>
      <c r="J209" s="298"/>
      <c r="K209" s="298"/>
      <c r="L209" s="298"/>
      <c r="M209" s="298"/>
      <c r="N209" s="298"/>
      <c r="O209" s="298"/>
      <c r="P209" s="298"/>
      <c r="Q209" s="299"/>
      <c r="R209" s="349" t="s">
        <v>431</v>
      </c>
    </row>
    <row r="210" spans="1:18" ht="42">
      <c r="A210" s="300">
        <v>42</v>
      </c>
      <c r="B210" s="288" t="s">
        <v>435</v>
      </c>
      <c r="C210" s="283" t="s">
        <v>340</v>
      </c>
      <c r="D210" s="284">
        <v>65</v>
      </c>
      <c r="E210" s="291" t="s">
        <v>436</v>
      </c>
      <c r="F210" s="292"/>
      <c r="G210" s="297"/>
      <c r="H210" s="297"/>
      <c r="I210" s="297"/>
      <c r="J210" s="297"/>
      <c r="K210" s="297"/>
      <c r="L210" s="297"/>
      <c r="M210" s="297"/>
      <c r="N210" s="297"/>
      <c r="O210" s="297"/>
      <c r="P210" s="297"/>
      <c r="Q210" s="305"/>
      <c r="R210" s="349" t="s">
        <v>431</v>
      </c>
    </row>
    <row r="211" spans="1:18" ht="21">
      <c r="A211" s="300">
        <v>43</v>
      </c>
      <c r="B211" s="288" t="s">
        <v>439</v>
      </c>
      <c r="C211" s="283" t="s">
        <v>340</v>
      </c>
      <c r="D211" s="284">
        <v>65</v>
      </c>
      <c r="E211" s="291" t="s">
        <v>440</v>
      </c>
      <c r="F211" s="292"/>
      <c r="G211" s="293"/>
      <c r="H211" s="293"/>
      <c r="I211" s="293"/>
      <c r="J211" s="293"/>
      <c r="K211" s="293"/>
      <c r="L211" s="293"/>
      <c r="M211" s="293"/>
      <c r="N211" s="293"/>
      <c r="O211" s="293"/>
      <c r="P211" s="293"/>
      <c r="Q211" s="294"/>
      <c r="R211" s="349" t="s">
        <v>431</v>
      </c>
    </row>
    <row r="212" spans="1:18" ht="42">
      <c r="A212" s="300">
        <v>44</v>
      </c>
      <c r="B212" s="288" t="s">
        <v>435</v>
      </c>
      <c r="C212" s="283" t="s">
        <v>340</v>
      </c>
      <c r="D212" s="284">
        <v>65</v>
      </c>
      <c r="E212" s="291" t="s">
        <v>441</v>
      </c>
      <c r="F212" s="297"/>
      <c r="G212" s="298"/>
      <c r="H212" s="298"/>
      <c r="I212" s="298"/>
      <c r="J212" s="298"/>
      <c r="K212" s="298"/>
      <c r="L212" s="298"/>
      <c r="M212" s="298"/>
      <c r="N212" s="298"/>
      <c r="O212" s="298"/>
      <c r="P212" s="298"/>
      <c r="Q212" s="299"/>
      <c r="R212" s="349" t="s">
        <v>442</v>
      </c>
    </row>
    <row r="213" spans="1:18" ht="21">
      <c r="A213" s="300">
        <v>45</v>
      </c>
      <c r="B213" s="288" t="s">
        <v>439</v>
      </c>
      <c r="C213" s="283" t="s">
        <v>340</v>
      </c>
      <c r="D213" s="284">
        <v>65</v>
      </c>
      <c r="E213" s="291" t="s">
        <v>443</v>
      </c>
      <c r="F213" s="292"/>
      <c r="G213" s="293"/>
      <c r="H213" s="293"/>
      <c r="I213" s="293"/>
      <c r="J213" s="293"/>
      <c r="K213" s="293"/>
      <c r="L213" s="293"/>
      <c r="M213" s="293"/>
      <c r="N213" s="293"/>
      <c r="O213" s="293"/>
      <c r="P213" s="293"/>
      <c r="Q213" s="294"/>
      <c r="R213" s="349" t="s">
        <v>442</v>
      </c>
    </row>
    <row r="214" spans="1:18" ht="42">
      <c r="A214" s="300">
        <v>46</v>
      </c>
      <c r="B214" s="288" t="s">
        <v>435</v>
      </c>
      <c r="C214" s="283" t="s">
        <v>340</v>
      </c>
      <c r="D214" s="284">
        <v>65</v>
      </c>
      <c r="E214" s="291" t="s">
        <v>444</v>
      </c>
      <c r="F214" s="292"/>
      <c r="G214" s="293"/>
      <c r="H214" s="293"/>
      <c r="I214" s="293"/>
      <c r="J214" s="293"/>
      <c r="K214" s="293"/>
      <c r="L214" s="293"/>
      <c r="M214" s="293"/>
      <c r="N214" s="293"/>
      <c r="O214" s="293"/>
      <c r="P214" s="293"/>
      <c r="Q214" s="294"/>
      <c r="R214" s="349" t="s">
        <v>368</v>
      </c>
    </row>
    <row r="215" spans="1:18" ht="21">
      <c r="A215" s="300">
        <v>47</v>
      </c>
      <c r="B215" s="288" t="s">
        <v>439</v>
      </c>
      <c r="C215" s="283" t="s">
        <v>340</v>
      </c>
      <c r="D215" s="284">
        <v>65</v>
      </c>
      <c r="E215" s="291" t="s">
        <v>445</v>
      </c>
      <c r="F215" s="297"/>
      <c r="G215" s="298"/>
      <c r="H215" s="298"/>
      <c r="I215" s="298"/>
      <c r="J215" s="298"/>
      <c r="K215" s="298"/>
      <c r="L215" s="298"/>
      <c r="M215" s="298"/>
      <c r="N215" s="298"/>
      <c r="O215" s="298"/>
      <c r="P215" s="298"/>
      <c r="Q215" s="299"/>
      <c r="R215" s="349" t="s">
        <v>368</v>
      </c>
    </row>
    <row r="216" spans="1:18" ht="42">
      <c r="A216" s="300">
        <v>48</v>
      </c>
      <c r="B216" s="288" t="s">
        <v>435</v>
      </c>
      <c r="C216" s="283" t="s">
        <v>340</v>
      </c>
      <c r="D216" s="284">
        <v>65</v>
      </c>
      <c r="E216" s="291" t="s">
        <v>446</v>
      </c>
      <c r="F216" s="292"/>
      <c r="G216" s="298"/>
      <c r="H216" s="298"/>
      <c r="I216" s="298"/>
      <c r="J216" s="298"/>
      <c r="K216" s="298"/>
      <c r="L216" s="298"/>
      <c r="M216" s="298"/>
      <c r="N216" s="298"/>
      <c r="O216" s="298"/>
      <c r="P216" s="298"/>
      <c r="Q216" s="299"/>
      <c r="R216" s="349" t="s">
        <v>351</v>
      </c>
    </row>
    <row r="217" spans="1:18" ht="21">
      <c r="A217" s="300">
        <v>49</v>
      </c>
      <c r="B217" s="288" t="s">
        <v>439</v>
      </c>
      <c r="C217" s="283" t="s">
        <v>340</v>
      </c>
      <c r="D217" s="284">
        <v>65</v>
      </c>
      <c r="E217" s="291" t="s">
        <v>448</v>
      </c>
      <c r="F217" s="292"/>
      <c r="G217" s="298"/>
      <c r="H217" s="298"/>
      <c r="I217" s="298"/>
      <c r="J217" s="298"/>
      <c r="K217" s="298"/>
      <c r="L217" s="298"/>
      <c r="M217" s="298"/>
      <c r="N217" s="298"/>
      <c r="O217" s="298"/>
      <c r="P217" s="298"/>
      <c r="Q217" s="299"/>
      <c r="R217" s="349" t="s">
        <v>351</v>
      </c>
    </row>
    <row r="218" spans="1:18" ht="42">
      <c r="A218" s="300">
        <v>50</v>
      </c>
      <c r="B218" s="288" t="s">
        <v>435</v>
      </c>
      <c r="C218" s="283" t="s">
        <v>340</v>
      </c>
      <c r="D218" s="284">
        <v>65</v>
      </c>
      <c r="E218" s="291" t="s">
        <v>449</v>
      </c>
      <c r="F218" s="297"/>
      <c r="G218" s="298"/>
      <c r="H218" s="298"/>
      <c r="I218" s="298"/>
      <c r="J218" s="298"/>
      <c r="K218" s="298"/>
      <c r="L218" s="298"/>
      <c r="M218" s="298"/>
      <c r="N218" s="298"/>
      <c r="O218" s="298"/>
      <c r="P218" s="298"/>
      <c r="Q218" s="299"/>
      <c r="R218" s="349" t="s">
        <v>450</v>
      </c>
    </row>
    <row r="219" spans="1:18" ht="21">
      <c r="A219" s="300">
        <v>51</v>
      </c>
      <c r="B219" s="288" t="s">
        <v>439</v>
      </c>
      <c r="C219" s="283" t="s">
        <v>340</v>
      </c>
      <c r="D219" s="284">
        <v>65</v>
      </c>
      <c r="E219" s="291" t="s">
        <v>451</v>
      </c>
      <c r="F219" s="292"/>
      <c r="G219" s="298"/>
      <c r="H219" s="298"/>
      <c r="I219" s="298"/>
      <c r="J219" s="298"/>
      <c r="K219" s="298"/>
      <c r="L219" s="298"/>
      <c r="M219" s="298"/>
      <c r="N219" s="298"/>
      <c r="O219" s="298"/>
      <c r="P219" s="298"/>
      <c r="Q219" s="299"/>
      <c r="R219" s="286" t="s">
        <v>450</v>
      </c>
    </row>
    <row r="220" spans="1:18" ht="42">
      <c r="A220" s="300">
        <v>52</v>
      </c>
      <c r="B220" s="288" t="s">
        <v>452</v>
      </c>
      <c r="C220" s="283" t="s">
        <v>340</v>
      </c>
      <c r="D220" s="284">
        <v>65</v>
      </c>
      <c r="E220" s="291" t="s">
        <v>453</v>
      </c>
      <c r="F220" s="292"/>
      <c r="G220" s="297"/>
      <c r="H220" s="297"/>
      <c r="I220" s="297"/>
      <c r="J220" s="297"/>
      <c r="K220" s="297"/>
      <c r="L220" s="297"/>
      <c r="M220" s="297"/>
      <c r="N220" s="297"/>
      <c r="O220" s="297"/>
      <c r="P220" s="297"/>
      <c r="Q220" s="305"/>
      <c r="R220" s="349" t="s">
        <v>450</v>
      </c>
    </row>
    <row r="221" spans="1:18" ht="21">
      <c r="A221" s="300">
        <v>53</v>
      </c>
      <c r="B221" s="348" t="s">
        <v>454</v>
      </c>
      <c r="C221" s="283" t="s">
        <v>340</v>
      </c>
      <c r="D221" s="284">
        <v>65</v>
      </c>
      <c r="E221" s="291" t="s">
        <v>455</v>
      </c>
      <c r="F221" s="292"/>
      <c r="G221" s="293"/>
      <c r="H221" s="293"/>
      <c r="I221" s="293"/>
      <c r="J221" s="293"/>
      <c r="K221" s="293"/>
      <c r="L221" s="293"/>
      <c r="M221" s="293"/>
      <c r="N221" s="293"/>
      <c r="O221" s="293"/>
      <c r="P221" s="293"/>
      <c r="Q221" s="294"/>
      <c r="R221" s="349" t="s">
        <v>431</v>
      </c>
    </row>
    <row r="222" spans="1:18" ht="21">
      <c r="A222" s="300">
        <v>54</v>
      </c>
      <c r="B222" s="348" t="s">
        <v>454</v>
      </c>
      <c r="C222" s="283" t="s">
        <v>340</v>
      </c>
      <c r="D222" s="284">
        <v>65</v>
      </c>
      <c r="E222" s="291" t="s">
        <v>456</v>
      </c>
      <c r="F222" s="297"/>
      <c r="G222" s="298"/>
      <c r="H222" s="298"/>
      <c r="I222" s="298"/>
      <c r="J222" s="298"/>
      <c r="K222" s="298"/>
      <c r="L222" s="298"/>
      <c r="M222" s="298"/>
      <c r="N222" s="298"/>
      <c r="O222" s="298"/>
      <c r="P222" s="298"/>
      <c r="Q222" s="299"/>
      <c r="R222" s="349" t="s">
        <v>405</v>
      </c>
    </row>
    <row r="223" spans="1:18" ht="21">
      <c r="A223" s="300">
        <v>55</v>
      </c>
      <c r="B223" s="348" t="s">
        <v>454</v>
      </c>
      <c r="C223" s="283" t="s">
        <v>340</v>
      </c>
      <c r="D223" s="284">
        <v>65</v>
      </c>
      <c r="E223" s="291" t="s">
        <v>457</v>
      </c>
      <c r="F223" s="297"/>
      <c r="G223" s="298"/>
      <c r="H223" s="298"/>
      <c r="I223" s="298"/>
      <c r="J223" s="298"/>
      <c r="K223" s="298"/>
      <c r="L223" s="298"/>
      <c r="M223" s="298"/>
      <c r="N223" s="298"/>
      <c r="O223" s="298"/>
      <c r="P223" s="298"/>
      <c r="Q223" s="299"/>
      <c r="R223" s="349" t="s">
        <v>368</v>
      </c>
    </row>
    <row r="224" spans="1:18" ht="21">
      <c r="A224" s="300">
        <v>56</v>
      </c>
      <c r="B224" s="348" t="s">
        <v>454</v>
      </c>
      <c r="C224" s="283" t="s">
        <v>340</v>
      </c>
      <c r="D224" s="284">
        <v>65</v>
      </c>
      <c r="E224" s="291" t="s">
        <v>458</v>
      </c>
      <c r="F224" s="292"/>
      <c r="G224" s="298"/>
      <c r="H224" s="298"/>
      <c r="I224" s="298"/>
      <c r="J224" s="298"/>
      <c r="K224" s="298"/>
      <c r="L224" s="298"/>
      <c r="M224" s="298"/>
      <c r="N224" s="298"/>
      <c r="O224" s="298"/>
      <c r="P224" s="298"/>
      <c r="Q224" s="299"/>
      <c r="R224" s="349" t="s">
        <v>442</v>
      </c>
    </row>
    <row r="225" spans="1:18" ht="21">
      <c r="A225" s="300">
        <v>57</v>
      </c>
      <c r="B225" s="348" t="s">
        <v>454</v>
      </c>
      <c r="C225" s="283" t="s">
        <v>340</v>
      </c>
      <c r="D225" s="284">
        <v>65</v>
      </c>
      <c r="E225" s="291" t="s">
        <v>459</v>
      </c>
      <c r="F225" s="292"/>
      <c r="G225" s="297"/>
      <c r="H225" s="297"/>
      <c r="I225" s="297"/>
      <c r="J225" s="297"/>
      <c r="K225" s="297"/>
      <c r="L225" s="297"/>
      <c r="M225" s="297"/>
      <c r="N225" s="297"/>
      <c r="O225" s="297"/>
      <c r="P225" s="297"/>
      <c r="Q225" s="305"/>
      <c r="R225" s="349" t="s">
        <v>384</v>
      </c>
    </row>
    <row r="226" spans="1:18" ht="21">
      <c r="A226" s="300">
        <v>58</v>
      </c>
      <c r="B226" s="348" t="s">
        <v>460</v>
      </c>
      <c r="C226" s="283" t="s">
        <v>340</v>
      </c>
      <c r="D226" s="284">
        <v>66</v>
      </c>
      <c r="E226" s="291" t="s">
        <v>461</v>
      </c>
      <c r="F226" s="292"/>
      <c r="G226" s="293"/>
      <c r="H226" s="293"/>
      <c r="I226" s="293"/>
      <c r="J226" s="293"/>
      <c r="K226" s="293"/>
      <c r="L226" s="293"/>
      <c r="M226" s="293"/>
      <c r="N226" s="293"/>
      <c r="O226" s="293"/>
      <c r="P226" s="293"/>
      <c r="Q226" s="294"/>
      <c r="R226" s="349" t="s">
        <v>442</v>
      </c>
    </row>
    <row r="227" spans="1:18" ht="21">
      <c r="A227" s="300">
        <v>59</v>
      </c>
      <c r="B227" s="351" t="s">
        <v>463</v>
      </c>
      <c r="C227" s="352" t="s">
        <v>340</v>
      </c>
      <c r="D227" s="353">
        <v>66</v>
      </c>
      <c r="E227" s="354" t="s">
        <v>464</v>
      </c>
      <c r="F227" s="355"/>
      <c r="G227" s="356"/>
      <c r="H227" s="356"/>
      <c r="I227" s="356"/>
      <c r="J227" s="356"/>
      <c r="K227" s="356"/>
      <c r="L227" s="356"/>
      <c r="M227" s="356"/>
      <c r="N227" s="356"/>
      <c r="O227" s="356"/>
      <c r="P227" s="356"/>
      <c r="Q227" s="357"/>
      <c r="R227" s="358" t="s">
        <v>377</v>
      </c>
    </row>
    <row r="228" spans="1:18" ht="21">
      <c r="A228" s="359"/>
      <c r="B228" s="360"/>
      <c r="C228" s="361"/>
      <c r="D228" s="362"/>
      <c r="E228" s="363"/>
      <c r="F228" s="511" t="s">
        <v>624</v>
      </c>
      <c r="G228" s="511"/>
      <c r="H228" s="511"/>
      <c r="I228" s="511"/>
      <c r="J228" s="511"/>
      <c r="K228" s="511"/>
      <c r="L228" s="511"/>
      <c r="M228" s="511"/>
      <c r="N228" s="511"/>
      <c r="O228" s="511"/>
      <c r="P228" s="511"/>
      <c r="Q228" s="511"/>
      <c r="R228" s="364"/>
    </row>
  </sheetData>
  <mergeCells count="21">
    <mergeCell ref="A1:R1"/>
    <mergeCell ref="A2:R2"/>
    <mergeCell ref="A3:R3"/>
    <mergeCell ref="A4:A6"/>
    <mergeCell ref="B4:B6"/>
    <mergeCell ref="C4:E6"/>
    <mergeCell ref="F4:Q4"/>
    <mergeCell ref="R4:R6"/>
    <mergeCell ref="F5:Q5"/>
    <mergeCell ref="F228:Q228"/>
    <mergeCell ref="F32:Q32"/>
    <mergeCell ref="F61:Q61"/>
    <mergeCell ref="F102:Q102"/>
    <mergeCell ref="F114:Q114"/>
    <mergeCell ref="F132:Q132"/>
    <mergeCell ref="F139:Q139"/>
    <mergeCell ref="F143:Q143"/>
    <mergeCell ref="F147:Q147"/>
    <mergeCell ref="F152:Q152"/>
    <mergeCell ref="F159:Q159"/>
    <mergeCell ref="F166:Q166"/>
  </mergeCells>
  <pageMargins left="0.19685039370078741" right="0.19685039370078741" top="0.39370078740157483" bottom="0.39370078740157483" header="0.31496062992125984" footer="0.31496062992125984"/>
  <pageSetup paperSize="9" orientation="landscape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9160F-A9B1-4501-97B9-23DB3D4C4249}">
  <sheetPr>
    <tabColor rgb="FFC00000"/>
  </sheetPr>
  <dimension ref="A1:R35"/>
  <sheetViews>
    <sheetView zoomScale="70" zoomScaleNormal="70" workbookViewId="0">
      <selection activeCell="J11" sqref="J11"/>
    </sheetView>
  </sheetViews>
  <sheetFormatPr defaultColWidth="9" defaultRowHeight="18.75"/>
  <cols>
    <col min="1" max="1" width="4.5" style="448" bestFit="1" customWidth="1"/>
    <col min="2" max="2" width="75.875" style="1" bestFit="1" customWidth="1"/>
    <col min="3" max="4" width="3.125" style="1" bestFit="1" customWidth="1"/>
    <col min="5" max="5" width="7" style="1" bestFit="1" customWidth="1"/>
    <col min="6" max="17" width="3.875" style="448" customWidth="1"/>
    <col min="18" max="18" width="9.625" style="1" customWidth="1"/>
    <col min="19" max="16384" width="9" style="448"/>
  </cols>
  <sheetData>
    <row r="1" spans="1:18" s="1" customFormat="1" ht="23.25">
      <c r="A1" s="512" t="s">
        <v>649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  <c r="N1" s="512"/>
      <c r="O1" s="512"/>
      <c r="P1" s="512"/>
      <c r="Q1" s="512"/>
      <c r="R1" s="512"/>
    </row>
    <row r="2" spans="1:18" s="1" customFormat="1" ht="23.25">
      <c r="A2" s="512" t="s">
        <v>643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</row>
    <row r="3" spans="1:18" s="1" customFormat="1" ht="23.25">
      <c r="A3" s="512" t="s">
        <v>605</v>
      </c>
      <c r="B3" s="512"/>
      <c r="C3" s="512"/>
      <c r="D3" s="512"/>
      <c r="E3" s="512"/>
      <c r="F3" s="512"/>
      <c r="G3" s="512"/>
      <c r="H3" s="512"/>
      <c r="I3" s="512"/>
      <c r="J3" s="512"/>
      <c r="K3" s="512"/>
      <c r="L3" s="512"/>
      <c r="M3" s="512"/>
      <c r="N3" s="512"/>
      <c r="O3" s="512"/>
      <c r="P3" s="512"/>
      <c r="Q3" s="512"/>
      <c r="R3" s="512"/>
    </row>
    <row r="4" spans="1:18" s="449" customFormat="1" ht="21">
      <c r="A4" s="537" t="s">
        <v>1</v>
      </c>
      <c r="B4" s="537" t="s">
        <v>492</v>
      </c>
      <c r="C4" s="539" t="s">
        <v>3</v>
      </c>
      <c r="D4" s="540"/>
      <c r="E4" s="541"/>
      <c r="F4" s="545" t="s">
        <v>608</v>
      </c>
      <c r="G4" s="546"/>
      <c r="H4" s="546"/>
      <c r="I4" s="546"/>
      <c r="J4" s="546"/>
      <c r="K4" s="546"/>
      <c r="L4" s="546"/>
      <c r="M4" s="546"/>
      <c r="N4" s="546"/>
      <c r="O4" s="546"/>
      <c r="P4" s="546"/>
      <c r="Q4" s="547"/>
      <c r="R4" s="532" t="s">
        <v>609</v>
      </c>
    </row>
    <row r="5" spans="1:18" s="449" customFormat="1" ht="21">
      <c r="A5" s="538"/>
      <c r="B5" s="538"/>
      <c r="C5" s="542"/>
      <c r="D5" s="543"/>
      <c r="E5" s="544"/>
      <c r="F5" s="548" t="s">
        <v>644</v>
      </c>
      <c r="G5" s="548"/>
      <c r="H5" s="548"/>
      <c r="I5" s="548"/>
      <c r="J5" s="548"/>
      <c r="K5" s="548"/>
      <c r="L5" s="548"/>
      <c r="M5" s="548"/>
      <c r="N5" s="548"/>
      <c r="O5" s="548"/>
      <c r="P5" s="548"/>
      <c r="Q5" s="548"/>
      <c r="R5" s="533"/>
    </row>
    <row r="6" spans="1:18" s="449" customFormat="1" ht="21">
      <c r="A6" s="277">
        <v>1</v>
      </c>
      <c r="B6" s="451" t="s">
        <v>15</v>
      </c>
      <c r="C6" s="452"/>
      <c r="D6" s="452"/>
      <c r="E6" s="453"/>
      <c r="F6" s="450" t="s">
        <v>610</v>
      </c>
      <c r="G6" s="450" t="s">
        <v>611</v>
      </c>
      <c r="H6" s="450" t="s">
        <v>612</v>
      </c>
      <c r="I6" s="450" t="s">
        <v>613</v>
      </c>
      <c r="J6" s="450" t="s">
        <v>614</v>
      </c>
      <c r="K6" s="450" t="s">
        <v>615</v>
      </c>
      <c r="L6" s="450" t="s">
        <v>616</v>
      </c>
      <c r="M6" s="450" t="s">
        <v>617</v>
      </c>
      <c r="N6" s="450" t="s">
        <v>618</v>
      </c>
      <c r="O6" s="450" t="s">
        <v>619</v>
      </c>
      <c r="P6" s="450" t="s">
        <v>620</v>
      </c>
      <c r="Q6" s="450" t="s">
        <v>621</v>
      </c>
      <c r="R6" s="533"/>
    </row>
    <row r="7" spans="1:18" s="449" customFormat="1" ht="21">
      <c r="A7" s="281" t="s">
        <v>16</v>
      </c>
      <c r="B7" s="454" t="s">
        <v>77</v>
      </c>
      <c r="C7" s="455"/>
      <c r="D7" s="456"/>
      <c r="E7" s="457"/>
      <c r="F7" s="458"/>
      <c r="G7" s="459"/>
      <c r="H7" s="459"/>
      <c r="I7" s="460"/>
      <c r="J7" s="459"/>
      <c r="K7" s="459"/>
      <c r="L7" s="461"/>
      <c r="M7" s="462"/>
      <c r="N7" s="462"/>
      <c r="O7" s="462"/>
      <c r="P7" s="462"/>
      <c r="Q7" s="462"/>
      <c r="R7" s="463"/>
    </row>
    <row r="8" spans="1:18" s="449" customFormat="1" ht="24.75">
      <c r="A8" s="287">
        <v>1</v>
      </c>
      <c r="B8" s="464" t="s">
        <v>493</v>
      </c>
      <c r="C8" s="283" t="s">
        <v>76</v>
      </c>
      <c r="D8" s="284">
        <v>54</v>
      </c>
      <c r="E8" s="291" t="s">
        <v>494</v>
      </c>
      <c r="F8" s="465"/>
      <c r="G8" s="466"/>
      <c r="H8" s="466"/>
      <c r="I8" s="466"/>
      <c r="J8" s="466"/>
      <c r="K8" s="466"/>
      <c r="L8" s="467"/>
      <c r="M8" s="467"/>
      <c r="N8" s="467"/>
      <c r="O8" s="467"/>
      <c r="P8" s="467"/>
      <c r="Q8" s="467"/>
      <c r="R8" s="286" t="s">
        <v>358</v>
      </c>
    </row>
    <row r="9" spans="1:18" s="449" customFormat="1" ht="24.75">
      <c r="A9" s="287">
        <v>2</v>
      </c>
      <c r="B9" s="464" t="s">
        <v>496</v>
      </c>
      <c r="C9" s="283" t="s">
        <v>76</v>
      </c>
      <c r="D9" s="284">
        <v>55</v>
      </c>
      <c r="E9" s="291" t="s">
        <v>497</v>
      </c>
      <c r="F9" s="467"/>
      <c r="G9" s="466"/>
      <c r="H9" s="466"/>
      <c r="I9" s="466"/>
      <c r="J9" s="466"/>
      <c r="K9" s="465"/>
      <c r="L9" s="467"/>
      <c r="M9" s="467"/>
      <c r="N9" s="467"/>
      <c r="O9" s="467"/>
      <c r="P9" s="467"/>
      <c r="Q9" s="467"/>
      <c r="R9" s="286" t="s">
        <v>468</v>
      </c>
    </row>
    <row r="10" spans="1:18" s="449" customFormat="1" ht="24.75">
      <c r="A10" s="287">
        <v>3</v>
      </c>
      <c r="B10" s="464" t="s">
        <v>499</v>
      </c>
      <c r="C10" s="283" t="s">
        <v>76</v>
      </c>
      <c r="D10" s="284">
        <v>55</v>
      </c>
      <c r="E10" s="291" t="s">
        <v>500</v>
      </c>
      <c r="F10" s="467"/>
      <c r="G10" s="466"/>
      <c r="H10" s="466"/>
      <c r="I10" s="466"/>
      <c r="J10" s="466"/>
      <c r="K10" s="465"/>
      <c r="L10" s="467"/>
      <c r="M10" s="467"/>
      <c r="N10" s="467"/>
      <c r="O10" s="467"/>
      <c r="P10" s="467"/>
      <c r="Q10" s="467"/>
      <c r="R10" s="286"/>
    </row>
    <row r="11" spans="1:18" s="449" customFormat="1" ht="24.75">
      <c r="A11" s="287">
        <v>4</v>
      </c>
      <c r="B11" s="464" t="s">
        <v>499</v>
      </c>
      <c r="C11" s="283" t="s">
        <v>76</v>
      </c>
      <c r="D11" s="284">
        <v>55</v>
      </c>
      <c r="E11" s="291" t="s">
        <v>502</v>
      </c>
      <c r="F11" s="465"/>
      <c r="G11" s="466"/>
      <c r="H11" s="466"/>
      <c r="I11" s="466"/>
      <c r="J11" s="466"/>
      <c r="K11" s="467"/>
      <c r="L11" s="467"/>
      <c r="M11" s="467"/>
      <c r="N11" s="467"/>
      <c r="O11" s="467"/>
      <c r="P11" s="467"/>
      <c r="Q11" s="467"/>
      <c r="R11" s="286" t="s">
        <v>387</v>
      </c>
    </row>
    <row r="12" spans="1:18" s="449" customFormat="1" ht="24.75">
      <c r="A12" s="287">
        <v>5</v>
      </c>
      <c r="B12" s="464" t="s">
        <v>503</v>
      </c>
      <c r="C12" s="283" t="s">
        <v>76</v>
      </c>
      <c r="D12" s="284">
        <v>56</v>
      </c>
      <c r="E12" s="291" t="s">
        <v>504</v>
      </c>
      <c r="F12" s="467"/>
      <c r="G12" s="466"/>
      <c r="H12" s="466"/>
      <c r="I12" s="466"/>
      <c r="J12" s="466"/>
      <c r="K12" s="465"/>
      <c r="L12" s="467"/>
      <c r="M12" s="467"/>
      <c r="N12" s="467"/>
      <c r="O12" s="467"/>
      <c r="P12" s="467"/>
      <c r="Q12" s="467"/>
      <c r="R12" s="286" t="s">
        <v>442</v>
      </c>
    </row>
    <row r="13" spans="1:18" s="449" customFormat="1" ht="24.75">
      <c r="A13" s="287">
        <v>6</v>
      </c>
      <c r="B13" s="464" t="s">
        <v>503</v>
      </c>
      <c r="C13" s="283" t="s">
        <v>76</v>
      </c>
      <c r="D13" s="284">
        <v>56</v>
      </c>
      <c r="E13" s="291" t="s">
        <v>506</v>
      </c>
      <c r="F13" s="467"/>
      <c r="G13" s="466"/>
      <c r="H13" s="466"/>
      <c r="I13" s="466"/>
      <c r="J13" s="466"/>
      <c r="K13" s="465"/>
      <c r="L13" s="467"/>
      <c r="M13" s="467"/>
      <c r="N13" s="467"/>
      <c r="O13" s="467"/>
      <c r="P13" s="467"/>
      <c r="Q13" s="467"/>
      <c r="R13" s="286" t="s">
        <v>377</v>
      </c>
    </row>
    <row r="14" spans="1:18" s="449" customFormat="1" ht="24.75">
      <c r="A14" s="287">
        <v>7</v>
      </c>
      <c r="B14" s="464" t="s">
        <v>507</v>
      </c>
      <c r="C14" s="283" t="s">
        <v>76</v>
      </c>
      <c r="D14" s="284">
        <v>57</v>
      </c>
      <c r="E14" s="291" t="s">
        <v>508</v>
      </c>
      <c r="F14" s="467"/>
      <c r="G14" s="466"/>
      <c r="H14" s="466"/>
      <c r="I14" s="466"/>
      <c r="J14" s="466"/>
      <c r="K14" s="465"/>
      <c r="L14" s="467"/>
      <c r="M14" s="467"/>
      <c r="N14" s="467"/>
      <c r="O14" s="467"/>
      <c r="P14" s="467"/>
      <c r="Q14" s="467"/>
      <c r="R14" s="286" t="s">
        <v>470</v>
      </c>
    </row>
    <row r="15" spans="1:18" s="449" customFormat="1" ht="24.75">
      <c r="A15" s="287">
        <v>8</v>
      </c>
      <c r="B15" s="464" t="s">
        <v>510</v>
      </c>
      <c r="C15" s="283" t="s">
        <v>76</v>
      </c>
      <c r="D15" s="284">
        <v>57</v>
      </c>
      <c r="E15" s="291" t="s">
        <v>511</v>
      </c>
      <c r="F15" s="467"/>
      <c r="G15" s="466"/>
      <c r="H15" s="466"/>
      <c r="I15" s="466"/>
      <c r="J15" s="466"/>
      <c r="K15" s="465"/>
      <c r="L15" s="467"/>
      <c r="M15" s="467"/>
      <c r="N15" s="467"/>
      <c r="O15" s="467"/>
      <c r="P15" s="467"/>
      <c r="Q15" s="467"/>
      <c r="R15" s="286"/>
    </row>
    <row r="16" spans="1:18" s="449" customFormat="1" ht="24.75">
      <c r="A16" s="287">
        <v>9</v>
      </c>
      <c r="B16" s="464" t="s">
        <v>510</v>
      </c>
      <c r="C16" s="283" t="s">
        <v>76</v>
      </c>
      <c r="D16" s="284">
        <v>57</v>
      </c>
      <c r="E16" s="291" t="s">
        <v>513</v>
      </c>
      <c r="F16" s="467"/>
      <c r="G16" s="466"/>
      <c r="H16" s="466"/>
      <c r="I16" s="466"/>
      <c r="J16" s="466"/>
      <c r="K16" s="465"/>
      <c r="L16" s="467"/>
      <c r="M16" s="467"/>
      <c r="N16" s="467"/>
      <c r="O16" s="467"/>
      <c r="P16" s="467"/>
      <c r="Q16" s="467"/>
      <c r="R16" s="286" t="s">
        <v>405</v>
      </c>
    </row>
    <row r="17" spans="1:18" s="449" customFormat="1" ht="24.75">
      <c r="A17" s="287">
        <v>10</v>
      </c>
      <c r="B17" s="464" t="s">
        <v>510</v>
      </c>
      <c r="C17" s="283" t="s">
        <v>76</v>
      </c>
      <c r="D17" s="284">
        <v>57</v>
      </c>
      <c r="E17" s="291" t="s">
        <v>514</v>
      </c>
      <c r="F17" s="467"/>
      <c r="G17" s="466"/>
      <c r="H17" s="466"/>
      <c r="I17" s="466"/>
      <c r="J17" s="466"/>
      <c r="K17" s="465"/>
      <c r="L17" s="467"/>
      <c r="M17" s="467"/>
      <c r="N17" s="467"/>
      <c r="O17" s="467"/>
      <c r="P17" s="467"/>
      <c r="Q17" s="467"/>
      <c r="R17" s="286" t="s">
        <v>431</v>
      </c>
    </row>
    <row r="18" spans="1:18" s="449" customFormat="1" ht="24.75">
      <c r="A18" s="287">
        <v>11</v>
      </c>
      <c r="B18" s="464" t="s">
        <v>510</v>
      </c>
      <c r="C18" s="283" t="s">
        <v>76</v>
      </c>
      <c r="D18" s="284">
        <v>57</v>
      </c>
      <c r="E18" s="291" t="s">
        <v>515</v>
      </c>
      <c r="F18" s="467"/>
      <c r="G18" s="466"/>
      <c r="H18" s="466"/>
      <c r="I18" s="466"/>
      <c r="J18" s="466"/>
      <c r="K18" s="465"/>
      <c r="L18" s="467"/>
      <c r="M18" s="467"/>
      <c r="N18" s="467"/>
      <c r="O18" s="467"/>
      <c r="P18" s="467"/>
      <c r="Q18" s="467"/>
      <c r="R18" s="286"/>
    </row>
    <row r="19" spans="1:18" s="449" customFormat="1" ht="24.75">
      <c r="A19" s="287">
        <v>12</v>
      </c>
      <c r="B19" s="464" t="s">
        <v>516</v>
      </c>
      <c r="C19" s="283" t="s">
        <v>76</v>
      </c>
      <c r="D19" s="284">
        <v>58</v>
      </c>
      <c r="E19" s="291" t="s">
        <v>517</v>
      </c>
      <c r="F19" s="467"/>
      <c r="G19" s="466"/>
      <c r="H19" s="466"/>
      <c r="I19" s="466"/>
      <c r="J19" s="466"/>
      <c r="K19" s="465"/>
      <c r="L19" s="467"/>
      <c r="M19" s="467"/>
      <c r="N19" s="467"/>
      <c r="O19" s="467"/>
      <c r="P19" s="467"/>
      <c r="Q19" s="467"/>
      <c r="R19" s="286"/>
    </row>
    <row r="20" spans="1:18" s="449" customFormat="1" ht="21">
      <c r="A20" s="287"/>
      <c r="B20" s="306"/>
      <c r="C20" s="283"/>
      <c r="D20" s="284"/>
      <c r="E20" s="291"/>
      <c r="F20" s="508" t="s">
        <v>624</v>
      </c>
      <c r="G20" s="509"/>
      <c r="H20" s="509"/>
      <c r="I20" s="509"/>
      <c r="J20" s="509"/>
      <c r="K20" s="509"/>
      <c r="L20" s="509"/>
      <c r="M20" s="509"/>
      <c r="N20" s="509"/>
      <c r="O20" s="509"/>
      <c r="P20" s="509"/>
      <c r="Q20" s="510"/>
      <c r="R20" s="286"/>
    </row>
    <row r="21" spans="1:18" s="449" customFormat="1" ht="24.75">
      <c r="A21" s="281" t="s">
        <v>134</v>
      </c>
      <c r="B21" s="282" t="s">
        <v>135</v>
      </c>
      <c r="C21" s="283"/>
      <c r="D21" s="284"/>
      <c r="E21" s="291"/>
      <c r="F21" s="467"/>
      <c r="G21" s="466"/>
      <c r="H21" s="466"/>
      <c r="I21" s="466"/>
      <c r="J21" s="466"/>
      <c r="K21" s="465"/>
      <c r="L21" s="467"/>
      <c r="M21" s="467"/>
      <c r="N21" s="467"/>
      <c r="O21" s="467"/>
      <c r="P21" s="467"/>
      <c r="Q21" s="467"/>
      <c r="R21" s="286"/>
    </row>
    <row r="22" spans="1:18" s="449" customFormat="1" ht="24.75">
      <c r="A22" s="287">
        <v>13</v>
      </c>
      <c r="B22" s="314" t="s">
        <v>519</v>
      </c>
      <c r="C22" s="317" t="s">
        <v>134</v>
      </c>
      <c r="D22" s="318" t="s">
        <v>520</v>
      </c>
      <c r="E22" s="319" t="s">
        <v>521</v>
      </c>
      <c r="F22" s="467"/>
      <c r="G22" s="466"/>
      <c r="H22" s="466"/>
      <c r="I22" s="466"/>
      <c r="J22" s="466"/>
      <c r="K22" s="465"/>
      <c r="L22" s="467"/>
      <c r="M22" s="467"/>
      <c r="N22" s="467"/>
      <c r="O22" s="467"/>
      <c r="P22" s="467"/>
      <c r="Q22" s="467"/>
      <c r="R22" s="326" t="s">
        <v>470</v>
      </c>
    </row>
    <row r="23" spans="1:18" s="449" customFormat="1" ht="24.75">
      <c r="A23" s="287">
        <v>14</v>
      </c>
      <c r="B23" s="314" t="s">
        <v>522</v>
      </c>
      <c r="C23" s="317" t="s">
        <v>134</v>
      </c>
      <c r="D23" s="318" t="s">
        <v>520</v>
      </c>
      <c r="E23" s="319" t="s">
        <v>523</v>
      </c>
      <c r="F23" s="467"/>
      <c r="G23" s="466"/>
      <c r="H23" s="466"/>
      <c r="I23" s="466"/>
      <c r="J23" s="466"/>
      <c r="K23" s="465"/>
      <c r="L23" s="467"/>
      <c r="M23" s="467"/>
      <c r="N23" s="467"/>
      <c r="O23" s="467"/>
      <c r="P23" s="467"/>
      <c r="Q23" s="467"/>
      <c r="R23" s="326" t="s">
        <v>421</v>
      </c>
    </row>
    <row r="24" spans="1:18" s="449" customFormat="1" ht="24.75">
      <c r="A24" s="287">
        <v>15</v>
      </c>
      <c r="B24" s="314" t="s">
        <v>524</v>
      </c>
      <c r="C24" s="317" t="s">
        <v>134</v>
      </c>
      <c r="D24" s="318" t="s">
        <v>525</v>
      </c>
      <c r="E24" s="319" t="s">
        <v>526</v>
      </c>
      <c r="F24" s="467"/>
      <c r="G24" s="466"/>
      <c r="H24" s="466"/>
      <c r="I24" s="466"/>
      <c r="J24" s="466"/>
      <c r="K24" s="465"/>
      <c r="L24" s="467"/>
      <c r="M24" s="467"/>
      <c r="N24" s="467"/>
      <c r="O24" s="467"/>
      <c r="P24" s="467"/>
      <c r="Q24" s="467"/>
      <c r="R24" s="326" t="s">
        <v>596</v>
      </c>
    </row>
    <row r="25" spans="1:18" s="449" customFormat="1" ht="24.75">
      <c r="A25" s="287">
        <v>16</v>
      </c>
      <c r="B25" s="314" t="s">
        <v>524</v>
      </c>
      <c r="C25" s="317" t="s">
        <v>134</v>
      </c>
      <c r="D25" s="318" t="s">
        <v>525</v>
      </c>
      <c r="E25" s="319" t="s">
        <v>528</v>
      </c>
      <c r="F25" s="467"/>
      <c r="G25" s="466"/>
      <c r="H25" s="466"/>
      <c r="I25" s="466"/>
      <c r="J25" s="466"/>
      <c r="K25" s="465"/>
      <c r="L25" s="467"/>
      <c r="M25" s="467"/>
      <c r="N25" s="467"/>
      <c r="O25" s="467"/>
      <c r="P25" s="467"/>
      <c r="Q25" s="467"/>
      <c r="R25" s="326" t="s">
        <v>345</v>
      </c>
    </row>
    <row r="26" spans="1:18" s="449" customFormat="1" ht="21">
      <c r="A26" s="287"/>
      <c r="B26" s="306"/>
      <c r="C26" s="317"/>
      <c r="D26" s="318"/>
      <c r="E26" s="319"/>
      <c r="F26" s="508" t="s">
        <v>624</v>
      </c>
      <c r="G26" s="509"/>
      <c r="H26" s="509"/>
      <c r="I26" s="509"/>
      <c r="J26" s="509"/>
      <c r="K26" s="509"/>
      <c r="L26" s="509"/>
      <c r="M26" s="509"/>
      <c r="N26" s="509"/>
      <c r="O26" s="509"/>
      <c r="P26" s="509"/>
      <c r="Q26" s="510"/>
      <c r="R26" s="326"/>
    </row>
    <row r="27" spans="1:18" s="449" customFormat="1" ht="24.75">
      <c r="A27" s="281" t="s">
        <v>235</v>
      </c>
      <c r="B27" s="282" t="s">
        <v>236</v>
      </c>
      <c r="C27" s="341"/>
      <c r="D27" s="342"/>
      <c r="E27" s="343"/>
      <c r="F27" s="467"/>
      <c r="G27" s="466"/>
      <c r="H27" s="466"/>
      <c r="I27" s="466"/>
      <c r="J27" s="466"/>
      <c r="K27" s="465"/>
      <c r="L27" s="467"/>
      <c r="M27" s="467"/>
      <c r="N27" s="467"/>
      <c r="O27" s="467"/>
      <c r="P27" s="467"/>
      <c r="Q27" s="467"/>
      <c r="R27" s="344"/>
    </row>
    <row r="28" spans="1:18" s="449" customFormat="1" ht="24.75">
      <c r="A28" s="287">
        <v>17</v>
      </c>
      <c r="B28" s="286" t="s">
        <v>529</v>
      </c>
      <c r="C28" s="283" t="s">
        <v>235</v>
      </c>
      <c r="D28" s="284">
        <v>52</v>
      </c>
      <c r="E28" s="291" t="s">
        <v>530</v>
      </c>
      <c r="F28" s="467"/>
      <c r="G28" s="466"/>
      <c r="H28" s="466"/>
      <c r="I28" s="466"/>
      <c r="J28" s="466"/>
      <c r="K28" s="465"/>
      <c r="L28" s="467"/>
      <c r="M28" s="467"/>
      <c r="N28" s="467"/>
      <c r="O28" s="467"/>
      <c r="P28" s="467"/>
      <c r="Q28" s="467"/>
      <c r="R28" s="286" t="s">
        <v>532</v>
      </c>
    </row>
    <row r="29" spans="1:18" s="449" customFormat="1" ht="24.75">
      <c r="A29" s="287">
        <v>18</v>
      </c>
      <c r="B29" s="286" t="s">
        <v>533</v>
      </c>
      <c r="C29" s="283" t="s">
        <v>235</v>
      </c>
      <c r="D29" s="284">
        <v>52</v>
      </c>
      <c r="E29" s="291" t="s">
        <v>534</v>
      </c>
      <c r="F29" s="467"/>
      <c r="G29" s="466"/>
      <c r="H29" s="466"/>
      <c r="I29" s="466"/>
      <c r="J29" s="466"/>
      <c r="K29" s="465"/>
      <c r="L29" s="467"/>
      <c r="M29" s="467"/>
      <c r="N29" s="467"/>
      <c r="O29" s="467"/>
      <c r="P29" s="467"/>
      <c r="Q29" s="467"/>
      <c r="R29" s="286" t="s">
        <v>535</v>
      </c>
    </row>
    <row r="30" spans="1:18" s="449" customFormat="1" ht="24.75">
      <c r="A30" s="287">
        <v>19</v>
      </c>
      <c r="B30" s="286" t="s">
        <v>536</v>
      </c>
      <c r="C30" s="283" t="s">
        <v>235</v>
      </c>
      <c r="D30" s="284">
        <v>52</v>
      </c>
      <c r="E30" s="291" t="s">
        <v>537</v>
      </c>
      <c r="F30" s="465"/>
      <c r="G30" s="466"/>
      <c r="H30" s="466"/>
      <c r="I30" s="466"/>
      <c r="J30" s="466"/>
      <c r="K30" s="466"/>
      <c r="L30" s="467"/>
      <c r="M30" s="467"/>
      <c r="N30" s="467"/>
      <c r="O30" s="467"/>
      <c r="P30" s="467"/>
      <c r="Q30" s="467"/>
      <c r="R30" s="286" t="s">
        <v>538</v>
      </c>
    </row>
    <row r="31" spans="1:18" s="449" customFormat="1" ht="21">
      <c r="A31" s="287"/>
      <c r="B31" s="306"/>
      <c r="C31" s="283"/>
      <c r="D31" s="284"/>
      <c r="E31" s="291"/>
      <c r="F31" s="508" t="s">
        <v>624</v>
      </c>
      <c r="G31" s="509"/>
      <c r="H31" s="509"/>
      <c r="I31" s="509"/>
      <c r="J31" s="509"/>
      <c r="K31" s="509"/>
      <c r="L31" s="509"/>
      <c r="M31" s="509"/>
      <c r="N31" s="509"/>
      <c r="O31" s="509"/>
      <c r="P31" s="509"/>
      <c r="Q31" s="510"/>
      <c r="R31" s="286"/>
    </row>
    <row r="32" spans="1:18" s="449" customFormat="1" ht="24.75">
      <c r="A32" s="281" t="s">
        <v>340</v>
      </c>
      <c r="B32" s="282" t="s">
        <v>341</v>
      </c>
      <c r="C32" s="317"/>
      <c r="D32" s="318"/>
      <c r="E32" s="319"/>
      <c r="F32" s="468"/>
      <c r="G32" s="469"/>
      <c r="H32" s="469"/>
      <c r="I32" s="469"/>
      <c r="J32" s="469"/>
      <c r="K32" s="468"/>
      <c r="L32" s="467"/>
      <c r="M32" s="467"/>
      <c r="N32" s="467"/>
      <c r="O32" s="467"/>
      <c r="P32" s="467"/>
      <c r="Q32" s="467"/>
      <c r="R32" s="326"/>
    </row>
    <row r="33" spans="1:18" s="449" customFormat="1" ht="24.75">
      <c r="A33" s="287">
        <v>20</v>
      </c>
      <c r="B33" s="464" t="s">
        <v>539</v>
      </c>
      <c r="C33" s="341" t="s">
        <v>340</v>
      </c>
      <c r="D33" s="342" t="s">
        <v>520</v>
      </c>
      <c r="E33" s="343" t="s">
        <v>540</v>
      </c>
      <c r="F33" s="468"/>
      <c r="G33" s="469"/>
      <c r="H33" s="469"/>
      <c r="I33" s="469"/>
      <c r="J33" s="469"/>
      <c r="K33" s="470"/>
      <c r="L33" s="467"/>
      <c r="M33" s="467"/>
      <c r="N33" s="467"/>
      <c r="O33" s="467"/>
      <c r="P33" s="467"/>
      <c r="Q33" s="467"/>
      <c r="R33" s="344" t="s">
        <v>387</v>
      </c>
    </row>
    <row r="34" spans="1:18" s="449" customFormat="1" ht="24.75">
      <c r="A34" s="287">
        <v>21</v>
      </c>
      <c r="B34" s="464" t="s">
        <v>542</v>
      </c>
      <c r="C34" s="341" t="s">
        <v>340</v>
      </c>
      <c r="D34" s="342" t="s">
        <v>543</v>
      </c>
      <c r="E34" s="343" t="s">
        <v>544</v>
      </c>
      <c r="F34" s="468"/>
      <c r="G34" s="469"/>
      <c r="H34" s="469"/>
      <c r="I34" s="469"/>
      <c r="J34" s="469"/>
      <c r="K34" s="468"/>
      <c r="L34" s="467"/>
      <c r="M34" s="467"/>
      <c r="N34" s="467"/>
      <c r="O34" s="467"/>
      <c r="P34" s="467"/>
      <c r="Q34" s="467"/>
      <c r="R34" s="344" t="s">
        <v>387</v>
      </c>
    </row>
    <row r="35" spans="1:18" s="449" customFormat="1" ht="21">
      <c r="A35" s="471"/>
      <c r="B35" s="472"/>
      <c r="C35" s="473"/>
      <c r="D35" s="474"/>
      <c r="E35" s="475"/>
      <c r="F35" s="534" t="s">
        <v>624</v>
      </c>
      <c r="G35" s="535"/>
      <c r="H35" s="535"/>
      <c r="I35" s="535"/>
      <c r="J35" s="535"/>
      <c r="K35" s="535"/>
      <c r="L35" s="535"/>
      <c r="M35" s="535"/>
      <c r="N35" s="535"/>
      <c r="O35" s="535"/>
      <c r="P35" s="535"/>
      <c r="Q35" s="536"/>
      <c r="R35" s="476"/>
    </row>
  </sheetData>
  <mergeCells count="13">
    <mergeCell ref="F31:Q31"/>
    <mergeCell ref="F35:Q35"/>
    <mergeCell ref="A4:A5"/>
    <mergeCell ref="B4:B5"/>
    <mergeCell ref="C4:E5"/>
    <mergeCell ref="F20:Q20"/>
    <mergeCell ref="F4:Q4"/>
    <mergeCell ref="F5:Q5"/>
    <mergeCell ref="A1:R1"/>
    <mergeCell ref="A2:R2"/>
    <mergeCell ref="A3:R3"/>
    <mergeCell ref="R4:R6"/>
    <mergeCell ref="F26:Q26"/>
  </mergeCells>
  <phoneticPr fontId="24" type="noConversion"/>
  <pageMargins left="0.19685039370078741" right="0.19685039370078741" top="0.59055118110236227" bottom="0.39370078740157483" header="0.31496062992125984" footer="0.31496062992125984"/>
  <pageSetup paperSize="9" scale="90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99339-B002-4D7E-94A2-06446C0C9A74}">
  <sheetPr>
    <tabColor rgb="FFFF0000"/>
  </sheetPr>
  <dimension ref="A1:H28"/>
  <sheetViews>
    <sheetView topLeftCell="A13" workbookViewId="0">
      <selection activeCell="B16" sqref="B16"/>
    </sheetView>
  </sheetViews>
  <sheetFormatPr defaultRowHeight="18.75"/>
  <cols>
    <col min="1" max="1" width="3.75" style="219" customWidth="1"/>
    <col min="2" max="2" width="33" style="221" bestFit="1" customWidth="1"/>
    <col min="3" max="3" width="3.875" style="221" bestFit="1" customWidth="1"/>
    <col min="4" max="4" width="11.375" style="221" bestFit="1" customWidth="1"/>
    <col min="5" max="5" width="13" style="221" bestFit="1" customWidth="1"/>
    <col min="6" max="6" width="11.375" style="221" bestFit="1" customWidth="1"/>
    <col min="7" max="7" width="13" style="221" bestFit="1" customWidth="1"/>
    <col min="8" max="16384" width="9" style="221"/>
  </cols>
  <sheetData>
    <row r="1" spans="1:8" ht="23.25">
      <c r="B1" s="551" t="s">
        <v>545</v>
      </c>
      <c r="C1" s="551"/>
      <c r="D1" s="551"/>
      <c r="E1" s="551"/>
      <c r="F1" s="551"/>
      <c r="G1" s="551"/>
    </row>
    <row r="2" spans="1:8" ht="23.25">
      <c r="B2" s="551" t="s">
        <v>0</v>
      </c>
      <c r="C2" s="551"/>
      <c r="D2" s="551"/>
      <c r="E2" s="551"/>
      <c r="F2" s="551"/>
      <c r="G2" s="551"/>
    </row>
    <row r="3" spans="1:8" ht="23.25">
      <c r="B3" s="551" t="s">
        <v>558</v>
      </c>
      <c r="C3" s="551"/>
      <c r="D3" s="551"/>
      <c r="E3" s="551"/>
      <c r="F3" s="551"/>
      <c r="G3" s="551"/>
    </row>
    <row r="4" spans="1:8" ht="23.25">
      <c r="A4" s="222" t="s">
        <v>546</v>
      </c>
      <c r="C4" s="220"/>
      <c r="D4" s="220"/>
      <c r="E4" s="220"/>
      <c r="F4" s="552"/>
      <c r="G4" s="552"/>
      <c r="H4" s="221" t="s">
        <v>564</v>
      </c>
    </row>
    <row r="5" spans="1:8" ht="21">
      <c r="A5" s="553" t="s">
        <v>547</v>
      </c>
      <c r="B5" s="554"/>
      <c r="C5" s="557" t="s">
        <v>548</v>
      </c>
      <c r="D5" s="558" t="s">
        <v>549</v>
      </c>
      <c r="E5" s="559"/>
      <c r="F5" s="558" t="s">
        <v>550</v>
      </c>
      <c r="G5" s="559"/>
    </row>
    <row r="6" spans="1:8" ht="21">
      <c r="A6" s="555"/>
      <c r="B6" s="556"/>
      <c r="C6" s="557"/>
      <c r="D6" s="223" t="s">
        <v>551</v>
      </c>
      <c r="E6" s="223" t="s">
        <v>552</v>
      </c>
      <c r="F6" s="223" t="s">
        <v>551</v>
      </c>
      <c r="G6" s="223" t="s">
        <v>552</v>
      </c>
    </row>
    <row r="7" spans="1:8" ht="21">
      <c r="A7" s="224">
        <v>1</v>
      </c>
      <c r="B7" s="225" t="s">
        <v>15</v>
      </c>
      <c r="C7" s="226"/>
      <c r="D7" s="226"/>
      <c r="E7" s="227"/>
      <c r="F7" s="226"/>
      <c r="G7" s="227"/>
    </row>
    <row r="8" spans="1:8" ht="21">
      <c r="A8" s="228"/>
      <c r="B8" s="229" t="s">
        <v>17</v>
      </c>
      <c r="C8" s="230">
        <v>400</v>
      </c>
      <c r="D8" s="230">
        <v>51</v>
      </c>
      <c r="E8" s="231">
        <v>72085</v>
      </c>
      <c r="F8" s="230"/>
      <c r="G8" s="231"/>
    </row>
    <row r="9" spans="1:8" ht="21">
      <c r="A9" s="228"/>
      <c r="B9" s="229" t="s">
        <v>77</v>
      </c>
      <c r="C9" s="230">
        <v>401</v>
      </c>
      <c r="D9" s="230">
        <v>34</v>
      </c>
      <c r="E9" s="231">
        <v>31630</v>
      </c>
      <c r="F9" s="230">
        <v>12</v>
      </c>
      <c r="G9" s="231">
        <v>36100</v>
      </c>
    </row>
    <row r="10" spans="1:8" ht="21">
      <c r="A10" s="228"/>
      <c r="B10" s="229" t="s">
        <v>135</v>
      </c>
      <c r="C10" s="230">
        <v>406</v>
      </c>
      <c r="D10" s="230">
        <v>39</v>
      </c>
      <c r="E10" s="231">
        <v>147135</v>
      </c>
      <c r="F10" s="230">
        <v>4</v>
      </c>
      <c r="G10" s="231">
        <v>17600</v>
      </c>
    </row>
    <row r="11" spans="1:8" ht="21">
      <c r="A11" s="228"/>
      <c r="B11" s="229" t="s">
        <v>211</v>
      </c>
      <c r="C11" s="230">
        <v>420</v>
      </c>
      <c r="D11" s="230">
        <v>11</v>
      </c>
      <c r="E11" s="231">
        <v>419865</v>
      </c>
      <c r="F11" s="230"/>
      <c r="G11" s="231"/>
    </row>
    <row r="12" spans="1:8" ht="21">
      <c r="A12" s="228"/>
      <c r="B12" s="229" t="s">
        <v>236</v>
      </c>
      <c r="C12" s="230">
        <v>432</v>
      </c>
      <c r="D12" s="230">
        <v>13</v>
      </c>
      <c r="E12" s="231">
        <v>17031.43</v>
      </c>
      <c r="F12" s="230">
        <v>3</v>
      </c>
      <c r="G12" s="231">
        <v>5100</v>
      </c>
    </row>
    <row r="13" spans="1:8" ht="21">
      <c r="A13" s="232">
        <v>2</v>
      </c>
      <c r="B13" s="233" t="s">
        <v>261</v>
      </c>
      <c r="C13" s="230"/>
      <c r="D13" s="230"/>
      <c r="E13" s="231"/>
      <c r="F13" s="230"/>
      <c r="G13" s="231"/>
    </row>
    <row r="14" spans="1:8" ht="21">
      <c r="A14" s="228"/>
      <c r="B14" s="229" t="s">
        <v>553</v>
      </c>
      <c r="C14" s="234" t="s">
        <v>262</v>
      </c>
      <c r="D14" s="230">
        <v>1</v>
      </c>
      <c r="E14" s="231">
        <v>2140</v>
      </c>
      <c r="F14" s="230"/>
      <c r="G14" s="231"/>
    </row>
    <row r="15" spans="1:8" ht="21">
      <c r="A15" s="228"/>
      <c r="B15" s="229" t="s">
        <v>650</v>
      </c>
      <c r="C15" s="578" t="s">
        <v>651</v>
      </c>
      <c r="D15" s="230">
        <v>1</v>
      </c>
      <c r="E15" s="231">
        <v>69550</v>
      </c>
      <c r="F15" s="230"/>
      <c r="G15" s="231"/>
    </row>
    <row r="16" spans="1:8" ht="21">
      <c r="A16" s="232">
        <v>3</v>
      </c>
      <c r="B16" s="233" t="s">
        <v>270</v>
      </c>
      <c r="C16" s="235"/>
      <c r="D16" s="230"/>
      <c r="E16" s="231"/>
      <c r="F16" s="230"/>
      <c r="G16" s="231"/>
    </row>
    <row r="17" spans="1:7" ht="21">
      <c r="A17" s="228"/>
      <c r="B17" s="229" t="s">
        <v>554</v>
      </c>
      <c r="C17" s="230">
        <v>464</v>
      </c>
      <c r="D17" s="230">
        <v>4</v>
      </c>
      <c r="E17" s="231">
        <v>16600</v>
      </c>
      <c r="F17" s="230"/>
      <c r="G17" s="231"/>
    </row>
    <row r="18" spans="1:7" ht="21">
      <c r="A18" s="232">
        <v>4</v>
      </c>
      <c r="B18" s="233" t="s">
        <v>281</v>
      </c>
      <c r="C18" s="234"/>
      <c r="D18" s="230"/>
      <c r="E18" s="231"/>
      <c r="F18" s="230"/>
      <c r="G18" s="231"/>
    </row>
    <row r="19" spans="1:7" ht="21">
      <c r="A19" s="228"/>
      <c r="B19" s="229" t="s">
        <v>555</v>
      </c>
      <c r="C19" s="234" t="s">
        <v>282</v>
      </c>
      <c r="D19" s="230">
        <v>1</v>
      </c>
      <c r="E19" s="231">
        <v>25680</v>
      </c>
      <c r="F19" s="230"/>
      <c r="G19" s="231"/>
    </row>
    <row r="20" spans="1:7" ht="21">
      <c r="A20" s="232">
        <v>6</v>
      </c>
      <c r="B20" s="233" t="s">
        <v>288</v>
      </c>
      <c r="C20" s="234"/>
      <c r="D20" s="230"/>
      <c r="E20" s="231"/>
      <c r="F20" s="230"/>
      <c r="G20" s="231"/>
    </row>
    <row r="21" spans="1:7" ht="21">
      <c r="A21" s="228"/>
      <c r="B21" s="229" t="s">
        <v>556</v>
      </c>
      <c r="C21" s="234" t="s">
        <v>289</v>
      </c>
      <c r="D21" s="230">
        <v>1</v>
      </c>
      <c r="E21" s="231">
        <v>3210</v>
      </c>
      <c r="F21" s="230"/>
      <c r="G21" s="231"/>
    </row>
    <row r="22" spans="1:7" ht="21">
      <c r="A22" s="228"/>
      <c r="B22" s="229" t="s">
        <v>297</v>
      </c>
      <c r="C22" s="234" t="s">
        <v>296</v>
      </c>
      <c r="D22" s="230">
        <v>3</v>
      </c>
      <c r="E22" s="231">
        <v>13350</v>
      </c>
      <c r="F22" s="230"/>
      <c r="G22" s="231"/>
    </row>
    <row r="23" spans="1:7" ht="21">
      <c r="A23" s="228"/>
      <c r="B23" s="229" t="s">
        <v>309</v>
      </c>
      <c r="C23" s="234" t="s">
        <v>308</v>
      </c>
      <c r="D23" s="230">
        <v>5</v>
      </c>
      <c r="E23" s="231">
        <v>470360</v>
      </c>
      <c r="F23" s="230"/>
      <c r="G23" s="231"/>
    </row>
    <row r="24" spans="1:7" ht="21">
      <c r="A24" s="228"/>
      <c r="B24" s="229" t="s">
        <v>326</v>
      </c>
      <c r="C24" s="234" t="s">
        <v>325</v>
      </c>
      <c r="D24" s="230">
        <v>5</v>
      </c>
      <c r="E24" s="231">
        <v>887000</v>
      </c>
      <c r="F24" s="230"/>
      <c r="G24" s="231"/>
    </row>
    <row r="25" spans="1:7" ht="21">
      <c r="A25" s="232">
        <v>7</v>
      </c>
      <c r="B25" s="233" t="s">
        <v>339</v>
      </c>
      <c r="C25" s="234" t="s">
        <v>340</v>
      </c>
      <c r="D25" s="230">
        <v>72</v>
      </c>
      <c r="E25" s="231">
        <v>1847424</v>
      </c>
      <c r="F25" s="230">
        <v>2</v>
      </c>
      <c r="G25" s="231">
        <v>9640</v>
      </c>
    </row>
    <row r="26" spans="1:7" ht="21">
      <c r="A26" s="236"/>
      <c r="B26" s="237"/>
      <c r="C26" s="238"/>
      <c r="D26" s="239"/>
      <c r="E26" s="240"/>
      <c r="F26" s="239"/>
      <c r="G26" s="240"/>
    </row>
    <row r="27" spans="1:7" ht="21">
      <c r="A27" s="549" t="s">
        <v>557</v>
      </c>
      <c r="B27" s="550"/>
      <c r="C27" s="241"/>
      <c r="D27" s="242">
        <f>SUM(D7:D26)</f>
        <v>241</v>
      </c>
      <c r="E27" s="243">
        <f>SUM(E7:E26)</f>
        <v>4023060.43</v>
      </c>
      <c r="F27" s="242">
        <f>SUM(F7:F26)</f>
        <v>21</v>
      </c>
      <c r="G27" s="243">
        <f>SUM(G7:G26)</f>
        <v>68440</v>
      </c>
    </row>
    <row r="28" spans="1:7">
      <c r="G28" s="244"/>
    </row>
  </sheetData>
  <mergeCells count="9">
    <mergeCell ref="A27:B27"/>
    <mergeCell ref="B1:G1"/>
    <mergeCell ref="B2:G2"/>
    <mergeCell ref="B3:G3"/>
    <mergeCell ref="F4:G4"/>
    <mergeCell ref="A5:B6"/>
    <mergeCell ref="C5:C6"/>
    <mergeCell ref="D5:E5"/>
    <mergeCell ref="F5:G5"/>
  </mergeCells>
  <pageMargins left="0.70866141732283472" right="0.31496062992125984" top="0.74803149606299213" bottom="0.74803149606299213" header="0.31496062992125984" footer="0.31496062992125984"/>
  <pageSetup paperSize="9" scale="95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44B1-1810-4764-9CAC-614A00AC0129}">
  <sheetPr>
    <tabColor theme="5" tint="0.39997558519241921"/>
  </sheetPr>
  <dimension ref="A1:O36"/>
  <sheetViews>
    <sheetView zoomScale="85" zoomScaleNormal="85" workbookViewId="0">
      <selection activeCell="B15" sqref="B15"/>
    </sheetView>
  </sheetViews>
  <sheetFormatPr defaultColWidth="9" defaultRowHeight="15.75"/>
  <cols>
    <col min="1" max="1" width="3.25" style="1" bestFit="1" customWidth="1"/>
    <col min="2" max="2" width="56.75" style="1" customWidth="1"/>
    <col min="3" max="3" width="3.125" style="1" bestFit="1" customWidth="1"/>
    <col min="4" max="4" width="2.375" style="1" bestFit="1" customWidth="1"/>
    <col min="5" max="5" width="5.375" style="1" bestFit="1" customWidth="1"/>
    <col min="6" max="6" width="7.125" style="1" bestFit="1" customWidth="1"/>
    <col min="7" max="7" width="8.125" style="1" bestFit="1" customWidth="1"/>
    <col min="8" max="8" width="13.125" style="1" bestFit="1" customWidth="1"/>
    <col min="9" max="9" width="3.125" style="1" customWidth="1"/>
    <col min="10" max="10" width="3.5" style="1" customWidth="1"/>
    <col min="11" max="11" width="3.875" style="1" customWidth="1"/>
    <col min="12" max="12" width="3.625" style="1" bestFit="1" customWidth="1"/>
    <col min="13" max="13" width="3.125" style="1" bestFit="1" customWidth="1"/>
    <col min="14" max="14" width="4.625" style="1" bestFit="1" customWidth="1"/>
    <col min="15" max="15" width="8.25" style="1" bestFit="1" customWidth="1"/>
    <col min="16" max="16384" width="9" style="1"/>
  </cols>
  <sheetData>
    <row r="1" spans="1:15" ht="21">
      <c r="A1" s="493" t="s">
        <v>559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493"/>
      <c r="M1" s="493"/>
      <c r="N1" s="493"/>
      <c r="O1" s="493"/>
    </row>
    <row r="2" spans="1:15" ht="21">
      <c r="A2" s="494" t="s">
        <v>0</v>
      </c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</row>
    <row r="3" spans="1:15">
      <c r="A3" s="495" t="s">
        <v>1</v>
      </c>
      <c r="B3" s="495" t="s">
        <v>492</v>
      </c>
      <c r="C3" s="497" t="s">
        <v>3</v>
      </c>
      <c r="D3" s="498"/>
      <c r="E3" s="499"/>
      <c r="F3" s="503" t="s">
        <v>4</v>
      </c>
      <c r="G3" s="504" t="s">
        <v>5</v>
      </c>
      <c r="H3" s="505" t="s">
        <v>6</v>
      </c>
      <c r="I3" s="506" t="s">
        <v>7</v>
      </c>
      <c r="J3" s="506"/>
      <c r="K3" s="506"/>
      <c r="L3" s="506"/>
      <c r="M3" s="506"/>
      <c r="N3" s="506"/>
      <c r="O3" s="507" t="s">
        <v>8</v>
      </c>
    </row>
    <row r="4" spans="1:15" ht="51" customHeight="1">
      <c r="A4" s="496"/>
      <c r="B4" s="496"/>
      <c r="C4" s="500"/>
      <c r="D4" s="501"/>
      <c r="E4" s="502"/>
      <c r="F4" s="503"/>
      <c r="G4" s="504"/>
      <c r="H4" s="505"/>
      <c r="I4" s="2" t="s">
        <v>9</v>
      </c>
      <c r="J4" s="168" t="s">
        <v>10</v>
      </c>
      <c r="K4" s="169" t="s">
        <v>11</v>
      </c>
      <c r="L4" s="169" t="s">
        <v>12</v>
      </c>
      <c r="M4" s="168" t="s">
        <v>13</v>
      </c>
      <c r="N4" s="168" t="s">
        <v>14</v>
      </c>
      <c r="O4" s="507"/>
    </row>
    <row r="5" spans="1:15">
      <c r="A5" s="170">
        <v>1</v>
      </c>
      <c r="B5" s="5" t="s">
        <v>15</v>
      </c>
      <c r="C5" s="171"/>
      <c r="D5" s="171"/>
      <c r="E5" s="172"/>
      <c r="F5" s="173"/>
      <c r="G5" s="174"/>
      <c r="H5" s="175"/>
      <c r="I5" s="176"/>
      <c r="J5" s="176"/>
      <c r="K5" s="177"/>
      <c r="L5" s="177"/>
      <c r="M5" s="176"/>
      <c r="N5" s="176"/>
      <c r="O5" s="172"/>
    </row>
    <row r="6" spans="1:15">
      <c r="A6" s="178" t="s">
        <v>76</v>
      </c>
      <c r="B6" s="179" t="s">
        <v>77</v>
      </c>
      <c r="C6" s="180"/>
      <c r="D6" s="181"/>
      <c r="E6" s="182"/>
      <c r="F6" s="183"/>
      <c r="G6" s="184"/>
      <c r="H6" s="185"/>
      <c r="I6" s="186"/>
      <c r="J6" s="187"/>
      <c r="K6" s="187"/>
      <c r="L6" s="188"/>
      <c r="M6" s="188"/>
      <c r="N6" s="187"/>
      <c r="O6" s="189"/>
    </row>
    <row r="7" spans="1:15">
      <c r="A7" s="25">
        <v>1</v>
      </c>
      <c r="B7" s="59" t="s">
        <v>493</v>
      </c>
      <c r="C7" s="15" t="s">
        <v>76</v>
      </c>
      <c r="D7" s="16">
        <v>54</v>
      </c>
      <c r="E7" s="29" t="s">
        <v>494</v>
      </c>
      <c r="F7" s="18" t="s">
        <v>495</v>
      </c>
      <c r="G7" s="190">
        <v>4200</v>
      </c>
      <c r="H7" s="20" t="s">
        <v>26</v>
      </c>
      <c r="I7" s="33">
        <v>1</v>
      </c>
      <c r="J7" s="62"/>
      <c r="K7" s="62"/>
      <c r="L7" s="62"/>
      <c r="M7" s="62"/>
      <c r="N7" s="62"/>
      <c r="O7" s="37" t="s">
        <v>358</v>
      </c>
    </row>
    <row r="8" spans="1:15">
      <c r="A8" s="25">
        <v>2</v>
      </c>
      <c r="B8" s="59" t="s">
        <v>496</v>
      </c>
      <c r="C8" s="15" t="s">
        <v>76</v>
      </c>
      <c r="D8" s="16">
        <v>55</v>
      </c>
      <c r="E8" s="29" t="s">
        <v>497</v>
      </c>
      <c r="F8" s="18" t="s">
        <v>498</v>
      </c>
      <c r="G8" s="190">
        <v>4500</v>
      </c>
      <c r="H8" s="20" t="s">
        <v>26</v>
      </c>
      <c r="I8" s="33">
        <v>1</v>
      </c>
      <c r="J8" s="62"/>
      <c r="K8" s="62"/>
      <c r="L8" s="62"/>
      <c r="M8" s="62"/>
      <c r="N8" s="62"/>
      <c r="O8" s="37" t="s">
        <v>468</v>
      </c>
    </row>
    <row r="9" spans="1:15">
      <c r="A9" s="25">
        <v>3</v>
      </c>
      <c r="B9" s="59" t="s">
        <v>499</v>
      </c>
      <c r="C9" s="15" t="s">
        <v>76</v>
      </c>
      <c r="D9" s="16">
        <v>55</v>
      </c>
      <c r="E9" s="29" t="s">
        <v>500</v>
      </c>
      <c r="F9" s="18" t="s">
        <v>501</v>
      </c>
      <c r="G9" s="190">
        <v>4000</v>
      </c>
      <c r="H9" s="20" t="s">
        <v>26</v>
      </c>
      <c r="I9" s="33">
        <v>1</v>
      </c>
      <c r="J9" s="62"/>
      <c r="K9" s="62"/>
      <c r="L9" s="62"/>
      <c r="M9" s="62"/>
      <c r="N9" s="62"/>
      <c r="O9" s="37"/>
    </row>
    <row r="10" spans="1:15">
      <c r="A10" s="25">
        <v>4</v>
      </c>
      <c r="B10" s="59" t="s">
        <v>499</v>
      </c>
      <c r="C10" s="15" t="s">
        <v>76</v>
      </c>
      <c r="D10" s="16">
        <v>55</v>
      </c>
      <c r="E10" s="29" t="s">
        <v>502</v>
      </c>
      <c r="F10" s="18" t="s">
        <v>501</v>
      </c>
      <c r="G10" s="190">
        <v>4000</v>
      </c>
      <c r="H10" s="20" t="s">
        <v>26</v>
      </c>
      <c r="I10" s="33">
        <v>1</v>
      </c>
      <c r="J10" s="62"/>
      <c r="K10" s="62"/>
      <c r="L10" s="62"/>
      <c r="M10" s="62"/>
      <c r="N10" s="62"/>
      <c r="O10" s="37" t="s">
        <v>387</v>
      </c>
    </row>
    <row r="11" spans="1:15">
      <c r="A11" s="25">
        <v>5</v>
      </c>
      <c r="B11" s="59" t="s">
        <v>503</v>
      </c>
      <c r="C11" s="15" t="s">
        <v>76</v>
      </c>
      <c r="D11" s="16">
        <v>56</v>
      </c>
      <c r="E11" s="29" t="s">
        <v>504</v>
      </c>
      <c r="F11" s="18" t="s">
        <v>505</v>
      </c>
      <c r="G11" s="190">
        <v>2500</v>
      </c>
      <c r="H11" s="20" t="s">
        <v>26</v>
      </c>
      <c r="I11" s="33">
        <v>1</v>
      </c>
      <c r="J11" s="62"/>
      <c r="K11" s="62"/>
      <c r="L11" s="62"/>
      <c r="M11" s="62"/>
      <c r="N11" s="62"/>
      <c r="O11" s="37" t="s">
        <v>442</v>
      </c>
    </row>
    <row r="12" spans="1:15">
      <c r="A12" s="25">
        <v>6</v>
      </c>
      <c r="B12" s="59" t="s">
        <v>503</v>
      </c>
      <c r="C12" s="15" t="s">
        <v>76</v>
      </c>
      <c r="D12" s="16">
        <v>56</v>
      </c>
      <c r="E12" s="29" t="s">
        <v>506</v>
      </c>
      <c r="F12" s="18" t="s">
        <v>505</v>
      </c>
      <c r="G12" s="190">
        <v>2500</v>
      </c>
      <c r="H12" s="20" t="s">
        <v>26</v>
      </c>
      <c r="I12" s="33">
        <v>1</v>
      </c>
      <c r="J12" s="62"/>
      <c r="K12" s="62"/>
      <c r="L12" s="62"/>
      <c r="M12" s="62"/>
      <c r="N12" s="62"/>
      <c r="O12" s="37" t="s">
        <v>377</v>
      </c>
    </row>
    <row r="13" spans="1:15">
      <c r="A13" s="25">
        <v>7</v>
      </c>
      <c r="B13" s="59" t="s">
        <v>507</v>
      </c>
      <c r="C13" s="15" t="s">
        <v>76</v>
      </c>
      <c r="D13" s="16">
        <v>57</v>
      </c>
      <c r="E13" s="29" t="s">
        <v>508</v>
      </c>
      <c r="F13" s="18" t="s">
        <v>509</v>
      </c>
      <c r="G13" s="190">
        <v>1900</v>
      </c>
      <c r="H13" s="20" t="s">
        <v>26</v>
      </c>
      <c r="I13" s="33">
        <v>1</v>
      </c>
      <c r="J13" s="62"/>
      <c r="K13" s="62"/>
      <c r="L13" s="62"/>
      <c r="M13" s="62"/>
      <c r="N13" s="62"/>
      <c r="O13" s="37" t="s">
        <v>470</v>
      </c>
    </row>
    <row r="14" spans="1:15">
      <c r="A14" s="25">
        <v>8</v>
      </c>
      <c r="B14" s="59" t="s">
        <v>510</v>
      </c>
      <c r="C14" s="15" t="s">
        <v>76</v>
      </c>
      <c r="D14" s="16">
        <v>57</v>
      </c>
      <c r="E14" s="29" t="s">
        <v>511</v>
      </c>
      <c r="F14" s="18" t="s">
        <v>512</v>
      </c>
      <c r="G14" s="190">
        <v>2500</v>
      </c>
      <c r="H14" s="20" t="s">
        <v>26</v>
      </c>
      <c r="I14" s="33">
        <v>1</v>
      </c>
      <c r="J14" s="62"/>
      <c r="K14" s="62"/>
      <c r="L14" s="62"/>
      <c r="M14" s="62"/>
      <c r="N14" s="62"/>
      <c r="O14" s="37"/>
    </row>
    <row r="15" spans="1:15">
      <c r="A15" s="25">
        <v>9</v>
      </c>
      <c r="B15" s="59" t="s">
        <v>510</v>
      </c>
      <c r="C15" s="15" t="s">
        <v>76</v>
      </c>
      <c r="D15" s="16">
        <v>57</v>
      </c>
      <c r="E15" s="29" t="s">
        <v>513</v>
      </c>
      <c r="F15" s="18" t="s">
        <v>512</v>
      </c>
      <c r="G15" s="190">
        <v>2500</v>
      </c>
      <c r="H15" s="20" t="s">
        <v>26</v>
      </c>
      <c r="I15" s="33">
        <v>1</v>
      </c>
      <c r="J15" s="62"/>
      <c r="K15" s="62"/>
      <c r="L15" s="62"/>
      <c r="M15" s="62"/>
      <c r="N15" s="62"/>
      <c r="O15" s="37" t="s">
        <v>405</v>
      </c>
    </row>
    <row r="16" spans="1:15">
      <c r="A16" s="25">
        <v>10</v>
      </c>
      <c r="B16" s="59" t="s">
        <v>510</v>
      </c>
      <c r="C16" s="15" t="s">
        <v>76</v>
      </c>
      <c r="D16" s="16">
        <v>57</v>
      </c>
      <c r="E16" s="29" t="s">
        <v>514</v>
      </c>
      <c r="F16" s="18" t="s">
        <v>512</v>
      </c>
      <c r="G16" s="190">
        <v>2500</v>
      </c>
      <c r="H16" s="20" t="s">
        <v>26</v>
      </c>
      <c r="I16" s="33">
        <v>1</v>
      </c>
      <c r="J16" s="62"/>
      <c r="K16" s="62"/>
      <c r="L16" s="62"/>
      <c r="M16" s="62"/>
      <c r="N16" s="62"/>
      <c r="O16" s="37" t="s">
        <v>431</v>
      </c>
    </row>
    <row r="17" spans="1:15">
      <c r="A17" s="25">
        <v>11</v>
      </c>
      <c r="B17" s="59" t="s">
        <v>510</v>
      </c>
      <c r="C17" s="15" t="s">
        <v>76</v>
      </c>
      <c r="D17" s="16">
        <v>57</v>
      </c>
      <c r="E17" s="29" t="s">
        <v>515</v>
      </c>
      <c r="F17" s="18" t="s">
        <v>512</v>
      </c>
      <c r="G17" s="190">
        <v>2500</v>
      </c>
      <c r="H17" s="20" t="s">
        <v>26</v>
      </c>
      <c r="I17" s="33">
        <v>1</v>
      </c>
      <c r="J17" s="62"/>
      <c r="K17" s="62"/>
      <c r="L17" s="62"/>
      <c r="M17" s="62"/>
      <c r="N17" s="62"/>
      <c r="O17" s="37"/>
    </row>
    <row r="18" spans="1:15">
      <c r="A18" s="25">
        <v>12</v>
      </c>
      <c r="B18" s="59" t="s">
        <v>516</v>
      </c>
      <c r="C18" s="15" t="s">
        <v>76</v>
      </c>
      <c r="D18" s="16">
        <v>58</v>
      </c>
      <c r="E18" s="29" t="s">
        <v>517</v>
      </c>
      <c r="F18" s="18" t="s">
        <v>518</v>
      </c>
      <c r="G18" s="191">
        <v>2500</v>
      </c>
      <c r="H18" s="20" t="s">
        <v>26</v>
      </c>
      <c r="I18" s="33">
        <v>1</v>
      </c>
      <c r="J18" s="62"/>
      <c r="K18" s="62"/>
      <c r="L18" s="62"/>
      <c r="M18" s="62"/>
      <c r="N18" s="62"/>
      <c r="O18" s="37"/>
    </row>
    <row r="19" spans="1:15" ht="16.5" thickBot="1">
      <c r="A19" s="25"/>
      <c r="B19" s="39" t="s">
        <v>133</v>
      </c>
      <c r="C19" s="15"/>
      <c r="D19" s="16"/>
      <c r="E19" s="29"/>
      <c r="F19" s="18"/>
      <c r="G19" s="192">
        <f>SUM(G7:G18)</f>
        <v>36100</v>
      </c>
      <c r="H19" s="20"/>
      <c r="I19" s="193"/>
      <c r="J19" s="62"/>
      <c r="K19" s="62"/>
      <c r="L19" s="62"/>
      <c r="M19" s="62"/>
      <c r="N19" s="62"/>
      <c r="O19" s="37"/>
    </row>
    <row r="20" spans="1:15" ht="16.5" thickTop="1">
      <c r="A20" s="13" t="s">
        <v>134</v>
      </c>
      <c r="B20" s="14" t="s">
        <v>135</v>
      </c>
      <c r="C20" s="15"/>
      <c r="D20" s="16"/>
      <c r="E20" s="29"/>
      <c r="F20" s="18"/>
      <c r="G20" s="194"/>
      <c r="H20" s="20"/>
      <c r="I20" s="193"/>
      <c r="J20" s="62"/>
      <c r="K20" s="62"/>
      <c r="L20" s="62"/>
      <c r="M20" s="62"/>
      <c r="N20" s="62"/>
      <c r="O20" s="37"/>
    </row>
    <row r="21" spans="1:15">
      <c r="A21" s="84">
        <v>1</v>
      </c>
      <c r="B21" s="65" t="s">
        <v>519</v>
      </c>
      <c r="C21" s="66" t="s">
        <v>134</v>
      </c>
      <c r="D21" s="67" t="s">
        <v>520</v>
      </c>
      <c r="E21" s="68" t="s">
        <v>521</v>
      </c>
      <c r="F21" s="85" t="s">
        <v>495</v>
      </c>
      <c r="G21" s="195">
        <v>4900</v>
      </c>
      <c r="H21" s="196" t="s">
        <v>26</v>
      </c>
      <c r="I21" s="33">
        <v>1</v>
      </c>
      <c r="J21" s="70"/>
      <c r="K21" s="70"/>
      <c r="L21" s="70"/>
      <c r="M21" s="70"/>
      <c r="N21" s="70"/>
      <c r="O21" s="197" t="s">
        <v>470</v>
      </c>
    </row>
    <row r="22" spans="1:15">
      <c r="A22" s="84">
        <v>2</v>
      </c>
      <c r="B22" s="65" t="s">
        <v>522</v>
      </c>
      <c r="C22" s="66" t="s">
        <v>134</v>
      </c>
      <c r="D22" s="67" t="s">
        <v>520</v>
      </c>
      <c r="E22" s="68" t="s">
        <v>523</v>
      </c>
      <c r="F22" s="85" t="s">
        <v>495</v>
      </c>
      <c r="G22" s="195">
        <v>4900</v>
      </c>
      <c r="H22" s="196" t="s">
        <v>26</v>
      </c>
      <c r="I22" s="33">
        <v>1</v>
      </c>
      <c r="J22" s="70"/>
      <c r="K22" s="70"/>
      <c r="L22" s="70"/>
      <c r="M22" s="70"/>
      <c r="N22" s="70"/>
      <c r="O22" s="197" t="s">
        <v>421</v>
      </c>
    </row>
    <row r="23" spans="1:15">
      <c r="A23" s="84">
        <v>3</v>
      </c>
      <c r="B23" s="65" t="s">
        <v>524</v>
      </c>
      <c r="C23" s="66" t="s">
        <v>134</v>
      </c>
      <c r="D23" s="67" t="s">
        <v>525</v>
      </c>
      <c r="E23" s="68" t="s">
        <v>526</v>
      </c>
      <c r="F23" s="85" t="s">
        <v>527</v>
      </c>
      <c r="G23" s="195">
        <v>3900</v>
      </c>
      <c r="H23" s="196" t="s">
        <v>26</v>
      </c>
      <c r="I23" s="33">
        <v>1</v>
      </c>
      <c r="J23" s="70"/>
      <c r="K23" s="70"/>
      <c r="L23" s="70"/>
      <c r="M23" s="70"/>
      <c r="N23" s="70"/>
      <c r="O23" s="197" t="s">
        <v>596</v>
      </c>
    </row>
    <row r="24" spans="1:15">
      <c r="A24" s="84">
        <v>4</v>
      </c>
      <c r="B24" s="65" t="s">
        <v>524</v>
      </c>
      <c r="C24" s="66" t="s">
        <v>134</v>
      </c>
      <c r="D24" s="67" t="s">
        <v>525</v>
      </c>
      <c r="E24" s="68" t="s">
        <v>528</v>
      </c>
      <c r="F24" s="85" t="s">
        <v>527</v>
      </c>
      <c r="G24" s="198">
        <v>3900</v>
      </c>
      <c r="H24" s="196" t="s">
        <v>26</v>
      </c>
      <c r="I24" s="33">
        <v>1</v>
      </c>
      <c r="J24" s="70"/>
      <c r="K24" s="70"/>
      <c r="L24" s="70"/>
      <c r="M24" s="70"/>
      <c r="N24" s="70"/>
      <c r="O24" s="197" t="s">
        <v>345</v>
      </c>
    </row>
    <row r="25" spans="1:15" ht="16.5" thickBot="1">
      <c r="A25" s="84"/>
      <c r="B25" s="39" t="s">
        <v>209</v>
      </c>
      <c r="C25" s="66"/>
      <c r="D25" s="67"/>
      <c r="E25" s="68"/>
      <c r="F25" s="85"/>
      <c r="G25" s="199">
        <f>SUM(G21:G24)</f>
        <v>17600</v>
      </c>
      <c r="H25" s="196"/>
      <c r="I25" s="193"/>
      <c r="J25" s="70"/>
      <c r="K25" s="70"/>
      <c r="L25" s="70"/>
      <c r="M25" s="70"/>
      <c r="N25" s="70"/>
      <c r="O25" s="197"/>
    </row>
    <row r="26" spans="1:15" ht="16.5" thickTop="1">
      <c r="A26" s="13" t="s">
        <v>235</v>
      </c>
      <c r="B26" s="14" t="s">
        <v>236</v>
      </c>
      <c r="C26" s="115"/>
      <c r="D26" s="116"/>
      <c r="E26" s="117"/>
      <c r="F26" s="118"/>
      <c r="G26" s="200"/>
      <c r="H26" s="196"/>
      <c r="I26" s="193"/>
      <c r="J26" s="120"/>
      <c r="K26" s="120"/>
      <c r="L26" s="120"/>
      <c r="M26" s="120"/>
      <c r="N26" s="120"/>
      <c r="O26" s="201"/>
    </row>
    <row r="27" spans="1:15">
      <c r="A27" s="25">
        <v>1</v>
      </c>
      <c r="B27" s="37" t="s">
        <v>529</v>
      </c>
      <c r="C27" s="15" t="s">
        <v>235</v>
      </c>
      <c r="D27" s="16">
        <v>52</v>
      </c>
      <c r="E27" s="29" t="s">
        <v>530</v>
      </c>
      <c r="F27" s="18" t="s">
        <v>531</v>
      </c>
      <c r="G27" s="21">
        <v>1700</v>
      </c>
      <c r="H27" s="20" t="s">
        <v>26</v>
      </c>
      <c r="I27" s="33">
        <v>1</v>
      </c>
      <c r="J27" s="22"/>
      <c r="K27" s="22"/>
      <c r="L27" s="22"/>
      <c r="M27" s="22"/>
      <c r="N27" s="22"/>
      <c r="O27" s="37" t="s">
        <v>532</v>
      </c>
    </row>
    <row r="28" spans="1:15">
      <c r="A28" s="25">
        <v>2</v>
      </c>
      <c r="B28" s="37" t="s">
        <v>533</v>
      </c>
      <c r="C28" s="15" t="s">
        <v>235</v>
      </c>
      <c r="D28" s="16">
        <v>52</v>
      </c>
      <c r="E28" s="29" t="s">
        <v>534</v>
      </c>
      <c r="F28" s="18" t="s">
        <v>531</v>
      </c>
      <c r="G28" s="21">
        <v>1700</v>
      </c>
      <c r="H28" s="20" t="s">
        <v>26</v>
      </c>
      <c r="I28" s="33">
        <v>1</v>
      </c>
      <c r="J28" s="22"/>
      <c r="K28" s="22"/>
      <c r="L28" s="22"/>
      <c r="M28" s="22"/>
      <c r="N28" s="22"/>
      <c r="O28" s="37" t="s">
        <v>535</v>
      </c>
    </row>
    <row r="29" spans="1:15">
      <c r="A29" s="25">
        <v>3</v>
      </c>
      <c r="B29" s="37" t="s">
        <v>536</v>
      </c>
      <c r="C29" s="15" t="s">
        <v>235</v>
      </c>
      <c r="D29" s="16">
        <v>52</v>
      </c>
      <c r="E29" s="29" t="s">
        <v>537</v>
      </c>
      <c r="F29" s="18" t="s">
        <v>531</v>
      </c>
      <c r="G29" s="202">
        <v>1700</v>
      </c>
      <c r="H29" s="20" t="s">
        <v>26</v>
      </c>
      <c r="I29" s="33">
        <v>1</v>
      </c>
      <c r="J29" s="22"/>
      <c r="K29" s="22"/>
      <c r="L29" s="22"/>
      <c r="M29" s="22"/>
      <c r="N29" s="22"/>
      <c r="O29" s="37" t="s">
        <v>538</v>
      </c>
    </row>
    <row r="30" spans="1:15" ht="16.5" thickBot="1">
      <c r="A30" s="25"/>
      <c r="B30" s="39" t="s">
        <v>260</v>
      </c>
      <c r="C30" s="15"/>
      <c r="D30" s="16"/>
      <c r="E30" s="29"/>
      <c r="F30" s="18"/>
      <c r="G30" s="203">
        <f>SUM(G27:G29)</f>
        <v>5100</v>
      </c>
      <c r="H30" s="20"/>
      <c r="I30" s="193"/>
      <c r="J30" s="22"/>
      <c r="K30" s="22"/>
      <c r="L30" s="22"/>
      <c r="M30" s="22"/>
      <c r="N30" s="22"/>
      <c r="O30" s="37"/>
    </row>
    <row r="31" spans="1:15" ht="16.5" thickTop="1">
      <c r="A31" s="170">
        <v>2</v>
      </c>
      <c r="B31" s="5" t="s">
        <v>339</v>
      </c>
      <c r="C31" s="171"/>
      <c r="D31" s="171"/>
      <c r="E31" s="172"/>
      <c r="F31" s="173"/>
      <c r="G31" s="174"/>
      <c r="H31" s="175"/>
      <c r="I31" s="176"/>
      <c r="J31" s="176"/>
      <c r="K31" s="177"/>
      <c r="L31" s="177"/>
      <c r="M31" s="176"/>
      <c r="N31" s="176"/>
      <c r="O31" s="172"/>
    </row>
    <row r="32" spans="1:15">
      <c r="A32" s="13" t="s">
        <v>340</v>
      </c>
      <c r="B32" s="14" t="s">
        <v>341</v>
      </c>
      <c r="C32" s="66"/>
      <c r="D32" s="67"/>
      <c r="E32" s="68"/>
      <c r="F32" s="85"/>
      <c r="G32" s="204"/>
      <c r="H32" s="196"/>
      <c r="I32" s="193"/>
      <c r="J32" s="70"/>
      <c r="K32" s="70"/>
      <c r="L32" s="70"/>
      <c r="M32" s="70"/>
      <c r="N32" s="70"/>
      <c r="O32" s="197"/>
    </row>
    <row r="33" spans="1:15">
      <c r="A33" s="205">
        <v>1</v>
      </c>
      <c r="B33" s="59" t="s">
        <v>539</v>
      </c>
      <c r="C33" s="115" t="s">
        <v>340</v>
      </c>
      <c r="D33" s="116" t="s">
        <v>520</v>
      </c>
      <c r="E33" s="117" t="s">
        <v>540</v>
      </c>
      <c r="F33" s="118" t="s">
        <v>541</v>
      </c>
      <c r="G33" s="206">
        <v>4650</v>
      </c>
      <c r="H33" s="196" t="s">
        <v>26</v>
      </c>
      <c r="I33" s="33">
        <v>1</v>
      </c>
      <c r="J33" s="120"/>
      <c r="K33" s="120"/>
      <c r="L33" s="120"/>
      <c r="M33" s="120"/>
      <c r="N33" s="120"/>
      <c r="O33" s="201" t="s">
        <v>387</v>
      </c>
    </row>
    <row r="34" spans="1:15">
      <c r="A34" s="205">
        <v>2</v>
      </c>
      <c r="B34" s="59" t="s">
        <v>542</v>
      </c>
      <c r="C34" s="115" t="s">
        <v>340</v>
      </c>
      <c r="D34" s="116" t="s">
        <v>543</v>
      </c>
      <c r="E34" s="117" t="s">
        <v>544</v>
      </c>
      <c r="F34" s="118" t="s">
        <v>531</v>
      </c>
      <c r="G34" s="207">
        <v>4990</v>
      </c>
      <c r="H34" s="196" t="s">
        <v>26</v>
      </c>
      <c r="I34" s="33">
        <v>1</v>
      </c>
      <c r="J34" s="120"/>
      <c r="K34" s="120"/>
      <c r="L34" s="120"/>
      <c r="M34" s="120"/>
      <c r="N34" s="120"/>
      <c r="O34" s="201" t="s">
        <v>387</v>
      </c>
    </row>
    <row r="35" spans="1:15" ht="16.5" thickBot="1">
      <c r="A35" s="205"/>
      <c r="B35" s="39" t="s">
        <v>465</v>
      </c>
      <c r="C35" s="115"/>
      <c r="D35" s="116"/>
      <c r="E35" s="117"/>
      <c r="F35" s="118"/>
      <c r="G35" s="208">
        <f>SUM(G33:G34)</f>
        <v>9640</v>
      </c>
      <c r="H35" s="196"/>
      <c r="I35" s="193"/>
      <c r="J35" s="120"/>
      <c r="K35" s="120"/>
      <c r="L35" s="120"/>
      <c r="M35" s="120"/>
      <c r="N35" s="120"/>
      <c r="O35" s="201"/>
    </row>
    <row r="36" spans="1:15" ht="17.25" thickTop="1" thickBot="1">
      <c r="A36" s="209"/>
      <c r="B36" s="210" t="s">
        <v>466</v>
      </c>
      <c r="C36" s="211"/>
      <c r="D36" s="212"/>
      <c r="E36" s="213"/>
      <c r="F36" s="214"/>
      <c r="G36" s="215">
        <f>SUM(G19,G25,G30,G35)</f>
        <v>68440</v>
      </c>
      <c r="H36" s="216"/>
      <c r="I36" s="217">
        <f>SUM(I7:I34)</f>
        <v>21</v>
      </c>
      <c r="J36" s="217"/>
      <c r="K36" s="217"/>
      <c r="L36" s="217"/>
      <c r="M36" s="217"/>
      <c r="N36" s="217"/>
      <c r="O36" s="218"/>
    </row>
  </sheetData>
  <mergeCells count="10">
    <mergeCell ref="A1:O1"/>
    <mergeCell ref="A2:O2"/>
    <mergeCell ref="A3:A4"/>
    <mergeCell ref="B3:B4"/>
    <mergeCell ref="C3:E4"/>
    <mergeCell ref="F3:F4"/>
    <mergeCell ref="G3:G4"/>
    <mergeCell ref="H3:H4"/>
    <mergeCell ref="I3:N3"/>
    <mergeCell ref="O3:O4"/>
  </mergeCells>
  <pageMargins left="0.39370078740157483" right="0.39370078740157483" top="0.74803149606299213" bottom="0.39370078740157483" header="0.31496062992125984" footer="0.31496062992125984"/>
  <pageSetup paperSize="9" orientation="landscape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54A76-9E0B-4F07-A400-BA66F09FA72B}">
  <sheetPr>
    <tabColor theme="8" tint="-0.249977111117893"/>
  </sheetPr>
  <dimension ref="A1:O282"/>
  <sheetViews>
    <sheetView tabSelected="1" topLeftCell="A174" zoomScale="85" zoomScaleNormal="85" workbookViewId="0">
      <selection activeCell="B187" sqref="B187"/>
    </sheetView>
  </sheetViews>
  <sheetFormatPr defaultColWidth="9" defaultRowHeight="15.75"/>
  <cols>
    <col min="1" max="1" width="3.25" style="1" bestFit="1" customWidth="1"/>
    <col min="2" max="2" width="50.5" style="1" customWidth="1"/>
    <col min="3" max="3" width="3.125" style="1" bestFit="1" customWidth="1"/>
    <col min="4" max="4" width="2.75" style="1" bestFit="1" customWidth="1"/>
    <col min="5" max="5" width="3.875" style="1" bestFit="1" customWidth="1"/>
    <col min="6" max="6" width="7.125" style="1" bestFit="1" customWidth="1"/>
    <col min="7" max="7" width="10.75" style="1" bestFit="1" customWidth="1"/>
    <col min="8" max="8" width="11.125" style="1" bestFit="1" customWidth="1"/>
    <col min="9" max="9" width="6.125" style="1" bestFit="1" customWidth="1"/>
    <col min="10" max="10" width="4.125" style="1" customWidth="1"/>
    <col min="11" max="11" width="4.375" style="1" bestFit="1" customWidth="1"/>
    <col min="12" max="13" width="3.875" style="1" bestFit="1" customWidth="1"/>
    <col min="14" max="14" width="4.375" style="1" bestFit="1" customWidth="1"/>
    <col min="15" max="15" width="10.5" style="1" customWidth="1"/>
    <col min="16" max="16384" width="9" style="1"/>
  </cols>
  <sheetData>
    <row r="1" spans="1:15" ht="21">
      <c r="A1" s="563" t="s">
        <v>467</v>
      </c>
      <c r="B1" s="563"/>
      <c r="C1" s="563"/>
      <c r="D1" s="563"/>
      <c r="E1" s="563"/>
      <c r="F1" s="563"/>
      <c r="G1" s="563"/>
      <c r="H1" s="563"/>
      <c r="I1" s="563"/>
      <c r="J1" s="563"/>
      <c r="K1" s="563"/>
      <c r="L1" s="563"/>
      <c r="M1" s="563"/>
      <c r="N1" s="563"/>
      <c r="O1" s="563"/>
    </row>
    <row r="2" spans="1:15" ht="21">
      <c r="A2" s="564" t="s">
        <v>0</v>
      </c>
      <c r="B2" s="564"/>
      <c r="C2" s="564"/>
      <c r="D2" s="564"/>
      <c r="E2" s="564"/>
      <c r="F2" s="564"/>
      <c r="G2" s="564"/>
      <c r="H2" s="564"/>
      <c r="I2" s="564"/>
      <c r="J2" s="564"/>
      <c r="K2" s="564"/>
      <c r="L2" s="564"/>
      <c r="M2" s="564"/>
      <c r="N2" s="564"/>
      <c r="O2" s="564"/>
    </row>
    <row r="3" spans="1:15">
      <c r="A3" s="565" t="s">
        <v>1</v>
      </c>
      <c r="B3" s="565" t="s">
        <v>2</v>
      </c>
      <c r="C3" s="567" t="s">
        <v>3</v>
      </c>
      <c r="D3" s="568"/>
      <c r="E3" s="569"/>
      <c r="F3" s="573" t="s">
        <v>4</v>
      </c>
      <c r="G3" s="574" t="s">
        <v>5</v>
      </c>
      <c r="H3" s="575" t="s">
        <v>6</v>
      </c>
      <c r="I3" s="576" t="s">
        <v>7</v>
      </c>
      <c r="J3" s="576"/>
      <c r="K3" s="576"/>
      <c r="L3" s="576"/>
      <c r="M3" s="576"/>
      <c r="N3" s="576"/>
      <c r="O3" s="577" t="s">
        <v>8</v>
      </c>
    </row>
    <row r="4" spans="1:15" ht="51" customHeight="1">
      <c r="A4" s="566"/>
      <c r="B4" s="566"/>
      <c r="C4" s="570"/>
      <c r="D4" s="571"/>
      <c r="E4" s="572"/>
      <c r="F4" s="573"/>
      <c r="G4" s="574"/>
      <c r="H4" s="575"/>
      <c r="I4" s="477" t="s">
        <v>9</v>
      </c>
      <c r="J4" s="477" t="s">
        <v>10</v>
      </c>
      <c r="K4" s="478" t="s">
        <v>11</v>
      </c>
      <c r="L4" s="478" t="s">
        <v>12</v>
      </c>
      <c r="M4" s="477" t="s">
        <v>13</v>
      </c>
      <c r="N4" s="477" t="s">
        <v>14</v>
      </c>
      <c r="O4" s="577"/>
    </row>
    <row r="5" spans="1:15">
      <c r="A5" s="479">
        <v>1</v>
      </c>
      <c r="B5" s="480" t="s">
        <v>15</v>
      </c>
      <c r="C5" s="481"/>
      <c r="D5" s="481"/>
      <c r="E5" s="482"/>
      <c r="F5" s="483"/>
      <c r="G5" s="484"/>
      <c r="H5" s="485"/>
      <c r="I5" s="486"/>
      <c r="J5" s="486"/>
      <c r="K5" s="487"/>
      <c r="L5" s="487"/>
      <c r="M5" s="486"/>
      <c r="N5" s="486"/>
      <c r="O5" s="482"/>
    </row>
    <row r="6" spans="1:15">
      <c r="A6" s="380" t="s">
        <v>16</v>
      </c>
      <c r="B6" s="381" t="s">
        <v>17</v>
      </c>
      <c r="C6" s="382"/>
      <c r="D6" s="383"/>
      <c r="E6" s="488"/>
      <c r="F6" s="260"/>
      <c r="G6" s="384"/>
      <c r="H6" s="388"/>
      <c r="I6" s="259"/>
      <c r="J6" s="386"/>
      <c r="K6" s="386"/>
      <c r="L6" s="386"/>
      <c r="M6" s="386"/>
      <c r="N6" s="386"/>
      <c r="O6" s="387"/>
    </row>
    <row r="7" spans="1:15">
      <c r="A7" s="265">
        <v>1</v>
      </c>
      <c r="B7" s="251" t="s">
        <v>18</v>
      </c>
      <c r="C7" s="252">
        <v>400</v>
      </c>
      <c r="D7" s="253">
        <v>19</v>
      </c>
      <c r="E7" s="254" t="s">
        <v>19</v>
      </c>
      <c r="F7" s="255" t="s">
        <v>20</v>
      </c>
      <c r="G7" s="256"/>
      <c r="H7" s="257" t="s">
        <v>21</v>
      </c>
      <c r="I7" s="273">
        <v>1</v>
      </c>
      <c r="J7" s="386"/>
      <c r="K7" s="386"/>
      <c r="L7" s="386"/>
      <c r="M7" s="386"/>
      <c r="N7" s="386"/>
      <c r="O7" s="387" t="s">
        <v>22</v>
      </c>
    </row>
    <row r="8" spans="1:15">
      <c r="A8" s="265">
        <v>2</v>
      </c>
      <c r="B8" s="262" t="s">
        <v>23</v>
      </c>
      <c r="C8" s="394" t="s">
        <v>16</v>
      </c>
      <c r="D8" s="383">
        <v>34</v>
      </c>
      <c r="E8" s="254" t="s">
        <v>24</v>
      </c>
      <c r="F8" s="260" t="s">
        <v>25</v>
      </c>
      <c r="G8" s="263">
        <v>1900</v>
      </c>
      <c r="H8" s="257" t="s">
        <v>26</v>
      </c>
      <c r="I8" s="261"/>
      <c r="J8" s="386"/>
      <c r="K8" s="386"/>
      <c r="L8" s="386"/>
      <c r="M8" s="386"/>
      <c r="N8" s="273">
        <v>1</v>
      </c>
      <c r="O8" s="387"/>
    </row>
    <row r="9" spans="1:15">
      <c r="A9" s="265">
        <v>3</v>
      </c>
      <c r="B9" s="262" t="s">
        <v>27</v>
      </c>
      <c r="C9" s="394" t="s">
        <v>16</v>
      </c>
      <c r="D9" s="383">
        <v>36</v>
      </c>
      <c r="E9" s="254" t="s">
        <v>28</v>
      </c>
      <c r="F9" s="260" t="s">
        <v>29</v>
      </c>
      <c r="G9" s="263">
        <v>2200</v>
      </c>
      <c r="H9" s="257" t="s">
        <v>26</v>
      </c>
      <c r="I9" s="261"/>
      <c r="J9" s="386"/>
      <c r="K9" s="386"/>
      <c r="L9" s="386"/>
      <c r="M9" s="386"/>
      <c r="N9" s="273">
        <v>1</v>
      </c>
      <c r="O9" s="387"/>
    </row>
    <row r="10" spans="1:15">
      <c r="A10" s="265">
        <v>4</v>
      </c>
      <c r="B10" s="262" t="s">
        <v>30</v>
      </c>
      <c r="C10" s="394" t="s">
        <v>16</v>
      </c>
      <c r="D10" s="383">
        <v>38</v>
      </c>
      <c r="E10" s="254" t="s">
        <v>31</v>
      </c>
      <c r="F10" s="260" t="s">
        <v>32</v>
      </c>
      <c r="G10" s="263">
        <v>12915</v>
      </c>
      <c r="H10" s="257" t="s">
        <v>21</v>
      </c>
      <c r="I10" s="273">
        <v>1</v>
      </c>
      <c r="J10" s="386"/>
      <c r="K10" s="386"/>
      <c r="L10" s="386"/>
      <c r="M10" s="386"/>
      <c r="N10" s="261"/>
      <c r="O10" s="387"/>
    </row>
    <row r="11" spans="1:15">
      <c r="A11" s="265">
        <v>5</v>
      </c>
      <c r="B11" s="411" t="s">
        <v>33</v>
      </c>
      <c r="C11" s="382" t="s">
        <v>16</v>
      </c>
      <c r="D11" s="383">
        <v>40</v>
      </c>
      <c r="E11" s="254" t="s">
        <v>34</v>
      </c>
      <c r="F11" s="260" t="s">
        <v>35</v>
      </c>
      <c r="G11" s="263">
        <v>2300</v>
      </c>
      <c r="H11" s="257" t="s">
        <v>26</v>
      </c>
      <c r="I11" s="261"/>
      <c r="J11" s="386"/>
      <c r="K11" s="386"/>
      <c r="L11" s="386"/>
      <c r="M11" s="386"/>
      <c r="N11" s="273">
        <v>1</v>
      </c>
      <c r="O11" s="387" t="s">
        <v>36</v>
      </c>
    </row>
    <row r="12" spans="1:15">
      <c r="A12" s="265">
        <v>6</v>
      </c>
      <c r="B12" s="411" t="s">
        <v>33</v>
      </c>
      <c r="C12" s="382" t="s">
        <v>16</v>
      </c>
      <c r="D12" s="383">
        <v>40</v>
      </c>
      <c r="E12" s="254" t="s">
        <v>37</v>
      </c>
      <c r="F12" s="260" t="s">
        <v>35</v>
      </c>
      <c r="G12" s="263">
        <v>2300</v>
      </c>
      <c r="H12" s="257" t="s">
        <v>26</v>
      </c>
      <c r="I12" s="261"/>
      <c r="J12" s="386"/>
      <c r="K12" s="386"/>
      <c r="L12" s="386"/>
      <c r="M12" s="386"/>
      <c r="N12" s="273">
        <v>1</v>
      </c>
      <c r="O12" s="387" t="s">
        <v>38</v>
      </c>
    </row>
    <row r="13" spans="1:15">
      <c r="A13" s="265">
        <v>7</v>
      </c>
      <c r="B13" s="411" t="s">
        <v>33</v>
      </c>
      <c r="C13" s="382" t="s">
        <v>16</v>
      </c>
      <c r="D13" s="383">
        <v>40</v>
      </c>
      <c r="E13" s="254" t="s">
        <v>39</v>
      </c>
      <c r="F13" s="260" t="s">
        <v>35</v>
      </c>
      <c r="G13" s="263">
        <v>2300</v>
      </c>
      <c r="H13" s="257" t="s">
        <v>26</v>
      </c>
      <c r="I13" s="261"/>
      <c r="J13" s="386"/>
      <c r="K13" s="386"/>
      <c r="L13" s="386"/>
      <c r="M13" s="386"/>
      <c r="N13" s="273">
        <v>1</v>
      </c>
      <c r="O13" s="387"/>
    </row>
    <row r="14" spans="1:15">
      <c r="A14" s="265">
        <v>8</v>
      </c>
      <c r="B14" s="411" t="s">
        <v>33</v>
      </c>
      <c r="C14" s="382" t="s">
        <v>16</v>
      </c>
      <c r="D14" s="383">
        <v>40</v>
      </c>
      <c r="E14" s="254" t="s">
        <v>40</v>
      </c>
      <c r="F14" s="260" t="s">
        <v>35</v>
      </c>
      <c r="G14" s="263">
        <v>2300</v>
      </c>
      <c r="H14" s="257" t="s">
        <v>26</v>
      </c>
      <c r="I14" s="261"/>
      <c r="J14" s="386"/>
      <c r="K14" s="386"/>
      <c r="L14" s="386"/>
      <c r="M14" s="386"/>
      <c r="N14" s="273">
        <v>1</v>
      </c>
      <c r="O14" s="387"/>
    </row>
    <row r="15" spans="1:15">
      <c r="A15" s="265">
        <v>9</v>
      </c>
      <c r="B15" s="411" t="s">
        <v>33</v>
      </c>
      <c r="C15" s="382" t="s">
        <v>16</v>
      </c>
      <c r="D15" s="383">
        <v>40</v>
      </c>
      <c r="E15" s="254" t="s">
        <v>41</v>
      </c>
      <c r="F15" s="260" t="s">
        <v>35</v>
      </c>
      <c r="G15" s="263">
        <v>2300</v>
      </c>
      <c r="H15" s="257" t="s">
        <v>26</v>
      </c>
      <c r="I15" s="261"/>
      <c r="J15" s="386"/>
      <c r="K15" s="386"/>
      <c r="L15" s="386"/>
      <c r="M15" s="386"/>
      <c r="N15" s="273">
        <v>1</v>
      </c>
      <c r="O15" s="387"/>
    </row>
    <row r="16" spans="1:15">
      <c r="A16" s="265">
        <v>10</v>
      </c>
      <c r="B16" s="411" t="s">
        <v>33</v>
      </c>
      <c r="C16" s="382" t="s">
        <v>16</v>
      </c>
      <c r="D16" s="383">
        <v>40</v>
      </c>
      <c r="E16" s="254" t="s">
        <v>42</v>
      </c>
      <c r="F16" s="260" t="s">
        <v>35</v>
      </c>
      <c r="G16" s="263">
        <v>2300</v>
      </c>
      <c r="H16" s="257" t="s">
        <v>26</v>
      </c>
      <c r="I16" s="261"/>
      <c r="J16" s="386"/>
      <c r="K16" s="386"/>
      <c r="L16" s="386"/>
      <c r="M16" s="386"/>
      <c r="N16" s="273">
        <v>1</v>
      </c>
      <c r="O16" s="387" t="s">
        <v>43</v>
      </c>
    </row>
    <row r="17" spans="1:15">
      <c r="A17" s="265">
        <v>11</v>
      </c>
      <c r="B17" s="411" t="s">
        <v>33</v>
      </c>
      <c r="C17" s="382" t="s">
        <v>16</v>
      </c>
      <c r="D17" s="383">
        <v>42</v>
      </c>
      <c r="E17" s="254" t="s">
        <v>44</v>
      </c>
      <c r="F17" s="260" t="s">
        <v>45</v>
      </c>
      <c r="G17" s="263">
        <v>2600</v>
      </c>
      <c r="H17" s="257" t="s">
        <v>26</v>
      </c>
      <c r="I17" s="261"/>
      <c r="J17" s="386"/>
      <c r="K17" s="386"/>
      <c r="L17" s="386"/>
      <c r="M17" s="386"/>
      <c r="N17" s="273">
        <v>1</v>
      </c>
      <c r="O17" s="387"/>
    </row>
    <row r="18" spans="1:15">
      <c r="A18" s="265">
        <v>12</v>
      </c>
      <c r="B18" s="411" t="s">
        <v>33</v>
      </c>
      <c r="C18" s="382" t="s">
        <v>16</v>
      </c>
      <c r="D18" s="383">
        <v>42</v>
      </c>
      <c r="E18" s="254" t="s">
        <v>46</v>
      </c>
      <c r="F18" s="260" t="s">
        <v>45</v>
      </c>
      <c r="G18" s="263">
        <v>2600</v>
      </c>
      <c r="H18" s="257" t="s">
        <v>26</v>
      </c>
      <c r="I18" s="261"/>
      <c r="J18" s="386"/>
      <c r="K18" s="386"/>
      <c r="L18" s="386"/>
      <c r="M18" s="386"/>
      <c r="N18" s="273">
        <v>1</v>
      </c>
      <c r="O18" s="387"/>
    </row>
    <row r="19" spans="1:15">
      <c r="A19" s="265">
        <v>13</v>
      </c>
      <c r="B19" s="411" t="s">
        <v>47</v>
      </c>
      <c r="C19" s="382" t="s">
        <v>16</v>
      </c>
      <c r="D19" s="383">
        <v>44</v>
      </c>
      <c r="E19" s="254" t="s">
        <v>48</v>
      </c>
      <c r="F19" s="260" t="s">
        <v>49</v>
      </c>
      <c r="G19" s="263">
        <v>3200</v>
      </c>
      <c r="H19" s="257" t="s">
        <v>26</v>
      </c>
      <c r="I19" s="261"/>
      <c r="J19" s="386"/>
      <c r="K19" s="386"/>
      <c r="L19" s="386"/>
      <c r="M19" s="386"/>
      <c r="N19" s="273">
        <v>1</v>
      </c>
      <c r="O19" s="387"/>
    </row>
    <row r="20" spans="1:15">
      <c r="A20" s="265">
        <v>14</v>
      </c>
      <c r="B20" s="411" t="s">
        <v>50</v>
      </c>
      <c r="C20" s="382" t="s">
        <v>16</v>
      </c>
      <c r="D20" s="383">
        <v>44</v>
      </c>
      <c r="E20" s="254" t="s">
        <v>51</v>
      </c>
      <c r="F20" s="260" t="s">
        <v>52</v>
      </c>
      <c r="G20" s="263">
        <v>3200</v>
      </c>
      <c r="H20" s="257" t="s">
        <v>26</v>
      </c>
      <c r="I20" s="261"/>
      <c r="J20" s="386"/>
      <c r="K20" s="386"/>
      <c r="L20" s="386"/>
      <c r="M20" s="386"/>
      <c r="N20" s="273">
        <v>1</v>
      </c>
      <c r="O20" s="387"/>
    </row>
    <row r="21" spans="1:15">
      <c r="A21" s="265">
        <v>15</v>
      </c>
      <c r="B21" s="411" t="s">
        <v>53</v>
      </c>
      <c r="C21" s="382" t="s">
        <v>16</v>
      </c>
      <c r="D21" s="383">
        <v>44</v>
      </c>
      <c r="E21" s="254" t="s">
        <v>54</v>
      </c>
      <c r="F21" s="260" t="s">
        <v>55</v>
      </c>
      <c r="G21" s="263">
        <v>2600</v>
      </c>
      <c r="H21" s="257" t="s">
        <v>26</v>
      </c>
      <c r="I21" s="261"/>
      <c r="J21" s="386"/>
      <c r="K21" s="386"/>
      <c r="L21" s="386"/>
      <c r="M21" s="386"/>
      <c r="N21" s="273">
        <v>1</v>
      </c>
      <c r="O21" s="387"/>
    </row>
    <row r="22" spans="1:15">
      <c r="A22" s="265">
        <v>16</v>
      </c>
      <c r="B22" s="411" t="s">
        <v>56</v>
      </c>
      <c r="C22" s="382" t="s">
        <v>16</v>
      </c>
      <c r="D22" s="383">
        <v>45</v>
      </c>
      <c r="E22" s="254" t="s">
        <v>57</v>
      </c>
      <c r="F22" s="260" t="s">
        <v>58</v>
      </c>
      <c r="G22" s="263">
        <v>2020</v>
      </c>
      <c r="H22" s="257" t="s">
        <v>26</v>
      </c>
      <c r="I22" s="261"/>
      <c r="J22" s="386"/>
      <c r="K22" s="386"/>
      <c r="L22" s="386"/>
      <c r="M22" s="386"/>
      <c r="N22" s="273">
        <v>1</v>
      </c>
      <c r="O22" s="387" t="s">
        <v>59</v>
      </c>
    </row>
    <row r="23" spans="1:15">
      <c r="A23" s="265">
        <v>17</v>
      </c>
      <c r="B23" s="411" t="s">
        <v>60</v>
      </c>
      <c r="C23" s="382" t="s">
        <v>16</v>
      </c>
      <c r="D23" s="383">
        <v>45</v>
      </c>
      <c r="E23" s="254" t="s">
        <v>61</v>
      </c>
      <c r="F23" s="260" t="s">
        <v>62</v>
      </c>
      <c r="G23" s="263">
        <v>3200</v>
      </c>
      <c r="H23" s="257" t="s">
        <v>26</v>
      </c>
      <c r="I23" s="261"/>
      <c r="J23" s="386"/>
      <c r="K23" s="386"/>
      <c r="L23" s="386"/>
      <c r="M23" s="386"/>
      <c r="N23" s="273">
        <v>1</v>
      </c>
      <c r="O23" s="387"/>
    </row>
    <row r="24" spans="1:15">
      <c r="A24" s="265">
        <v>18</v>
      </c>
      <c r="B24" s="411" t="s">
        <v>47</v>
      </c>
      <c r="C24" s="382" t="s">
        <v>16</v>
      </c>
      <c r="D24" s="383">
        <v>46</v>
      </c>
      <c r="E24" s="254" t="s">
        <v>63</v>
      </c>
      <c r="F24" s="260" t="s">
        <v>64</v>
      </c>
      <c r="G24" s="263">
        <v>2000</v>
      </c>
      <c r="H24" s="257" t="s">
        <v>26</v>
      </c>
      <c r="I24" s="261"/>
      <c r="J24" s="386"/>
      <c r="K24" s="386"/>
      <c r="L24" s="386"/>
      <c r="M24" s="386"/>
      <c r="N24" s="273">
        <v>1</v>
      </c>
      <c r="O24" s="387" t="s">
        <v>65</v>
      </c>
    </row>
    <row r="25" spans="1:15">
      <c r="A25" s="265">
        <v>19</v>
      </c>
      <c r="B25" s="411" t="s">
        <v>66</v>
      </c>
      <c r="C25" s="382" t="s">
        <v>67</v>
      </c>
      <c r="D25" s="383">
        <v>46</v>
      </c>
      <c r="E25" s="254" t="s">
        <v>68</v>
      </c>
      <c r="F25" s="260" t="s">
        <v>64</v>
      </c>
      <c r="G25" s="263">
        <v>2020</v>
      </c>
      <c r="H25" s="257" t="s">
        <v>26</v>
      </c>
      <c r="I25" s="261"/>
      <c r="J25" s="386"/>
      <c r="K25" s="386"/>
      <c r="L25" s="386"/>
      <c r="M25" s="386"/>
      <c r="N25" s="273">
        <v>1</v>
      </c>
      <c r="O25" s="387"/>
    </row>
    <row r="26" spans="1:15">
      <c r="A26" s="265">
        <v>20</v>
      </c>
      <c r="B26" s="411" t="s">
        <v>66</v>
      </c>
      <c r="C26" s="382" t="s">
        <v>16</v>
      </c>
      <c r="D26" s="383">
        <v>46</v>
      </c>
      <c r="E26" s="254" t="s">
        <v>69</v>
      </c>
      <c r="F26" s="260" t="s">
        <v>64</v>
      </c>
      <c r="G26" s="263">
        <v>2020</v>
      </c>
      <c r="H26" s="257" t="s">
        <v>26</v>
      </c>
      <c r="I26" s="261"/>
      <c r="J26" s="386"/>
      <c r="K26" s="386"/>
      <c r="L26" s="386"/>
      <c r="M26" s="386"/>
      <c r="N26" s="273">
        <v>1</v>
      </c>
      <c r="O26" s="387"/>
    </row>
    <row r="27" spans="1:15">
      <c r="A27" s="265">
        <v>21</v>
      </c>
      <c r="B27" s="411" t="s">
        <v>66</v>
      </c>
      <c r="C27" s="382" t="s">
        <v>16</v>
      </c>
      <c r="D27" s="383">
        <v>46</v>
      </c>
      <c r="E27" s="254" t="s">
        <v>70</v>
      </c>
      <c r="F27" s="260" t="s">
        <v>64</v>
      </c>
      <c r="G27" s="263">
        <v>2020</v>
      </c>
      <c r="H27" s="257" t="s">
        <v>26</v>
      </c>
      <c r="I27" s="261"/>
      <c r="J27" s="386"/>
      <c r="K27" s="386"/>
      <c r="L27" s="386"/>
      <c r="M27" s="386"/>
      <c r="N27" s="273">
        <v>1</v>
      </c>
      <c r="O27" s="387" t="s">
        <v>22</v>
      </c>
    </row>
    <row r="28" spans="1:15">
      <c r="A28" s="265">
        <v>22</v>
      </c>
      <c r="B28" s="411" t="s">
        <v>66</v>
      </c>
      <c r="C28" s="382" t="s">
        <v>16</v>
      </c>
      <c r="D28" s="383">
        <v>46</v>
      </c>
      <c r="E28" s="254" t="s">
        <v>71</v>
      </c>
      <c r="F28" s="260" t="s">
        <v>64</v>
      </c>
      <c r="G28" s="263">
        <v>2020</v>
      </c>
      <c r="H28" s="257" t="s">
        <v>26</v>
      </c>
      <c r="I28" s="261"/>
      <c r="J28" s="386"/>
      <c r="K28" s="386"/>
      <c r="L28" s="386"/>
      <c r="M28" s="386"/>
      <c r="N28" s="273">
        <v>1</v>
      </c>
      <c r="O28" s="387"/>
    </row>
    <row r="29" spans="1:15">
      <c r="A29" s="265">
        <v>23</v>
      </c>
      <c r="B29" s="411" t="s">
        <v>72</v>
      </c>
      <c r="C29" s="382" t="s">
        <v>16</v>
      </c>
      <c r="D29" s="383">
        <v>57</v>
      </c>
      <c r="E29" s="254" t="s">
        <v>73</v>
      </c>
      <c r="F29" s="260" t="s">
        <v>74</v>
      </c>
      <c r="G29" s="264">
        <v>11770</v>
      </c>
      <c r="H29" s="257" t="s">
        <v>26</v>
      </c>
      <c r="I29" s="273">
        <v>1</v>
      </c>
      <c r="J29" s="386"/>
      <c r="K29" s="386"/>
      <c r="L29" s="386"/>
      <c r="M29" s="386"/>
      <c r="N29" s="386"/>
      <c r="O29" s="387"/>
    </row>
    <row r="30" spans="1:15">
      <c r="A30" s="265">
        <v>24</v>
      </c>
      <c r="B30" s="251" t="s">
        <v>603</v>
      </c>
      <c r="C30" s="252">
        <v>400</v>
      </c>
      <c r="D30" s="253">
        <v>67</v>
      </c>
      <c r="E30" s="254" t="s">
        <v>566</v>
      </c>
      <c r="F30" s="255"/>
      <c r="G30" s="256">
        <v>9400</v>
      </c>
      <c r="H30" s="257" t="s">
        <v>21</v>
      </c>
      <c r="I30" s="258">
        <v>1</v>
      </c>
      <c r="J30" s="259"/>
      <c r="K30" s="259"/>
      <c r="L30" s="259"/>
      <c r="M30" s="259"/>
      <c r="N30" s="259"/>
      <c r="O30" s="257" t="s">
        <v>368</v>
      </c>
    </row>
    <row r="31" spans="1:15">
      <c r="A31" s="265">
        <v>25</v>
      </c>
      <c r="B31" s="251" t="s">
        <v>603</v>
      </c>
      <c r="C31" s="252">
        <v>400</v>
      </c>
      <c r="D31" s="253">
        <v>67</v>
      </c>
      <c r="E31" s="254" t="s">
        <v>567</v>
      </c>
      <c r="F31" s="260"/>
      <c r="G31" s="256">
        <v>9400</v>
      </c>
      <c r="H31" s="257" t="s">
        <v>26</v>
      </c>
      <c r="I31" s="258">
        <v>1</v>
      </c>
      <c r="J31" s="259"/>
      <c r="K31" s="259"/>
      <c r="L31" s="259"/>
      <c r="M31" s="259"/>
      <c r="N31" s="258"/>
      <c r="O31" s="257" t="s">
        <v>473</v>
      </c>
    </row>
    <row r="32" spans="1:15">
      <c r="A32" s="265">
        <v>26</v>
      </c>
      <c r="B32" s="251" t="s">
        <v>603</v>
      </c>
      <c r="C32" s="252">
        <v>400</v>
      </c>
      <c r="D32" s="253">
        <v>67</v>
      </c>
      <c r="E32" s="254" t="s">
        <v>568</v>
      </c>
      <c r="F32" s="260"/>
      <c r="G32" s="256">
        <v>9400</v>
      </c>
      <c r="H32" s="257" t="s">
        <v>26</v>
      </c>
      <c r="I32" s="258">
        <v>1</v>
      </c>
      <c r="J32" s="259"/>
      <c r="K32" s="259"/>
      <c r="L32" s="259"/>
      <c r="M32" s="259"/>
      <c r="N32" s="258"/>
      <c r="O32" s="257" t="s">
        <v>598</v>
      </c>
    </row>
    <row r="33" spans="1:15">
      <c r="A33" s="265">
        <v>27</v>
      </c>
      <c r="B33" s="251" t="s">
        <v>603</v>
      </c>
      <c r="C33" s="252">
        <v>400</v>
      </c>
      <c r="D33" s="253">
        <v>67</v>
      </c>
      <c r="E33" s="254" t="s">
        <v>569</v>
      </c>
      <c r="F33" s="260"/>
      <c r="G33" s="256">
        <v>9400</v>
      </c>
      <c r="H33" s="257" t="s">
        <v>21</v>
      </c>
      <c r="I33" s="258">
        <v>1</v>
      </c>
      <c r="J33" s="259"/>
      <c r="K33" s="259"/>
      <c r="L33" s="259"/>
      <c r="M33" s="259"/>
      <c r="N33" s="261"/>
      <c r="O33" s="257" t="s">
        <v>431</v>
      </c>
    </row>
    <row r="34" spans="1:15">
      <c r="A34" s="265">
        <v>28</v>
      </c>
      <c r="B34" s="251" t="s">
        <v>603</v>
      </c>
      <c r="C34" s="252">
        <v>400</v>
      </c>
      <c r="D34" s="253">
        <v>67</v>
      </c>
      <c r="E34" s="254" t="s">
        <v>570</v>
      </c>
      <c r="F34" s="260"/>
      <c r="G34" s="256">
        <v>9400</v>
      </c>
      <c r="H34" s="257" t="s">
        <v>26</v>
      </c>
      <c r="I34" s="258">
        <v>1</v>
      </c>
      <c r="J34" s="259"/>
      <c r="K34" s="259"/>
      <c r="L34" s="259"/>
      <c r="M34" s="259"/>
      <c r="N34" s="258"/>
      <c r="O34" s="257" t="s">
        <v>405</v>
      </c>
    </row>
    <row r="35" spans="1:15">
      <c r="A35" s="265">
        <v>29</v>
      </c>
      <c r="B35" s="251" t="s">
        <v>603</v>
      </c>
      <c r="C35" s="252">
        <v>400</v>
      </c>
      <c r="D35" s="253">
        <v>67</v>
      </c>
      <c r="E35" s="254" t="s">
        <v>571</v>
      </c>
      <c r="F35" s="260"/>
      <c r="G35" s="256">
        <v>9400</v>
      </c>
      <c r="H35" s="257" t="s">
        <v>26</v>
      </c>
      <c r="I35" s="258">
        <v>1</v>
      </c>
      <c r="J35" s="259"/>
      <c r="K35" s="259"/>
      <c r="L35" s="259"/>
      <c r="M35" s="259"/>
      <c r="N35" s="258"/>
      <c r="O35" s="257" t="s">
        <v>450</v>
      </c>
    </row>
    <row r="36" spans="1:15">
      <c r="A36" s="265">
        <v>30</v>
      </c>
      <c r="B36" s="251" t="s">
        <v>603</v>
      </c>
      <c r="C36" s="252">
        <v>400</v>
      </c>
      <c r="D36" s="253">
        <v>67</v>
      </c>
      <c r="E36" s="254" t="s">
        <v>572</v>
      </c>
      <c r="F36" s="260"/>
      <c r="G36" s="256">
        <v>9400</v>
      </c>
      <c r="H36" s="257" t="s">
        <v>26</v>
      </c>
      <c r="I36" s="258">
        <v>1</v>
      </c>
      <c r="J36" s="259"/>
      <c r="K36" s="259"/>
      <c r="L36" s="259"/>
      <c r="M36" s="259"/>
      <c r="N36" s="258"/>
      <c r="O36" s="257" t="s">
        <v>358</v>
      </c>
    </row>
    <row r="37" spans="1:15">
      <c r="A37" s="265">
        <v>31</v>
      </c>
      <c r="B37" s="251" t="s">
        <v>603</v>
      </c>
      <c r="C37" s="252">
        <v>400</v>
      </c>
      <c r="D37" s="253">
        <v>67</v>
      </c>
      <c r="E37" s="254" t="s">
        <v>573</v>
      </c>
      <c r="F37" s="260"/>
      <c r="G37" s="256">
        <v>9400</v>
      </c>
      <c r="H37" s="257" t="s">
        <v>26</v>
      </c>
      <c r="I37" s="258">
        <v>1</v>
      </c>
      <c r="J37" s="259"/>
      <c r="K37" s="259"/>
      <c r="L37" s="259"/>
      <c r="M37" s="259"/>
      <c r="N37" s="258"/>
      <c r="O37" s="257" t="s">
        <v>358</v>
      </c>
    </row>
    <row r="38" spans="1:15">
      <c r="A38" s="265">
        <v>32</v>
      </c>
      <c r="B38" s="251" t="s">
        <v>603</v>
      </c>
      <c r="C38" s="252">
        <v>400</v>
      </c>
      <c r="D38" s="253">
        <v>67</v>
      </c>
      <c r="E38" s="254" t="s">
        <v>574</v>
      </c>
      <c r="F38" s="260"/>
      <c r="G38" s="256">
        <v>9400</v>
      </c>
      <c r="H38" s="257" t="s">
        <v>26</v>
      </c>
      <c r="I38" s="258">
        <v>1</v>
      </c>
      <c r="J38" s="259"/>
      <c r="K38" s="259"/>
      <c r="L38" s="259"/>
      <c r="M38" s="259"/>
      <c r="N38" s="258"/>
      <c r="O38" s="257" t="s">
        <v>491</v>
      </c>
    </row>
    <row r="39" spans="1:15">
      <c r="A39" s="265">
        <v>33</v>
      </c>
      <c r="B39" s="251" t="s">
        <v>603</v>
      </c>
      <c r="C39" s="252">
        <v>400</v>
      </c>
      <c r="D39" s="253">
        <v>67</v>
      </c>
      <c r="E39" s="254" t="s">
        <v>575</v>
      </c>
      <c r="F39" s="260"/>
      <c r="G39" s="256">
        <v>9400</v>
      </c>
      <c r="H39" s="257" t="s">
        <v>26</v>
      </c>
      <c r="I39" s="258">
        <v>1</v>
      </c>
      <c r="J39" s="259"/>
      <c r="K39" s="259"/>
      <c r="L39" s="259"/>
      <c r="M39" s="259"/>
      <c r="N39" s="258"/>
      <c r="O39" s="257" t="s">
        <v>351</v>
      </c>
    </row>
    <row r="40" spans="1:15">
      <c r="A40" s="265">
        <v>34</v>
      </c>
      <c r="B40" s="251" t="s">
        <v>603</v>
      </c>
      <c r="C40" s="252">
        <v>400</v>
      </c>
      <c r="D40" s="253">
        <v>67</v>
      </c>
      <c r="E40" s="254" t="s">
        <v>576</v>
      </c>
      <c r="F40" s="260"/>
      <c r="G40" s="256">
        <v>9400</v>
      </c>
      <c r="H40" s="257" t="s">
        <v>26</v>
      </c>
      <c r="I40" s="258">
        <v>1</v>
      </c>
      <c r="J40" s="259"/>
      <c r="K40" s="259"/>
      <c r="L40" s="259"/>
      <c r="M40" s="259"/>
      <c r="N40" s="261"/>
      <c r="O40" s="257" t="s">
        <v>384</v>
      </c>
    </row>
    <row r="41" spans="1:15">
      <c r="A41" s="265">
        <v>35</v>
      </c>
      <c r="B41" s="251" t="s">
        <v>603</v>
      </c>
      <c r="C41" s="252">
        <v>400</v>
      </c>
      <c r="D41" s="253">
        <v>67</v>
      </c>
      <c r="E41" s="254" t="s">
        <v>577</v>
      </c>
      <c r="F41" s="260"/>
      <c r="G41" s="256">
        <v>9400</v>
      </c>
      <c r="H41" s="257" t="s">
        <v>26</v>
      </c>
      <c r="I41" s="258">
        <v>1</v>
      </c>
      <c r="J41" s="259"/>
      <c r="K41" s="259"/>
      <c r="L41" s="259"/>
      <c r="M41" s="259"/>
      <c r="N41" s="258"/>
      <c r="O41" s="257" t="s">
        <v>599</v>
      </c>
    </row>
    <row r="42" spans="1:15">
      <c r="A42" s="265">
        <v>36</v>
      </c>
      <c r="B42" s="251" t="s">
        <v>603</v>
      </c>
      <c r="C42" s="252">
        <v>400</v>
      </c>
      <c r="D42" s="253">
        <v>67</v>
      </c>
      <c r="E42" s="254" t="s">
        <v>578</v>
      </c>
      <c r="F42" s="260"/>
      <c r="G42" s="256">
        <v>9400</v>
      </c>
      <c r="H42" s="257" t="s">
        <v>26</v>
      </c>
      <c r="I42" s="258">
        <v>1</v>
      </c>
      <c r="J42" s="259"/>
      <c r="K42" s="259"/>
      <c r="L42" s="259"/>
      <c r="M42" s="259"/>
      <c r="N42" s="258"/>
      <c r="O42" s="257" t="s">
        <v>468</v>
      </c>
    </row>
    <row r="43" spans="1:15">
      <c r="A43" s="265">
        <v>37</v>
      </c>
      <c r="B43" s="251" t="s">
        <v>603</v>
      </c>
      <c r="C43" s="252">
        <v>400</v>
      </c>
      <c r="D43" s="253">
        <v>67</v>
      </c>
      <c r="E43" s="254" t="s">
        <v>579</v>
      </c>
      <c r="F43" s="260"/>
      <c r="G43" s="256">
        <v>9400</v>
      </c>
      <c r="H43" s="257" t="s">
        <v>26</v>
      </c>
      <c r="I43" s="258">
        <v>1</v>
      </c>
      <c r="J43" s="259"/>
      <c r="K43" s="259"/>
      <c r="L43" s="259"/>
      <c r="M43" s="259"/>
      <c r="N43" s="258"/>
      <c r="O43" s="257" t="s">
        <v>409</v>
      </c>
    </row>
    <row r="44" spans="1:15">
      <c r="A44" s="265">
        <v>38</v>
      </c>
      <c r="B44" s="251" t="s">
        <v>603</v>
      </c>
      <c r="C44" s="252">
        <v>400</v>
      </c>
      <c r="D44" s="253">
        <v>67</v>
      </c>
      <c r="E44" s="254" t="s">
        <v>580</v>
      </c>
      <c r="F44" s="260"/>
      <c r="G44" s="256">
        <v>9400</v>
      </c>
      <c r="H44" s="257" t="s">
        <v>26</v>
      </c>
      <c r="I44" s="258">
        <v>1</v>
      </c>
      <c r="J44" s="259"/>
      <c r="K44" s="259"/>
      <c r="L44" s="259"/>
      <c r="M44" s="259"/>
      <c r="N44" s="258"/>
      <c r="O44" s="257" t="s">
        <v>442</v>
      </c>
    </row>
    <row r="45" spans="1:15">
      <c r="A45" s="265">
        <v>39</v>
      </c>
      <c r="B45" s="251" t="s">
        <v>603</v>
      </c>
      <c r="C45" s="252">
        <v>400</v>
      </c>
      <c r="D45" s="253">
        <v>67</v>
      </c>
      <c r="E45" s="254" t="s">
        <v>581</v>
      </c>
      <c r="F45" s="260"/>
      <c r="G45" s="256">
        <v>9400</v>
      </c>
      <c r="H45" s="257" t="s">
        <v>26</v>
      </c>
      <c r="I45" s="258">
        <v>1</v>
      </c>
      <c r="J45" s="259"/>
      <c r="K45" s="259"/>
      <c r="L45" s="259"/>
      <c r="M45" s="259"/>
      <c r="N45" s="258"/>
      <c r="O45" s="257" t="s">
        <v>442</v>
      </c>
    </row>
    <row r="46" spans="1:15">
      <c r="A46" s="265">
        <v>40</v>
      </c>
      <c r="B46" s="251" t="s">
        <v>603</v>
      </c>
      <c r="C46" s="252">
        <v>400</v>
      </c>
      <c r="D46" s="253">
        <v>67</v>
      </c>
      <c r="E46" s="254" t="s">
        <v>582</v>
      </c>
      <c r="F46" s="260"/>
      <c r="G46" s="256">
        <v>9400</v>
      </c>
      <c r="H46" s="257" t="s">
        <v>26</v>
      </c>
      <c r="I46" s="258">
        <v>1</v>
      </c>
      <c r="J46" s="259"/>
      <c r="K46" s="259"/>
      <c r="L46" s="259"/>
      <c r="M46" s="259"/>
      <c r="N46" s="258"/>
      <c r="O46" s="257" t="s">
        <v>599</v>
      </c>
    </row>
    <row r="47" spans="1:15">
      <c r="A47" s="265">
        <v>41</v>
      </c>
      <c r="B47" s="251" t="s">
        <v>603</v>
      </c>
      <c r="C47" s="252">
        <v>400</v>
      </c>
      <c r="D47" s="253">
        <v>67</v>
      </c>
      <c r="E47" s="254" t="s">
        <v>583</v>
      </c>
      <c r="F47" s="260"/>
      <c r="G47" s="256">
        <v>9400</v>
      </c>
      <c r="H47" s="257" t="s">
        <v>26</v>
      </c>
      <c r="I47" s="258">
        <v>1</v>
      </c>
      <c r="J47" s="259"/>
      <c r="K47" s="259"/>
      <c r="L47" s="259"/>
      <c r="M47" s="259"/>
      <c r="N47" s="258"/>
      <c r="O47" s="257" t="s">
        <v>373</v>
      </c>
    </row>
    <row r="48" spans="1:15">
      <c r="A48" s="265">
        <v>42</v>
      </c>
      <c r="B48" s="251" t="s">
        <v>603</v>
      </c>
      <c r="C48" s="252">
        <v>400</v>
      </c>
      <c r="D48" s="253">
        <v>67</v>
      </c>
      <c r="E48" s="254" t="s">
        <v>584</v>
      </c>
      <c r="F48" s="260"/>
      <c r="G48" s="256">
        <v>9400</v>
      </c>
      <c r="H48" s="257" t="s">
        <v>26</v>
      </c>
      <c r="I48" s="258">
        <v>1</v>
      </c>
      <c r="J48" s="259"/>
      <c r="K48" s="259"/>
      <c r="L48" s="259"/>
      <c r="M48" s="259"/>
      <c r="N48" s="258"/>
      <c r="O48" s="257" t="s">
        <v>600</v>
      </c>
    </row>
    <row r="49" spans="1:15">
      <c r="A49" s="265">
        <v>43</v>
      </c>
      <c r="B49" s="251" t="s">
        <v>603</v>
      </c>
      <c r="C49" s="252">
        <v>400</v>
      </c>
      <c r="D49" s="253">
        <v>67</v>
      </c>
      <c r="E49" s="254" t="s">
        <v>585</v>
      </c>
      <c r="F49" s="260"/>
      <c r="G49" s="256">
        <v>9400</v>
      </c>
      <c r="H49" s="257" t="s">
        <v>26</v>
      </c>
      <c r="I49" s="258">
        <v>1</v>
      </c>
      <c r="J49" s="259"/>
      <c r="K49" s="259"/>
      <c r="L49" s="259"/>
      <c r="M49" s="259"/>
      <c r="N49" s="258"/>
      <c r="O49" s="257" t="s">
        <v>472</v>
      </c>
    </row>
    <row r="50" spans="1:15">
      <c r="A50" s="265">
        <v>44</v>
      </c>
      <c r="B50" s="251" t="s">
        <v>603</v>
      </c>
      <c r="C50" s="252">
        <v>400</v>
      </c>
      <c r="D50" s="253">
        <v>67</v>
      </c>
      <c r="E50" s="254" t="s">
        <v>586</v>
      </c>
      <c r="F50" s="260"/>
      <c r="G50" s="256">
        <v>9400</v>
      </c>
      <c r="H50" s="257" t="s">
        <v>26</v>
      </c>
      <c r="I50" s="258">
        <v>1</v>
      </c>
      <c r="J50" s="259"/>
      <c r="K50" s="259"/>
      <c r="L50" s="259"/>
      <c r="M50" s="259"/>
      <c r="N50" s="258"/>
      <c r="O50" s="257" t="s">
        <v>377</v>
      </c>
    </row>
    <row r="51" spans="1:15">
      <c r="A51" s="265">
        <v>45</v>
      </c>
      <c r="B51" s="251" t="s">
        <v>603</v>
      </c>
      <c r="C51" s="252">
        <v>400</v>
      </c>
      <c r="D51" s="253">
        <v>67</v>
      </c>
      <c r="E51" s="254" t="s">
        <v>587</v>
      </c>
      <c r="F51" s="260"/>
      <c r="G51" s="256">
        <v>9400</v>
      </c>
      <c r="H51" s="257" t="s">
        <v>26</v>
      </c>
      <c r="I51" s="258">
        <v>1</v>
      </c>
      <c r="J51" s="259"/>
      <c r="K51" s="259"/>
      <c r="L51" s="259"/>
      <c r="M51" s="259"/>
      <c r="N51" s="258"/>
      <c r="O51" s="257" t="s">
        <v>601</v>
      </c>
    </row>
    <row r="52" spans="1:15">
      <c r="A52" s="265">
        <v>46</v>
      </c>
      <c r="B52" s="251" t="s">
        <v>603</v>
      </c>
      <c r="C52" s="252">
        <v>400</v>
      </c>
      <c r="D52" s="253">
        <v>67</v>
      </c>
      <c r="E52" s="254" t="s">
        <v>588</v>
      </c>
      <c r="F52" s="260"/>
      <c r="G52" s="256">
        <v>9400</v>
      </c>
      <c r="H52" s="257" t="s">
        <v>26</v>
      </c>
      <c r="I52" s="258">
        <v>1</v>
      </c>
      <c r="J52" s="259"/>
      <c r="K52" s="259"/>
      <c r="L52" s="259"/>
      <c r="M52" s="259"/>
      <c r="N52" s="258"/>
      <c r="O52" s="257" t="s">
        <v>65</v>
      </c>
    </row>
    <row r="53" spans="1:15">
      <c r="A53" s="265">
        <v>47</v>
      </c>
      <c r="B53" s="251" t="s">
        <v>603</v>
      </c>
      <c r="C53" s="252">
        <v>400</v>
      </c>
      <c r="D53" s="253">
        <v>67</v>
      </c>
      <c r="E53" s="254" t="s">
        <v>589</v>
      </c>
      <c r="F53" s="260"/>
      <c r="G53" s="256">
        <v>9400</v>
      </c>
      <c r="H53" s="257" t="s">
        <v>26</v>
      </c>
      <c r="I53" s="258">
        <v>1</v>
      </c>
      <c r="J53" s="259"/>
      <c r="K53" s="259"/>
      <c r="L53" s="259"/>
      <c r="M53" s="259"/>
      <c r="N53" s="258"/>
      <c r="O53" s="257" t="s">
        <v>602</v>
      </c>
    </row>
    <row r="54" spans="1:15">
      <c r="A54" s="265">
        <v>48</v>
      </c>
      <c r="B54" s="251" t="s">
        <v>603</v>
      </c>
      <c r="C54" s="252">
        <v>400</v>
      </c>
      <c r="D54" s="253">
        <v>67</v>
      </c>
      <c r="E54" s="254" t="s">
        <v>590</v>
      </c>
      <c r="F54" s="260"/>
      <c r="G54" s="256">
        <v>9400</v>
      </c>
      <c r="H54" s="257" t="s">
        <v>26</v>
      </c>
      <c r="I54" s="258">
        <v>1</v>
      </c>
      <c r="J54" s="259"/>
      <c r="K54" s="259"/>
      <c r="L54" s="259"/>
      <c r="M54" s="259"/>
      <c r="N54" s="258"/>
      <c r="O54" s="257" t="s">
        <v>387</v>
      </c>
    </row>
    <row r="55" spans="1:15">
      <c r="A55" s="265">
        <v>49</v>
      </c>
      <c r="B55" s="262" t="s">
        <v>594</v>
      </c>
      <c r="C55" s="252">
        <v>400</v>
      </c>
      <c r="D55" s="253">
        <v>67</v>
      </c>
      <c r="E55" s="254" t="s">
        <v>591</v>
      </c>
      <c r="F55" s="260"/>
      <c r="G55" s="263">
        <v>19200</v>
      </c>
      <c r="H55" s="257" t="s">
        <v>26</v>
      </c>
      <c r="I55" s="258">
        <v>1</v>
      </c>
      <c r="J55" s="259"/>
      <c r="K55" s="259"/>
      <c r="L55" s="259"/>
      <c r="M55" s="259"/>
      <c r="N55" s="258"/>
      <c r="O55" s="257" t="s">
        <v>470</v>
      </c>
    </row>
    <row r="56" spans="1:15">
      <c r="A56" s="265">
        <v>50</v>
      </c>
      <c r="B56" s="262" t="s">
        <v>594</v>
      </c>
      <c r="C56" s="252">
        <v>400</v>
      </c>
      <c r="D56" s="253">
        <v>67</v>
      </c>
      <c r="E56" s="254" t="s">
        <v>592</v>
      </c>
      <c r="F56" s="260"/>
      <c r="G56" s="263">
        <v>19200</v>
      </c>
      <c r="H56" s="257" t="s">
        <v>26</v>
      </c>
      <c r="I56" s="258">
        <v>1</v>
      </c>
      <c r="J56" s="259"/>
      <c r="K56" s="259"/>
      <c r="L56" s="259"/>
      <c r="M56" s="259"/>
      <c r="N56" s="258"/>
      <c r="O56" s="257" t="s">
        <v>359</v>
      </c>
    </row>
    <row r="57" spans="1:15">
      <c r="A57" s="265">
        <v>51</v>
      </c>
      <c r="B57" s="262" t="s">
        <v>595</v>
      </c>
      <c r="C57" s="252">
        <v>400</v>
      </c>
      <c r="D57" s="253">
        <v>67</v>
      </c>
      <c r="E57" s="254" t="s">
        <v>593</v>
      </c>
      <c r="F57" s="260"/>
      <c r="G57" s="264">
        <v>12200</v>
      </c>
      <c r="H57" s="257" t="s">
        <v>26</v>
      </c>
      <c r="I57" s="258">
        <v>1</v>
      </c>
      <c r="J57" s="259"/>
      <c r="K57" s="259"/>
      <c r="L57" s="259"/>
      <c r="M57" s="259"/>
      <c r="N57" s="259"/>
      <c r="O57" s="257" t="s">
        <v>421</v>
      </c>
    </row>
    <row r="58" spans="1:15" ht="16.5" thickBot="1">
      <c r="A58" s="265"/>
      <c r="B58" s="400" t="s">
        <v>75</v>
      </c>
      <c r="C58" s="382"/>
      <c r="D58" s="383"/>
      <c r="E58" s="254"/>
      <c r="F58" s="260"/>
      <c r="G58" s="430">
        <f>SUM(G7:G29)</f>
        <v>72085</v>
      </c>
      <c r="H58" s="257"/>
      <c r="I58" s="41"/>
      <c r="J58" s="386"/>
      <c r="K58" s="386"/>
      <c r="L58" s="386"/>
      <c r="M58" s="386"/>
      <c r="N58" s="386"/>
      <c r="O58" s="387"/>
    </row>
    <row r="59" spans="1:15" ht="16.5" thickTop="1">
      <c r="A59" s="380" t="s">
        <v>76</v>
      </c>
      <c r="B59" s="381" t="s">
        <v>77</v>
      </c>
      <c r="C59" s="382"/>
      <c r="D59" s="383"/>
      <c r="E59" s="254"/>
      <c r="F59" s="260"/>
      <c r="G59" s="384"/>
      <c r="H59" s="257"/>
      <c r="I59" s="385"/>
      <c r="J59" s="386"/>
      <c r="K59" s="386"/>
      <c r="L59" s="386"/>
      <c r="M59" s="386"/>
      <c r="N59" s="386"/>
      <c r="O59" s="387"/>
    </row>
    <row r="60" spans="1:15">
      <c r="A60" s="265">
        <v>1</v>
      </c>
      <c r="B60" s="266" t="s">
        <v>78</v>
      </c>
      <c r="C60" s="267" t="s">
        <v>76</v>
      </c>
      <c r="D60" s="268">
        <v>43</v>
      </c>
      <c r="E60" s="269" t="s">
        <v>79</v>
      </c>
      <c r="F60" s="270" t="s">
        <v>80</v>
      </c>
      <c r="G60" s="397">
        <v>580</v>
      </c>
      <c r="H60" s="272" t="s">
        <v>26</v>
      </c>
      <c r="I60" s="261"/>
      <c r="J60" s="273">
        <v>1</v>
      </c>
      <c r="K60" s="274"/>
      <c r="L60" s="274"/>
      <c r="M60" s="274"/>
      <c r="N60" s="274"/>
      <c r="O60" s="266" t="s">
        <v>81</v>
      </c>
    </row>
    <row r="61" spans="1:15">
      <c r="A61" s="265">
        <v>2</v>
      </c>
      <c r="B61" s="266" t="s">
        <v>77</v>
      </c>
      <c r="C61" s="267" t="s">
        <v>76</v>
      </c>
      <c r="D61" s="268">
        <v>45</v>
      </c>
      <c r="E61" s="269" t="s">
        <v>82</v>
      </c>
      <c r="F61" s="270" t="s">
        <v>58</v>
      </c>
      <c r="G61" s="397">
        <v>580</v>
      </c>
      <c r="H61" s="272" t="s">
        <v>26</v>
      </c>
      <c r="I61" s="261"/>
      <c r="J61" s="273">
        <v>1</v>
      </c>
      <c r="K61" s="274"/>
      <c r="L61" s="274"/>
      <c r="M61" s="274"/>
      <c r="N61" s="274"/>
      <c r="O61" s="266"/>
    </row>
    <row r="62" spans="1:15">
      <c r="A62" s="265">
        <v>3</v>
      </c>
      <c r="B62" s="266" t="s">
        <v>83</v>
      </c>
      <c r="C62" s="267" t="s">
        <v>76</v>
      </c>
      <c r="D62" s="268">
        <v>45</v>
      </c>
      <c r="E62" s="269" t="s">
        <v>84</v>
      </c>
      <c r="F62" s="270" t="s">
        <v>85</v>
      </c>
      <c r="G62" s="397">
        <v>1200</v>
      </c>
      <c r="H62" s="272" t="s">
        <v>26</v>
      </c>
      <c r="I62" s="273">
        <v>1</v>
      </c>
      <c r="J62" s="274"/>
      <c r="K62" s="274"/>
      <c r="L62" s="274"/>
      <c r="M62" s="274"/>
      <c r="N62" s="274"/>
      <c r="O62" s="266"/>
    </row>
    <row r="63" spans="1:15">
      <c r="A63" s="265">
        <v>4</v>
      </c>
      <c r="B63" s="266" t="s">
        <v>86</v>
      </c>
      <c r="C63" s="267" t="s">
        <v>76</v>
      </c>
      <c r="D63" s="268">
        <v>46</v>
      </c>
      <c r="E63" s="269" t="s">
        <v>87</v>
      </c>
      <c r="F63" s="270" t="s">
        <v>88</v>
      </c>
      <c r="G63" s="397">
        <v>390</v>
      </c>
      <c r="H63" s="272" t="s">
        <v>26</v>
      </c>
      <c r="I63" s="273">
        <v>1</v>
      </c>
      <c r="J63" s="274"/>
      <c r="K63" s="274"/>
      <c r="L63" s="274"/>
      <c r="M63" s="274"/>
      <c r="N63" s="274"/>
      <c r="O63" s="266" t="s">
        <v>89</v>
      </c>
    </row>
    <row r="64" spans="1:15">
      <c r="A64" s="265">
        <v>5</v>
      </c>
      <c r="B64" s="266" t="s">
        <v>90</v>
      </c>
      <c r="C64" s="267" t="s">
        <v>76</v>
      </c>
      <c r="D64" s="268">
        <v>46</v>
      </c>
      <c r="E64" s="269" t="s">
        <v>91</v>
      </c>
      <c r="F64" s="270" t="s">
        <v>88</v>
      </c>
      <c r="G64" s="397">
        <v>390</v>
      </c>
      <c r="H64" s="272" t="s">
        <v>26</v>
      </c>
      <c r="I64" s="273">
        <v>1</v>
      </c>
      <c r="J64" s="274"/>
      <c r="K64" s="274"/>
      <c r="L64" s="274"/>
      <c r="M64" s="274"/>
      <c r="N64" s="274"/>
      <c r="O64" s="266" t="s">
        <v>89</v>
      </c>
    </row>
    <row r="65" spans="1:15">
      <c r="A65" s="265">
        <v>6</v>
      </c>
      <c r="B65" s="266" t="s">
        <v>90</v>
      </c>
      <c r="C65" s="267" t="s">
        <v>76</v>
      </c>
      <c r="D65" s="268">
        <v>46</v>
      </c>
      <c r="E65" s="269" t="s">
        <v>92</v>
      </c>
      <c r="F65" s="270" t="s">
        <v>88</v>
      </c>
      <c r="G65" s="397">
        <v>390</v>
      </c>
      <c r="H65" s="272" t="s">
        <v>26</v>
      </c>
      <c r="I65" s="273">
        <v>1</v>
      </c>
      <c r="J65" s="274"/>
      <c r="K65" s="274"/>
      <c r="L65" s="274"/>
      <c r="M65" s="274"/>
      <c r="N65" s="274"/>
      <c r="O65" s="266" t="s">
        <v>89</v>
      </c>
    </row>
    <row r="66" spans="1:15">
      <c r="A66" s="265">
        <v>7</v>
      </c>
      <c r="B66" s="266" t="s">
        <v>90</v>
      </c>
      <c r="C66" s="267" t="s">
        <v>76</v>
      </c>
      <c r="D66" s="268">
        <v>46</v>
      </c>
      <c r="E66" s="269" t="s">
        <v>93</v>
      </c>
      <c r="F66" s="270" t="s">
        <v>88</v>
      </c>
      <c r="G66" s="397">
        <v>390</v>
      </c>
      <c r="H66" s="272" t="s">
        <v>26</v>
      </c>
      <c r="I66" s="273">
        <v>1</v>
      </c>
      <c r="J66" s="274"/>
      <c r="K66" s="274"/>
      <c r="L66" s="274"/>
      <c r="M66" s="274"/>
      <c r="N66" s="274"/>
      <c r="O66" s="266" t="s">
        <v>89</v>
      </c>
    </row>
    <row r="67" spans="1:15">
      <c r="A67" s="265">
        <v>8</v>
      </c>
      <c r="B67" s="266" t="s">
        <v>90</v>
      </c>
      <c r="C67" s="267" t="s">
        <v>76</v>
      </c>
      <c r="D67" s="268">
        <v>46</v>
      </c>
      <c r="E67" s="269" t="s">
        <v>94</v>
      </c>
      <c r="F67" s="270" t="s">
        <v>88</v>
      </c>
      <c r="G67" s="397">
        <v>390</v>
      </c>
      <c r="H67" s="272" t="s">
        <v>26</v>
      </c>
      <c r="I67" s="273">
        <v>1</v>
      </c>
      <c r="J67" s="274"/>
      <c r="K67" s="274"/>
      <c r="L67" s="274"/>
      <c r="M67" s="274"/>
      <c r="N67" s="274"/>
      <c r="O67" s="266" t="s">
        <v>89</v>
      </c>
    </row>
    <row r="68" spans="1:15">
      <c r="A68" s="265">
        <v>9</v>
      </c>
      <c r="B68" s="266" t="s">
        <v>90</v>
      </c>
      <c r="C68" s="267" t="s">
        <v>76</v>
      </c>
      <c r="D68" s="268">
        <v>46</v>
      </c>
      <c r="E68" s="269" t="s">
        <v>95</v>
      </c>
      <c r="F68" s="270" t="s">
        <v>88</v>
      </c>
      <c r="G68" s="397">
        <v>390</v>
      </c>
      <c r="H68" s="272" t="s">
        <v>26</v>
      </c>
      <c r="I68" s="273">
        <v>1</v>
      </c>
      <c r="J68" s="274"/>
      <c r="K68" s="274"/>
      <c r="L68" s="274"/>
      <c r="M68" s="274"/>
      <c r="N68" s="274"/>
      <c r="O68" s="266" t="s">
        <v>89</v>
      </c>
    </row>
    <row r="69" spans="1:15">
      <c r="A69" s="265">
        <v>10</v>
      </c>
      <c r="B69" s="266" t="s">
        <v>90</v>
      </c>
      <c r="C69" s="267" t="s">
        <v>76</v>
      </c>
      <c r="D69" s="268">
        <v>46</v>
      </c>
      <c r="E69" s="269" t="s">
        <v>96</v>
      </c>
      <c r="F69" s="270" t="s">
        <v>88</v>
      </c>
      <c r="G69" s="397">
        <v>390</v>
      </c>
      <c r="H69" s="272" t="s">
        <v>26</v>
      </c>
      <c r="I69" s="273">
        <v>1</v>
      </c>
      <c r="J69" s="274"/>
      <c r="K69" s="274"/>
      <c r="L69" s="274"/>
      <c r="M69" s="274"/>
      <c r="N69" s="274"/>
      <c r="O69" s="266" t="s">
        <v>89</v>
      </c>
    </row>
    <row r="70" spans="1:15">
      <c r="A70" s="265">
        <v>11</v>
      </c>
      <c r="B70" s="266" t="s">
        <v>90</v>
      </c>
      <c r="C70" s="267" t="s">
        <v>76</v>
      </c>
      <c r="D70" s="268">
        <v>46</v>
      </c>
      <c r="E70" s="269" t="s">
        <v>97</v>
      </c>
      <c r="F70" s="270" t="s">
        <v>88</v>
      </c>
      <c r="G70" s="397">
        <v>390</v>
      </c>
      <c r="H70" s="272" t="s">
        <v>26</v>
      </c>
      <c r="I70" s="273">
        <v>1</v>
      </c>
      <c r="J70" s="274"/>
      <c r="K70" s="274"/>
      <c r="L70" s="274"/>
      <c r="M70" s="274"/>
      <c r="N70" s="274"/>
      <c r="O70" s="266" t="s">
        <v>89</v>
      </c>
    </row>
    <row r="71" spans="1:15">
      <c r="A71" s="265">
        <v>12</v>
      </c>
      <c r="B71" s="266" t="s">
        <v>90</v>
      </c>
      <c r="C71" s="267" t="s">
        <v>76</v>
      </c>
      <c r="D71" s="268">
        <v>46</v>
      </c>
      <c r="E71" s="269" t="s">
        <v>98</v>
      </c>
      <c r="F71" s="270" t="s">
        <v>88</v>
      </c>
      <c r="G71" s="397">
        <v>390</v>
      </c>
      <c r="H71" s="272" t="s">
        <v>26</v>
      </c>
      <c r="I71" s="273">
        <v>1</v>
      </c>
      <c r="J71" s="274"/>
      <c r="K71" s="274"/>
      <c r="L71" s="274"/>
      <c r="M71" s="274"/>
      <c r="N71" s="274"/>
      <c r="O71" s="266"/>
    </row>
    <row r="72" spans="1:15">
      <c r="A72" s="265">
        <v>13</v>
      </c>
      <c r="B72" s="266" t="s">
        <v>99</v>
      </c>
      <c r="C72" s="267" t="s">
        <v>76</v>
      </c>
      <c r="D72" s="268">
        <v>47</v>
      </c>
      <c r="E72" s="269" t="s">
        <v>100</v>
      </c>
      <c r="F72" s="270" t="s">
        <v>101</v>
      </c>
      <c r="G72" s="397">
        <v>1200</v>
      </c>
      <c r="H72" s="272" t="s">
        <v>26</v>
      </c>
      <c r="I72" s="273">
        <v>1</v>
      </c>
      <c r="J72" s="274"/>
      <c r="K72" s="274"/>
      <c r="L72" s="274"/>
      <c r="M72" s="274"/>
      <c r="N72" s="274"/>
      <c r="O72" s="266" t="s">
        <v>65</v>
      </c>
    </row>
    <row r="73" spans="1:15">
      <c r="A73" s="265">
        <v>14</v>
      </c>
      <c r="B73" s="266" t="s">
        <v>102</v>
      </c>
      <c r="C73" s="267" t="s">
        <v>76</v>
      </c>
      <c r="D73" s="268">
        <v>52</v>
      </c>
      <c r="E73" s="269" t="s">
        <v>103</v>
      </c>
      <c r="F73" s="270" t="s">
        <v>104</v>
      </c>
      <c r="G73" s="397">
        <v>1100</v>
      </c>
      <c r="H73" s="272" t="s">
        <v>26</v>
      </c>
      <c r="I73" s="273">
        <v>1</v>
      </c>
      <c r="J73" s="274"/>
      <c r="K73" s="274"/>
      <c r="L73" s="274"/>
      <c r="M73" s="274"/>
      <c r="N73" s="274"/>
      <c r="O73" s="266"/>
    </row>
    <row r="74" spans="1:15">
      <c r="A74" s="265">
        <v>15</v>
      </c>
      <c r="B74" s="266" t="s">
        <v>102</v>
      </c>
      <c r="C74" s="267" t="s">
        <v>76</v>
      </c>
      <c r="D74" s="268">
        <v>52</v>
      </c>
      <c r="E74" s="269" t="s">
        <v>105</v>
      </c>
      <c r="F74" s="270" t="s">
        <v>104</v>
      </c>
      <c r="G74" s="397">
        <v>1100</v>
      </c>
      <c r="H74" s="272" t="s">
        <v>26</v>
      </c>
      <c r="I74" s="273">
        <v>1</v>
      </c>
      <c r="J74" s="274"/>
      <c r="K74" s="274"/>
      <c r="L74" s="274"/>
      <c r="M74" s="274"/>
      <c r="N74" s="274"/>
      <c r="O74" s="266"/>
    </row>
    <row r="75" spans="1:15">
      <c r="A75" s="265">
        <v>16</v>
      </c>
      <c r="B75" s="266" t="s">
        <v>102</v>
      </c>
      <c r="C75" s="267" t="s">
        <v>76</v>
      </c>
      <c r="D75" s="268">
        <v>52</v>
      </c>
      <c r="E75" s="269" t="s">
        <v>106</v>
      </c>
      <c r="F75" s="270" t="s">
        <v>104</v>
      </c>
      <c r="G75" s="397">
        <v>1100</v>
      </c>
      <c r="H75" s="272" t="s">
        <v>26</v>
      </c>
      <c r="I75" s="273">
        <v>1</v>
      </c>
      <c r="J75" s="274"/>
      <c r="K75" s="274"/>
      <c r="L75" s="274"/>
      <c r="M75" s="274"/>
      <c r="N75" s="274"/>
      <c r="O75" s="266"/>
    </row>
    <row r="76" spans="1:15">
      <c r="A76" s="265">
        <v>17</v>
      </c>
      <c r="B76" s="266" t="s">
        <v>102</v>
      </c>
      <c r="C76" s="267" t="s">
        <v>76</v>
      </c>
      <c r="D76" s="268">
        <v>52</v>
      </c>
      <c r="E76" s="269" t="s">
        <v>107</v>
      </c>
      <c r="F76" s="270" t="s">
        <v>104</v>
      </c>
      <c r="G76" s="397">
        <v>1100</v>
      </c>
      <c r="H76" s="272" t="s">
        <v>26</v>
      </c>
      <c r="I76" s="273">
        <v>1</v>
      </c>
      <c r="J76" s="274"/>
      <c r="K76" s="274"/>
      <c r="L76" s="274"/>
      <c r="M76" s="274"/>
      <c r="N76" s="274"/>
      <c r="O76" s="266"/>
    </row>
    <row r="77" spans="1:15">
      <c r="A77" s="265">
        <v>18</v>
      </c>
      <c r="B77" s="266" t="s">
        <v>102</v>
      </c>
      <c r="C77" s="267" t="s">
        <v>76</v>
      </c>
      <c r="D77" s="268">
        <v>52</v>
      </c>
      <c r="E77" s="269" t="s">
        <v>108</v>
      </c>
      <c r="F77" s="270" t="s">
        <v>104</v>
      </c>
      <c r="G77" s="397">
        <v>1100</v>
      </c>
      <c r="H77" s="272" t="s">
        <v>26</v>
      </c>
      <c r="I77" s="273">
        <v>1</v>
      </c>
      <c r="J77" s="274"/>
      <c r="K77" s="274"/>
      <c r="L77" s="274"/>
      <c r="M77" s="274"/>
      <c r="N77" s="274"/>
      <c r="O77" s="266"/>
    </row>
    <row r="78" spans="1:15">
      <c r="A78" s="265">
        <v>19</v>
      </c>
      <c r="B78" s="266" t="s">
        <v>102</v>
      </c>
      <c r="C78" s="267" t="s">
        <v>76</v>
      </c>
      <c r="D78" s="268">
        <v>52</v>
      </c>
      <c r="E78" s="269" t="s">
        <v>109</v>
      </c>
      <c r="F78" s="270" t="s">
        <v>104</v>
      </c>
      <c r="G78" s="397">
        <v>1100</v>
      </c>
      <c r="H78" s="272" t="s">
        <v>26</v>
      </c>
      <c r="I78" s="273">
        <v>1</v>
      </c>
      <c r="J78" s="274"/>
      <c r="K78" s="274"/>
      <c r="L78" s="274"/>
      <c r="M78" s="274"/>
      <c r="N78" s="274"/>
      <c r="O78" s="266" t="s">
        <v>110</v>
      </c>
    </row>
    <row r="79" spans="1:15">
      <c r="A79" s="265">
        <v>20</v>
      </c>
      <c r="B79" s="266" t="s">
        <v>111</v>
      </c>
      <c r="C79" s="267" t="s">
        <v>76</v>
      </c>
      <c r="D79" s="268">
        <v>57</v>
      </c>
      <c r="E79" s="269" t="s">
        <v>112</v>
      </c>
      <c r="F79" s="270" t="s">
        <v>74</v>
      </c>
      <c r="G79" s="397">
        <v>1070</v>
      </c>
      <c r="H79" s="272" t="s">
        <v>26</v>
      </c>
      <c r="I79" s="273">
        <v>1</v>
      </c>
      <c r="J79" s="274"/>
      <c r="K79" s="274"/>
      <c r="L79" s="274"/>
      <c r="M79" s="274"/>
      <c r="N79" s="274"/>
      <c r="O79" s="266"/>
    </row>
    <row r="80" spans="1:15">
      <c r="A80" s="265">
        <v>21</v>
      </c>
      <c r="B80" s="266" t="s">
        <v>113</v>
      </c>
      <c r="C80" s="267" t="s">
        <v>76</v>
      </c>
      <c r="D80" s="268">
        <v>57</v>
      </c>
      <c r="E80" s="269" t="s">
        <v>114</v>
      </c>
      <c r="F80" s="270" t="s">
        <v>74</v>
      </c>
      <c r="G80" s="397">
        <v>1070</v>
      </c>
      <c r="H80" s="272" t="s">
        <v>26</v>
      </c>
      <c r="I80" s="273">
        <v>1</v>
      </c>
      <c r="J80" s="274"/>
      <c r="K80" s="274"/>
      <c r="L80" s="274"/>
      <c r="M80" s="274"/>
      <c r="N80" s="274"/>
      <c r="O80" s="266"/>
    </row>
    <row r="81" spans="1:15">
      <c r="A81" s="265">
        <v>22</v>
      </c>
      <c r="B81" s="266" t="s">
        <v>113</v>
      </c>
      <c r="C81" s="267" t="s">
        <v>76</v>
      </c>
      <c r="D81" s="268">
        <v>57</v>
      </c>
      <c r="E81" s="269" t="s">
        <v>115</v>
      </c>
      <c r="F81" s="270" t="s">
        <v>74</v>
      </c>
      <c r="G81" s="397">
        <v>1070</v>
      </c>
      <c r="H81" s="272" t="s">
        <v>26</v>
      </c>
      <c r="I81" s="273">
        <v>1</v>
      </c>
      <c r="J81" s="274"/>
      <c r="K81" s="274"/>
      <c r="L81" s="274"/>
      <c r="M81" s="274"/>
      <c r="N81" s="274"/>
      <c r="O81" s="266"/>
    </row>
    <row r="82" spans="1:15">
      <c r="A82" s="265">
        <v>23</v>
      </c>
      <c r="B82" s="266" t="s">
        <v>113</v>
      </c>
      <c r="C82" s="267" t="s">
        <v>76</v>
      </c>
      <c r="D82" s="268">
        <v>57</v>
      </c>
      <c r="E82" s="269" t="s">
        <v>116</v>
      </c>
      <c r="F82" s="270" t="s">
        <v>74</v>
      </c>
      <c r="G82" s="397">
        <v>1070</v>
      </c>
      <c r="H82" s="272" t="s">
        <v>26</v>
      </c>
      <c r="I82" s="273">
        <v>1</v>
      </c>
      <c r="J82" s="274"/>
      <c r="K82" s="274"/>
      <c r="L82" s="274"/>
      <c r="M82" s="274"/>
      <c r="N82" s="274"/>
      <c r="O82" s="266"/>
    </row>
    <row r="83" spans="1:15">
      <c r="A83" s="265">
        <v>24</v>
      </c>
      <c r="B83" s="266" t="s">
        <v>113</v>
      </c>
      <c r="C83" s="267" t="s">
        <v>76</v>
      </c>
      <c r="D83" s="268">
        <v>57</v>
      </c>
      <c r="E83" s="269" t="s">
        <v>117</v>
      </c>
      <c r="F83" s="270" t="s">
        <v>74</v>
      </c>
      <c r="G83" s="397">
        <v>1070</v>
      </c>
      <c r="H83" s="272" t="s">
        <v>26</v>
      </c>
      <c r="I83" s="273">
        <v>1</v>
      </c>
      <c r="J83" s="274"/>
      <c r="K83" s="274"/>
      <c r="L83" s="274"/>
      <c r="M83" s="274"/>
      <c r="N83" s="274"/>
      <c r="O83" s="266" t="s">
        <v>118</v>
      </c>
    </row>
    <row r="84" spans="1:15">
      <c r="A84" s="265">
        <v>25</v>
      </c>
      <c r="B84" s="266" t="s">
        <v>113</v>
      </c>
      <c r="C84" s="267" t="s">
        <v>76</v>
      </c>
      <c r="D84" s="268">
        <v>57</v>
      </c>
      <c r="E84" s="269" t="s">
        <v>119</v>
      </c>
      <c r="F84" s="270" t="s">
        <v>74</v>
      </c>
      <c r="G84" s="397">
        <v>1070</v>
      </c>
      <c r="H84" s="272" t="s">
        <v>26</v>
      </c>
      <c r="I84" s="273">
        <v>1</v>
      </c>
      <c r="J84" s="274"/>
      <c r="K84" s="274"/>
      <c r="L84" s="274"/>
      <c r="M84" s="274"/>
      <c r="N84" s="274"/>
      <c r="O84" s="266"/>
    </row>
    <row r="85" spans="1:15">
      <c r="A85" s="265">
        <v>26</v>
      </c>
      <c r="B85" s="266" t="s">
        <v>113</v>
      </c>
      <c r="C85" s="267" t="s">
        <v>76</v>
      </c>
      <c r="D85" s="268">
        <v>57</v>
      </c>
      <c r="E85" s="269" t="s">
        <v>120</v>
      </c>
      <c r="F85" s="270" t="s">
        <v>74</v>
      </c>
      <c r="G85" s="397">
        <v>1070</v>
      </c>
      <c r="H85" s="272" t="s">
        <v>26</v>
      </c>
      <c r="I85" s="273">
        <v>1</v>
      </c>
      <c r="J85" s="274"/>
      <c r="K85" s="274"/>
      <c r="L85" s="274"/>
      <c r="M85" s="274"/>
      <c r="N85" s="274"/>
      <c r="O85" s="266"/>
    </row>
    <row r="86" spans="1:15">
      <c r="A86" s="265">
        <v>27</v>
      </c>
      <c r="B86" s="266" t="s">
        <v>113</v>
      </c>
      <c r="C86" s="267" t="s">
        <v>76</v>
      </c>
      <c r="D86" s="268">
        <v>57</v>
      </c>
      <c r="E86" s="269" t="s">
        <v>121</v>
      </c>
      <c r="F86" s="270" t="s">
        <v>74</v>
      </c>
      <c r="G86" s="397">
        <v>1070</v>
      </c>
      <c r="H86" s="272" t="s">
        <v>26</v>
      </c>
      <c r="I86" s="275">
        <v>1</v>
      </c>
      <c r="J86" s="274"/>
      <c r="K86" s="274"/>
      <c r="L86" s="274"/>
      <c r="M86" s="274"/>
      <c r="N86" s="274"/>
      <c r="O86" s="266"/>
    </row>
    <row r="87" spans="1:15">
      <c r="A87" s="265">
        <v>28</v>
      </c>
      <c r="B87" s="266" t="s">
        <v>122</v>
      </c>
      <c r="C87" s="267" t="s">
        <v>76</v>
      </c>
      <c r="D87" s="268">
        <v>67</v>
      </c>
      <c r="E87" s="269" t="s">
        <v>123</v>
      </c>
      <c r="F87" s="270" t="s">
        <v>124</v>
      </c>
      <c r="G87" s="271">
        <v>5500</v>
      </c>
      <c r="H87" s="272" t="s">
        <v>26</v>
      </c>
      <c r="I87" s="273">
        <v>1</v>
      </c>
      <c r="J87" s="274"/>
      <c r="K87" s="274"/>
      <c r="L87" s="274"/>
      <c r="M87" s="274"/>
      <c r="N87" s="274"/>
      <c r="O87" s="266" t="s">
        <v>125</v>
      </c>
    </row>
    <row r="88" spans="1:15">
      <c r="A88" s="265">
        <v>29</v>
      </c>
      <c r="B88" s="266" t="s">
        <v>126</v>
      </c>
      <c r="C88" s="267" t="s">
        <v>76</v>
      </c>
      <c r="D88" s="268">
        <v>67</v>
      </c>
      <c r="E88" s="269" t="s">
        <v>127</v>
      </c>
      <c r="F88" s="270" t="s">
        <v>124</v>
      </c>
      <c r="G88" s="271">
        <v>3900</v>
      </c>
      <c r="H88" s="272" t="s">
        <v>26</v>
      </c>
      <c r="I88" s="275">
        <v>1</v>
      </c>
      <c r="J88" s="274"/>
      <c r="K88" s="274"/>
      <c r="L88" s="274"/>
      <c r="M88" s="274"/>
      <c r="N88" s="274"/>
      <c r="O88" s="266" t="s">
        <v>473</v>
      </c>
    </row>
    <row r="89" spans="1:15">
      <c r="A89" s="265">
        <v>30</v>
      </c>
      <c r="B89" s="266" t="s">
        <v>126</v>
      </c>
      <c r="C89" s="267" t="s">
        <v>76</v>
      </c>
      <c r="D89" s="268">
        <v>67</v>
      </c>
      <c r="E89" s="269" t="s">
        <v>128</v>
      </c>
      <c r="F89" s="270" t="s">
        <v>124</v>
      </c>
      <c r="G89" s="271">
        <v>3900</v>
      </c>
      <c r="H89" s="272" t="s">
        <v>26</v>
      </c>
      <c r="I89" s="273">
        <v>1</v>
      </c>
      <c r="J89" s="274"/>
      <c r="K89" s="274"/>
      <c r="L89" s="274"/>
      <c r="M89" s="274"/>
      <c r="N89" s="274"/>
      <c r="O89" s="266" t="s">
        <v>491</v>
      </c>
    </row>
    <row r="90" spans="1:15">
      <c r="A90" s="265">
        <v>31</v>
      </c>
      <c r="B90" s="266" t="s">
        <v>126</v>
      </c>
      <c r="C90" s="267" t="s">
        <v>76</v>
      </c>
      <c r="D90" s="268">
        <v>67</v>
      </c>
      <c r="E90" s="269" t="s">
        <v>129</v>
      </c>
      <c r="F90" s="270" t="s">
        <v>124</v>
      </c>
      <c r="G90" s="271">
        <v>3900</v>
      </c>
      <c r="H90" s="272" t="s">
        <v>26</v>
      </c>
      <c r="I90" s="275">
        <v>1</v>
      </c>
      <c r="J90" s="274"/>
      <c r="K90" s="274"/>
      <c r="L90" s="274"/>
      <c r="M90" s="274"/>
      <c r="N90" s="274"/>
      <c r="O90" s="266" t="s">
        <v>351</v>
      </c>
    </row>
    <row r="91" spans="1:15">
      <c r="A91" s="265">
        <v>32</v>
      </c>
      <c r="B91" s="266" t="s">
        <v>126</v>
      </c>
      <c r="C91" s="267" t="s">
        <v>76</v>
      </c>
      <c r="D91" s="268">
        <v>67</v>
      </c>
      <c r="E91" s="269" t="s">
        <v>130</v>
      </c>
      <c r="F91" s="270" t="s">
        <v>124</v>
      </c>
      <c r="G91" s="271">
        <v>3900</v>
      </c>
      <c r="H91" s="272" t="s">
        <v>26</v>
      </c>
      <c r="I91" s="273">
        <v>1</v>
      </c>
      <c r="J91" s="274"/>
      <c r="K91" s="274"/>
      <c r="L91" s="274"/>
      <c r="M91" s="274"/>
      <c r="N91" s="274"/>
      <c r="O91" s="266" t="s">
        <v>384</v>
      </c>
    </row>
    <row r="92" spans="1:15">
      <c r="A92" s="265">
        <v>33</v>
      </c>
      <c r="B92" s="266" t="s">
        <v>126</v>
      </c>
      <c r="C92" s="267" t="s">
        <v>76</v>
      </c>
      <c r="D92" s="268">
        <v>67</v>
      </c>
      <c r="E92" s="269" t="s">
        <v>131</v>
      </c>
      <c r="F92" s="270" t="s">
        <v>124</v>
      </c>
      <c r="G92" s="271">
        <v>3900</v>
      </c>
      <c r="H92" s="272" t="s">
        <v>26</v>
      </c>
      <c r="I92" s="275">
        <v>1</v>
      </c>
      <c r="J92" s="274"/>
      <c r="K92" s="274"/>
      <c r="L92" s="274"/>
      <c r="M92" s="274"/>
      <c r="N92" s="274"/>
      <c r="O92" s="266" t="s">
        <v>472</v>
      </c>
    </row>
    <row r="93" spans="1:15">
      <c r="A93" s="265">
        <v>34</v>
      </c>
      <c r="B93" s="266" t="s">
        <v>126</v>
      </c>
      <c r="C93" s="267" t="s">
        <v>76</v>
      </c>
      <c r="D93" s="268">
        <v>67</v>
      </c>
      <c r="E93" s="269" t="s">
        <v>132</v>
      </c>
      <c r="F93" s="270" t="s">
        <v>124</v>
      </c>
      <c r="G93" s="271">
        <v>3900</v>
      </c>
      <c r="H93" s="272" t="s">
        <v>26</v>
      </c>
      <c r="I93" s="273">
        <v>1</v>
      </c>
      <c r="J93" s="274"/>
      <c r="K93" s="274"/>
      <c r="L93" s="274"/>
      <c r="M93" s="274"/>
      <c r="N93" s="274"/>
      <c r="O93" s="266" t="s">
        <v>450</v>
      </c>
    </row>
    <row r="94" spans="1:15" ht="16.5" thickBot="1">
      <c r="A94" s="265"/>
      <c r="B94" s="400" t="s">
        <v>133</v>
      </c>
      <c r="C94" s="267"/>
      <c r="D94" s="268"/>
      <c r="E94" s="269"/>
      <c r="F94" s="270"/>
      <c r="G94" s="416">
        <f>SUM(G60:G88)</f>
        <v>31630</v>
      </c>
      <c r="H94" s="272"/>
      <c r="I94" s="246"/>
      <c r="J94" s="274"/>
      <c r="K94" s="274"/>
      <c r="L94" s="274"/>
      <c r="M94" s="274"/>
      <c r="N94" s="274"/>
      <c r="O94" s="266"/>
    </row>
    <row r="95" spans="1:15" ht="16.5" thickTop="1">
      <c r="A95" s="489" t="s">
        <v>134</v>
      </c>
      <c r="B95" s="490" t="s">
        <v>135</v>
      </c>
      <c r="C95" s="267"/>
      <c r="D95" s="268"/>
      <c r="E95" s="269"/>
      <c r="F95" s="270"/>
      <c r="G95" s="433"/>
      <c r="H95" s="272"/>
      <c r="I95" s="385"/>
      <c r="J95" s="274"/>
      <c r="K95" s="274"/>
      <c r="L95" s="274"/>
      <c r="M95" s="274"/>
      <c r="N95" s="274"/>
      <c r="O95" s="266"/>
    </row>
    <row r="96" spans="1:15">
      <c r="A96" s="265">
        <v>1</v>
      </c>
      <c r="B96" s="266" t="s">
        <v>136</v>
      </c>
      <c r="C96" s="267" t="s">
        <v>134</v>
      </c>
      <c r="D96" s="268">
        <v>19</v>
      </c>
      <c r="E96" s="269" t="s">
        <v>137</v>
      </c>
      <c r="F96" s="270" t="s">
        <v>138</v>
      </c>
      <c r="G96" s="397">
        <v>0</v>
      </c>
      <c r="H96" s="272" t="s">
        <v>26</v>
      </c>
      <c r="I96" s="261"/>
      <c r="J96" s="274"/>
      <c r="K96" s="274"/>
      <c r="L96" s="274"/>
      <c r="M96" s="274"/>
      <c r="N96" s="273">
        <v>1</v>
      </c>
      <c r="O96" s="266" t="s">
        <v>139</v>
      </c>
    </row>
    <row r="97" spans="1:15">
      <c r="A97" s="265">
        <v>2</v>
      </c>
      <c r="B97" s="266" t="s">
        <v>136</v>
      </c>
      <c r="C97" s="267" t="s">
        <v>134</v>
      </c>
      <c r="D97" s="268">
        <v>22</v>
      </c>
      <c r="E97" s="269" t="s">
        <v>140</v>
      </c>
      <c r="F97" s="270" t="s">
        <v>141</v>
      </c>
      <c r="G97" s="397">
        <v>2200</v>
      </c>
      <c r="H97" s="272" t="s">
        <v>26</v>
      </c>
      <c r="I97" s="261"/>
      <c r="J97" s="274"/>
      <c r="K97" s="274"/>
      <c r="L97" s="274"/>
      <c r="M97" s="274"/>
      <c r="N97" s="273">
        <v>1</v>
      </c>
      <c r="O97" s="266" t="s">
        <v>139</v>
      </c>
    </row>
    <row r="98" spans="1:15">
      <c r="A98" s="265">
        <v>3</v>
      </c>
      <c r="B98" s="266" t="s">
        <v>142</v>
      </c>
      <c r="C98" s="267" t="s">
        <v>134</v>
      </c>
      <c r="D98" s="268">
        <v>24</v>
      </c>
      <c r="E98" s="269" t="s">
        <v>143</v>
      </c>
      <c r="F98" s="270" t="s">
        <v>144</v>
      </c>
      <c r="G98" s="397">
        <v>1335</v>
      </c>
      <c r="H98" s="272" t="s">
        <v>26</v>
      </c>
      <c r="I98" s="261"/>
      <c r="J98" s="274"/>
      <c r="K98" s="274"/>
      <c r="L98" s="274"/>
      <c r="M98" s="274"/>
      <c r="N98" s="273">
        <v>1</v>
      </c>
      <c r="O98" s="266" t="s">
        <v>145</v>
      </c>
    </row>
    <row r="99" spans="1:15">
      <c r="A99" s="265">
        <v>4</v>
      </c>
      <c r="B99" s="266" t="s">
        <v>146</v>
      </c>
      <c r="C99" s="267" t="s">
        <v>134</v>
      </c>
      <c r="D99" s="268">
        <v>35</v>
      </c>
      <c r="E99" s="269" t="s">
        <v>147</v>
      </c>
      <c r="F99" s="270" t="s">
        <v>148</v>
      </c>
      <c r="G99" s="397">
        <v>3500</v>
      </c>
      <c r="H99" s="272" t="s">
        <v>26</v>
      </c>
      <c r="I99" s="261"/>
      <c r="J99" s="274"/>
      <c r="K99" s="274"/>
      <c r="L99" s="274"/>
      <c r="M99" s="274"/>
      <c r="N99" s="273">
        <v>1</v>
      </c>
      <c r="O99" s="266" t="s">
        <v>149</v>
      </c>
    </row>
    <row r="100" spans="1:15">
      <c r="A100" s="265">
        <v>5</v>
      </c>
      <c r="B100" s="266" t="s">
        <v>146</v>
      </c>
      <c r="C100" s="267" t="s">
        <v>134</v>
      </c>
      <c r="D100" s="268">
        <v>35</v>
      </c>
      <c r="E100" s="269" t="s">
        <v>150</v>
      </c>
      <c r="F100" s="270" t="s">
        <v>148</v>
      </c>
      <c r="G100" s="397">
        <v>3500</v>
      </c>
      <c r="H100" s="272" t="s">
        <v>26</v>
      </c>
      <c r="I100" s="261"/>
      <c r="J100" s="274"/>
      <c r="K100" s="274"/>
      <c r="L100" s="274"/>
      <c r="M100" s="274"/>
      <c r="N100" s="273">
        <v>1</v>
      </c>
      <c r="O100" s="266"/>
    </row>
    <row r="101" spans="1:15">
      <c r="A101" s="265">
        <v>6</v>
      </c>
      <c r="B101" s="266" t="s">
        <v>146</v>
      </c>
      <c r="C101" s="267" t="s">
        <v>134</v>
      </c>
      <c r="D101" s="268">
        <v>35</v>
      </c>
      <c r="E101" s="269" t="s">
        <v>151</v>
      </c>
      <c r="F101" s="270" t="s">
        <v>148</v>
      </c>
      <c r="G101" s="397">
        <v>3500</v>
      </c>
      <c r="H101" s="272" t="s">
        <v>26</v>
      </c>
      <c r="I101" s="261"/>
      <c r="J101" s="274"/>
      <c r="K101" s="274"/>
      <c r="L101" s="274"/>
      <c r="M101" s="274"/>
      <c r="N101" s="273">
        <v>1</v>
      </c>
      <c r="O101" s="266"/>
    </row>
    <row r="102" spans="1:15">
      <c r="A102" s="265">
        <v>7</v>
      </c>
      <c r="B102" s="266" t="s">
        <v>152</v>
      </c>
      <c r="C102" s="267" t="s">
        <v>134</v>
      </c>
      <c r="D102" s="268">
        <v>36</v>
      </c>
      <c r="E102" s="269" t="s">
        <v>153</v>
      </c>
      <c r="F102" s="270" t="s">
        <v>154</v>
      </c>
      <c r="G102" s="397">
        <v>3500</v>
      </c>
      <c r="H102" s="272" t="s">
        <v>26</v>
      </c>
      <c r="I102" s="261"/>
      <c r="J102" s="274"/>
      <c r="K102" s="274"/>
      <c r="L102" s="274"/>
      <c r="M102" s="274"/>
      <c r="N102" s="273">
        <v>1</v>
      </c>
      <c r="O102" s="266" t="s">
        <v>155</v>
      </c>
    </row>
    <row r="103" spans="1:15">
      <c r="A103" s="265">
        <v>8</v>
      </c>
      <c r="B103" s="266" t="s">
        <v>156</v>
      </c>
      <c r="C103" s="267" t="s">
        <v>134</v>
      </c>
      <c r="D103" s="268">
        <v>36</v>
      </c>
      <c r="E103" s="269" t="s">
        <v>157</v>
      </c>
      <c r="F103" s="270" t="s">
        <v>154</v>
      </c>
      <c r="G103" s="397">
        <v>3500</v>
      </c>
      <c r="H103" s="272" t="s">
        <v>26</v>
      </c>
      <c r="I103" s="273">
        <v>1</v>
      </c>
      <c r="J103" s="274"/>
      <c r="K103" s="274"/>
      <c r="L103" s="274"/>
      <c r="M103" s="274"/>
      <c r="N103" s="274"/>
      <c r="O103" s="266" t="s">
        <v>43</v>
      </c>
    </row>
    <row r="104" spans="1:15">
      <c r="A104" s="265">
        <v>9</v>
      </c>
      <c r="B104" s="266" t="s">
        <v>156</v>
      </c>
      <c r="C104" s="267" t="s">
        <v>134</v>
      </c>
      <c r="D104" s="268">
        <v>36</v>
      </c>
      <c r="E104" s="269" t="s">
        <v>158</v>
      </c>
      <c r="F104" s="270" t="s">
        <v>154</v>
      </c>
      <c r="G104" s="397">
        <v>3500</v>
      </c>
      <c r="H104" s="272" t="s">
        <v>26</v>
      </c>
      <c r="I104" s="273">
        <v>1</v>
      </c>
      <c r="J104" s="274"/>
      <c r="K104" s="274"/>
      <c r="L104" s="274"/>
      <c r="M104" s="274"/>
      <c r="N104" s="274"/>
      <c r="O104" s="266" t="s">
        <v>65</v>
      </c>
    </row>
    <row r="105" spans="1:15">
      <c r="A105" s="265">
        <v>10</v>
      </c>
      <c r="B105" s="266" t="s">
        <v>152</v>
      </c>
      <c r="C105" s="267" t="s">
        <v>134</v>
      </c>
      <c r="D105" s="268">
        <v>36</v>
      </c>
      <c r="E105" s="269" t="s">
        <v>159</v>
      </c>
      <c r="F105" s="270" t="s">
        <v>154</v>
      </c>
      <c r="G105" s="397">
        <v>3500</v>
      </c>
      <c r="H105" s="272" t="s">
        <v>26</v>
      </c>
      <c r="I105" s="273">
        <v>1</v>
      </c>
      <c r="J105" s="274"/>
      <c r="K105" s="274"/>
      <c r="L105" s="274"/>
      <c r="M105" s="274"/>
      <c r="N105" s="274"/>
      <c r="O105" s="266" t="s">
        <v>65</v>
      </c>
    </row>
    <row r="106" spans="1:15" ht="31.5">
      <c r="A106" s="265">
        <v>11</v>
      </c>
      <c r="B106" s="431" t="s">
        <v>160</v>
      </c>
      <c r="C106" s="267" t="s">
        <v>134</v>
      </c>
      <c r="D106" s="268">
        <v>39</v>
      </c>
      <c r="E106" s="269" t="s">
        <v>161</v>
      </c>
      <c r="F106" s="270" t="s">
        <v>162</v>
      </c>
      <c r="G106" s="397">
        <v>8000</v>
      </c>
      <c r="H106" s="272" t="s">
        <v>26</v>
      </c>
      <c r="I106" s="261"/>
      <c r="J106" s="274"/>
      <c r="K106" s="274"/>
      <c r="L106" s="274"/>
      <c r="M106" s="274"/>
      <c r="N106" s="273">
        <v>1</v>
      </c>
      <c r="O106" s="266" t="s">
        <v>65</v>
      </c>
    </row>
    <row r="107" spans="1:15" ht="31.5">
      <c r="A107" s="265">
        <v>12</v>
      </c>
      <c r="B107" s="431" t="s">
        <v>160</v>
      </c>
      <c r="C107" s="267" t="s">
        <v>134</v>
      </c>
      <c r="D107" s="268">
        <v>39</v>
      </c>
      <c r="E107" s="269" t="s">
        <v>163</v>
      </c>
      <c r="F107" s="270" t="s">
        <v>162</v>
      </c>
      <c r="G107" s="397">
        <v>8000</v>
      </c>
      <c r="H107" s="272" t="s">
        <v>26</v>
      </c>
      <c r="I107" s="261"/>
      <c r="J107" s="274"/>
      <c r="K107" s="274"/>
      <c r="L107" s="274"/>
      <c r="M107" s="274"/>
      <c r="N107" s="273">
        <v>1</v>
      </c>
      <c r="O107" s="266" t="s">
        <v>65</v>
      </c>
    </row>
    <row r="108" spans="1:15">
      <c r="A108" s="265">
        <v>13</v>
      </c>
      <c r="B108" s="266" t="s">
        <v>164</v>
      </c>
      <c r="C108" s="267" t="s">
        <v>134</v>
      </c>
      <c r="D108" s="268">
        <v>39</v>
      </c>
      <c r="E108" s="269" t="s">
        <v>165</v>
      </c>
      <c r="F108" s="270" t="s">
        <v>166</v>
      </c>
      <c r="G108" s="397">
        <v>7900</v>
      </c>
      <c r="H108" s="272" t="s">
        <v>26</v>
      </c>
      <c r="I108" s="491"/>
      <c r="J108" s="261"/>
      <c r="K108" s="273">
        <v>1</v>
      </c>
      <c r="L108" s="274"/>
      <c r="M108" s="274"/>
      <c r="N108" s="274"/>
      <c r="O108" s="560" t="s">
        <v>560</v>
      </c>
    </row>
    <row r="109" spans="1:15">
      <c r="A109" s="265">
        <v>14</v>
      </c>
      <c r="B109" s="266" t="s">
        <v>164</v>
      </c>
      <c r="C109" s="267" t="s">
        <v>134</v>
      </c>
      <c r="D109" s="268">
        <v>39</v>
      </c>
      <c r="E109" s="269" t="s">
        <v>167</v>
      </c>
      <c r="F109" s="270" t="s">
        <v>166</v>
      </c>
      <c r="G109" s="397">
        <v>7900</v>
      </c>
      <c r="H109" s="272" t="s">
        <v>26</v>
      </c>
      <c r="I109" s="491"/>
      <c r="J109" s="261"/>
      <c r="K109" s="273">
        <v>1</v>
      </c>
      <c r="L109" s="274"/>
      <c r="M109" s="274"/>
      <c r="N109" s="274"/>
      <c r="O109" s="561"/>
    </row>
    <row r="110" spans="1:15">
      <c r="A110" s="265">
        <v>15</v>
      </c>
      <c r="B110" s="266" t="s">
        <v>164</v>
      </c>
      <c r="C110" s="267" t="s">
        <v>134</v>
      </c>
      <c r="D110" s="268">
        <v>39</v>
      </c>
      <c r="E110" s="269" t="s">
        <v>168</v>
      </c>
      <c r="F110" s="270" t="s">
        <v>166</v>
      </c>
      <c r="G110" s="397">
        <v>7900</v>
      </c>
      <c r="H110" s="272" t="s">
        <v>26</v>
      </c>
      <c r="I110" s="491"/>
      <c r="J110" s="261"/>
      <c r="K110" s="273">
        <v>1</v>
      </c>
      <c r="L110" s="274"/>
      <c r="M110" s="274"/>
      <c r="N110" s="274"/>
      <c r="O110" s="561"/>
    </row>
    <row r="111" spans="1:15">
      <c r="A111" s="265">
        <v>16</v>
      </c>
      <c r="B111" s="266" t="s">
        <v>164</v>
      </c>
      <c r="C111" s="267" t="s">
        <v>134</v>
      </c>
      <c r="D111" s="268">
        <v>39</v>
      </c>
      <c r="E111" s="269" t="s">
        <v>169</v>
      </c>
      <c r="F111" s="270" t="s">
        <v>166</v>
      </c>
      <c r="G111" s="397">
        <v>7900</v>
      </c>
      <c r="H111" s="272" t="s">
        <v>26</v>
      </c>
      <c r="I111" s="491"/>
      <c r="J111" s="261"/>
      <c r="K111" s="273">
        <v>1</v>
      </c>
      <c r="L111" s="274"/>
      <c r="M111" s="274"/>
      <c r="N111" s="274"/>
      <c r="O111" s="561"/>
    </row>
    <row r="112" spans="1:15">
      <c r="A112" s="265">
        <v>17</v>
      </c>
      <c r="B112" s="266" t="s">
        <v>164</v>
      </c>
      <c r="C112" s="267" t="s">
        <v>134</v>
      </c>
      <c r="D112" s="268">
        <v>39</v>
      </c>
      <c r="E112" s="269" t="s">
        <v>170</v>
      </c>
      <c r="F112" s="270" t="s">
        <v>166</v>
      </c>
      <c r="G112" s="397">
        <v>7900</v>
      </c>
      <c r="H112" s="272" t="s">
        <v>26</v>
      </c>
      <c r="I112" s="492"/>
      <c r="J112" s="261"/>
      <c r="K112" s="273">
        <v>1</v>
      </c>
      <c r="L112" s="274"/>
      <c r="M112" s="274"/>
      <c r="N112" s="274"/>
      <c r="O112" s="562"/>
    </row>
    <row r="113" spans="1:15">
      <c r="A113" s="265">
        <v>18</v>
      </c>
      <c r="B113" s="266" t="s">
        <v>171</v>
      </c>
      <c r="C113" s="267" t="s">
        <v>134</v>
      </c>
      <c r="D113" s="268">
        <v>39</v>
      </c>
      <c r="E113" s="269" t="s">
        <v>172</v>
      </c>
      <c r="F113" s="270" t="s">
        <v>173</v>
      </c>
      <c r="G113" s="397">
        <v>2300</v>
      </c>
      <c r="H113" s="272" t="s">
        <v>26</v>
      </c>
      <c r="I113" s="261"/>
      <c r="J113" s="274"/>
      <c r="K113" s="274"/>
      <c r="L113" s="274"/>
      <c r="M113" s="274"/>
      <c r="N113" s="273">
        <v>1</v>
      </c>
      <c r="O113" s="266" t="s">
        <v>43</v>
      </c>
    </row>
    <row r="114" spans="1:15">
      <c r="A114" s="265">
        <v>19</v>
      </c>
      <c r="B114" s="266" t="s">
        <v>171</v>
      </c>
      <c r="C114" s="267" t="s">
        <v>134</v>
      </c>
      <c r="D114" s="268">
        <v>39</v>
      </c>
      <c r="E114" s="269" t="s">
        <v>174</v>
      </c>
      <c r="F114" s="270" t="s">
        <v>173</v>
      </c>
      <c r="G114" s="397">
        <v>2300</v>
      </c>
      <c r="H114" s="272" t="s">
        <v>26</v>
      </c>
      <c r="I114" s="261"/>
      <c r="J114" s="274"/>
      <c r="K114" s="274"/>
      <c r="L114" s="274"/>
      <c r="M114" s="274"/>
      <c r="N114" s="273">
        <v>1</v>
      </c>
      <c r="O114" s="266" t="s">
        <v>145</v>
      </c>
    </row>
    <row r="115" spans="1:15">
      <c r="A115" s="265">
        <v>20</v>
      </c>
      <c r="B115" s="266" t="s">
        <v>171</v>
      </c>
      <c r="C115" s="267" t="s">
        <v>134</v>
      </c>
      <c r="D115" s="268">
        <v>39</v>
      </c>
      <c r="E115" s="269" t="s">
        <v>175</v>
      </c>
      <c r="F115" s="270" t="s">
        <v>173</v>
      </c>
      <c r="G115" s="397">
        <v>2300</v>
      </c>
      <c r="H115" s="272" t="s">
        <v>26</v>
      </c>
      <c r="I115" s="273">
        <v>1</v>
      </c>
      <c r="J115" s="274"/>
      <c r="K115" s="274"/>
      <c r="L115" s="274"/>
      <c r="M115" s="274"/>
      <c r="N115" s="274"/>
      <c r="O115" s="266"/>
    </row>
    <row r="116" spans="1:15">
      <c r="A116" s="265">
        <v>21</v>
      </c>
      <c r="B116" s="266" t="s">
        <v>171</v>
      </c>
      <c r="C116" s="267" t="s">
        <v>134</v>
      </c>
      <c r="D116" s="268">
        <v>39</v>
      </c>
      <c r="E116" s="269" t="s">
        <v>176</v>
      </c>
      <c r="F116" s="270" t="s">
        <v>173</v>
      </c>
      <c r="G116" s="397">
        <v>2300</v>
      </c>
      <c r="H116" s="272" t="s">
        <v>26</v>
      </c>
      <c r="I116" s="261"/>
      <c r="J116" s="274"/>
      <c r="K116" s="274"/>
      <c r="L116" s="274"/>
      <c r="M116" s="274"/>
      <c r="N116" s="273">
        <v>1</v>
      </c>
      <c r="O116" s="266" t="s">
        <v>22</v>
      </c>
    </row>
    <row r="117" spans="1:15">
      <c r="A117" s="265">
        <v>22</v>
      </c>
      <c r="B117" s="266" t="s">
        <v>171</v>
      </c>
      <c r="C117" s="267" t="s">
        <v>134</v>
      </c>
      <c r="D117" s="268">
        <v>39</v>
      </c>
      <c r="E117" s="269" t="s">
        <v>177</v>
      </c>
      <c r="F117" s="270" t="s">
        <v>173</v>
      </c>
      <c r="G117" s="397">
        <v>2300</v>
      </c>
      <c r="H117" s="272" t="s">
        <v>26</v>
      </c>
      <c r="I117" s="261"/>
      <c r="J117" s="274"/>
      <c r="K117" s="274"/>
      <c r="L117" s="274"/>
      <c r="M117" s="274"/>
      <c r="N117" s="273">
        <v>1</v>
      </c>
      <c r="O117" s="266"/>
    </row>
    <row r="118" spans="1:15">
      <c r="A118" s="265">
        <v>23</v>
      </c>
      <c r="B118" s="266" t="s">
        <v>171</v>
      </c>
      <c r="C118" s="267" t="s">
        <v>134</v>
      </c>
      <c r="D118" s="268">
        <v>39</v>
      </c>
      <c r="E118" s="269" t="s">
        <v>178</v>
      </c>
      <c r="F118" s="270" t="s">
        <v>173</v>
      </c>
      <c r="G118" s="397">
        <v>2300</v>
      </c>
      <c r="H118" s="272" t="s">
        <v>26</v>
      </c>
      <c r="I118" s="261"/>
      <c r="J118" s="274"/>
      <c r="K118" s="274"/>
      <c r="L118" s="274"/>
      <c r="M118" s="274"/>
      <c r="N118" s="273">
        <v>1</v>
      </c>
      <c r="O118" s="266"/>
    </row>
    <row r="119" spans="1:15">
      <c r="A119" s="265">
        <v>24</v>
      </c>
      <c r="B119" s="266" t="s">
        <v>171</v>
      </c>
      <c r="C119" s="267" t="s">
        <v>134</v>
      </c>
      <c r="D119" s="268">
        <v>39</v>
      </c>
      <c r="E119" s="269" t="s">
        <v>179</v>
      </c>
      <c r="F119" s="270" t="s">
        <v>173</v>
      </c>
      <c r="G119" s="397">
        <v>2300</v>
      </c>
      <c r="H119" s="272" t="s">
        <v>26</v>
      </c>
      <c r="I119" s="261"/>
      <c r="J119" s="274"/>
      <c r="K119" s="274"/>
      <c r="L119" s="274"/>
      <c r="M119" s="274"/>
      <c r="N119" s="273">
        <v>1</v>
      </c>
      <c r="O119" s="266"/>
    </row>
    <row r="120" spans="1:15">
      <c r="A120" s="265">
        <v>25</v>
      </c>
      <c r="B120" s="266" t="s">
        <v>171</v>
      </c>
      <c r="C120" s="267" t="s">
        <v>134</v>
      </c>
      <c r="D120" s="268">
        <v>39</v>
      </c>
      <c r="E120" s="269" t="s">
        <v>180</v>
      </c>
      <c r="F120" s="270" t="s">
        <v>173</v>
      </c>
      <c r="G120" s="397">
        <v>2300</v>
      </c>
      <c r="H120" s="272" t="s">
        <v>26</v>
      </c>
      <c r="I120" s="261"/>
      <c r="J120" s="274"/>
      <c r="K120" s="274"/>
      <c r="L120" s="274"/>
      <c r="M120" s="274"/>
      <c r="N120" s="273">
        <v>1</v>
      </c>
      <c r="O120" s="266"/>
    </row>
    <row r="121" spans="1:15">
      <c r="A121" s="265">
        <v>26</v>
      </c>
      <c r="B121" s="266" t="s">
        <v>181</v>
      </c>
      <c r="C121" s="267" t="s">
        <v>134</v>
      </c>
      <c r="D121" s="268">
        <v>40</v>
      </c>
      <c r="E121" s="269" t="s">
        <v>182</v>
      </c>
      <c r="F121" s="270" t="s">
        <v>35</v>
      </c>
      <c r="G121" s="397">
        <v>4500</v>
      </c>
      <c r="H121" s="272" t="s">
        <v>26</v>
      </c>
      <c r="I121" s="261"/>
      <c r="J121" s="274"/>
      <c r="K121" s="273">
        <v>1</v>
      </c>
      <c r="L121" s="274"/>
      <c r="M121" s="274"/>
      <c r="N121" s="274"/>
      <c r="O121" s="266" t="s">
        <v>65</v>
      </c>
    </row>
    <row r="122" spans="1:15">
      <c r="A122" s="265">
        <v>27</v>
      </c>
      <c r="B122" s="266" t="s">
        <v>183</v>
      </c>
      <c r="C122" s="267" t="s">
        <v>134</v>
      </c>
      <c r="D122" s="268">
        <v>40</v>
      </c>
      <c r="E122" s="269" t="s">
        <v>184</v>
      </c>
      <c r="F122" s="270" t="s">
        <v>35</v>
      </c>
      <c r="G122" s="397">
        <v>2300</v>
      </c>
      <c r="H122" s="272" t="s">
        <v>26</v>
      </c>
      <c r="I122" s="261"/>
      <c r="J122" s="274"/>
      <c r="K122" s="274"/>
      <c r="L122" s="274"/>
      <c r="M122" s="274"/>
      <c r="N122" s="273">
        <v>1</v>
      </c>
      <c r="O122" s="399"/>
    </row>
    <row r="123" spans="1:15" ht="31.5">
      <c r="A123" s="265">
        <v>28</v>
      </c>
      <c r="B123" s="431" t="s">
        <v>185</v>
      </c>
      <c r="C123" s="267" t="s">
        <v>134</v>
      </c>
      <c r="D123" s="268">
        <v>40</v>
      </c>
      <c r="E123" s="269" t="s">
        <v>186</v>
      </c>
      <c r="F123" s="270" t="s">
        <v>35</v>
      </c>
      <c r="G123" s="397">
        <v>4500</v>
      </c>
      <c r="H123" s="272" t="s">
        <v>26</v>
      </c>
      <c r="I123" s="261"/>
      <c r="J123" s="274"/>
      <c r="K123" s="274"/>
      <c r="L123" s="274"/>
      <c r="M123" s="274"/>
      <c r="N123" s="273">
        <v>1</v>
      </c>
      <c r="O123" s="266" t="s">
        <v>43</v>
      </c>
    </row>
    <row r="124" spans="1:15">
      <c r="A124" s="265">
        <v>29</v>
      </c>
      <c r="B124" s="266" t="s">
        <v>183</v>
      </c>
      <c r="C124" s="267" t="s">
        <v>134</v>
      </c>
      <c r="D124" s="268">
        <v>40</v>
      </c>
      <c r="E124" s="269" t="s">
        <v>187</v>
      </c>
      <c r="F124" s="270" t="s">
        <v>35</v>
      </c>
      <c r="G124" s="397">
        <v>2300</v>
      </c>
      <c r="H124" s="272" t="s">
        <v>26</v>
      </c>
      <c r="I124" s="261"/>
      <c r="J124" s="274"/>
      <c r="K124" s="274"/>
      <c r="L124" s="274"/>
      <c r="M124" s="274"/>
      <c r="N124" s="273">
        <v>1</v>
      </c>
      <c r="O124" s="266" t="s">
        <v>145</v>
      </c>
    </row>
    <row r="125" spans="1:15" ht="31.5">
      <c r="A125" s="265">
        <v>30</v>
      </c>
      <c r="B125" s="431" t="s">
        <v>185</v>
      </c>
      <c r="C125" s="267" t="s">
        <v>134</v>
      </c>
      <c r="D125" s="268">
        <v>40</v>
      </c>
      <c r="E125" s="269" t="s">
        <v>188</v>
      </c>
      <c r="F125" s="270" t="s">
        <v>35</v>
      </c>
      <c r="G125" s="397">
        <v>4500</v>
      </c>
      <c r="H125" s="272" t="s">
        <v>26</v>
      </c>
      <c r="I125" s="261"/>
      <c r="J125" s="274"/>
      <c r="K125" s="274"/>
      <c r="L125" s="274"/>
      <c r="M125" s="274"/>
      <c r="N125" s="273">
        <v>1</v>
      </c>
      <c r="O125" s="266" t="s">
        <v>81</v>
      </c>
    </row>
    <row r="126" spans="1:15" ht="31.5">
      <c r="A126" s="265">
        <v>31</v>
      </c>
      <c r="B126" s="431" t="s">
        <v>189</v>
      </c>
      <c r="C126" s="267" t="s">
        <v>134</v>
      </c>
      <c r="D126" s="268">
        <v>43</v>
      </c>
      <c r="E126" s="269" t="s">
        <v>190</v>
      </c>
      <c r="F126" s="270" t="s">
        <v>191</v>
      </c>
      <c r="G126" s="397">
        <v>2300</v>
      </c>
      <c r="H126" s="272" t="s">
        <v>26</v>
      </c>
      <c r="I126" s="261"/>
      <c r="J126" s="274"/>
      <c r="K126" s="274"/>
      <c r="L126" s="274"/>
      <c r="M126" s="274"/>
      <c r="N126" s="273">
        <v>1</v>
      </c>
      <c r="O126" s="266"/>
    </row>
    <row r="127" spans="1:15" ht="31.5">
      <c r="A127" s="265">
        <v>32</v>
      </c>
      <c r="B127" s="431" t="s">
        <v>189</v>
      </c>
      <c r="C127" s="267" t="s">
        <v>134</v>
      </c>
      <c r="D127" s="268">
        <v>43</v>
      </c>
      <c r="E127" s="269" t="s">
        <v>192</v>
      </c>
      <c r="F127" s="270" t="s">
        <v>191</v>
      </c>
      <c r="G127" s="397">
        <v>2300</v>
      </c>
      <c r="H127" s="272" t="s">
        <v>26</v>
      </c>
      <c r="I127" s="261"/>
      <c r="J127" s="274"/>
      <c r="K127" s="274"/>
      <c r="L127" s="274"/>
      <c r="M127" s="274"/>
      <c r="N127" s="273">
        <v>1</v>
      </c>
      <c r="O127" s="266"/>
    </row>
    <row r="128" spans="1:15">
      <c r="A128" s="265">
        <v>33</v>
      </c>
      <c r="B128" s="266" t="s">
        <v>193</v>
      </c>
      <c r="C128" s="267" t="s">
        <v>134</v>
      </c>
      <c r="D128" s="268">
        <v>43</v>
      </c>
      <c r="E128" s="269" t="s">
        <v>194</v>
      </c>
      <c r="F128" s="270" t="s">
        <v>191</v>
      </c>
      <c r="G128" s="397">
        <v>4000</v>
      </c>
      <c r="H128" s="272" t="s">
        <v>26</v>
      </c>
      <c r="I128" s="261"/>
      <c r="J128" s="274"/>
      <c r="K128" s="274"/>
      <c r="L128" s="274"/>
      <c r="M128" s="274"/>
      <c r="N128" s="273">
        <v>1</v>
      </c>
      <c r="O128" s="266" t="s">
        <v>36</v>
      </c>
    </row>
    <row r="129" spans="1:15" ht="31.5">
      <c r="A129" s="265">
        <v>34</v>
      </c>
      <c r="B129" s="431" t="s">
        <v>195</v>
      </c>
      <c r="C129" s="267" t="s">
        <v>134</v>
      </c>
      <c r="D129" s="268">
        <v>43</v>
      </c>
      <c r="E129" s="269" t="s">
        <v>196</v>
      </c>
      <c r="F129" s="270" t="s">
        <v>191</v>
      </c>
      <c r="G129" s="397">
        <v>4000</v>
      </c>
      <c r="H129" s="272" t="s">
        <v>26</v>
      </c>
      <c r="I129" s="261"/>
      <c r="J129" s="274"/>
      <c r="K129" s="274"/>
      <c r="L129" s="274"/>
      <c r="M129" s="274"/>
      <c r="N129" s="273">
        <v>1</v>
      </c>
      <c r="O129" s="266"/>
    </row>
    <row r="130" spans="1:15">
      <c r="A130" s="265">
        <v>35</v>
      </c>
      <c r="B130" s="266" t="s">
        <v>197</v>
      </c>
      <c r="C130" s="267" t="s">
        <v>134</v>
      </c>
      <c r="D130" s="268">
        <v>44</v>
      </c>
      <c r="E130" s="269" t="s">
        <v>198</v>
      </c>
      <c r="F130" s="270" t="s">
        <v>49</v>
      </c>
      <c r="G130" s="397">
        <v>2200</v>
      </c>
      <c r="H130" s="272" t="s">
        <v>26</v>
      </c>
      <c r="I130" s="273">
        <v>1</v>
      </c>
      <c r="J130" s="274"/>
      <c r="K130" s="274"/>
      <c r="L130" s="274"/>
      <c r="M130" s="274"/>
      <c r="N130" s="261"/>
      <c r="O130" s="266" t="s">
        <v>532</v>
      </c>
    </row>
    <row r="131" spans="1:15">
      <c r="A131" s="265">
        <v>36</v>
      </c>
      <c r="B131" s="266" t="s">
        <v>199</v>
      </c>
      <c r="C131" s="267" t="s">
        <v>134</v>
      </c>
      <c r="D131" s="268">
        <v>44</v>
      </c>
      <c r="E131" s="269" t="s">
        <v>200</v>
      </c>
      <c r="F131" s="270" t="s">
        <v>49</v>
      </c>
      <c r="G131" s="397">
        <v>3200</v>
      </c>
      <c r="H131" s="272" t="s">
        <v>26</v>
      </c>
      <c r="I131" s="261"/>
      <c r="J131" s="274"/>
      <c r="K131" s="274"/>
      <c r="L131" s="274"/>
      <c r="M131" s="274"/>
      <c r="N131" s="273">
        <v>1</v>
      </c>
      <c r="O131" s="266" t="s">
        <v>155</v>
      </c>
    </row>
    <row r="132" spans="1:15">
      <c r="A132" s="265">
        <v>37</v>
      </c>
      <c r="B132" s="266" t="s">
        <v>201</v>
      </c>
      <c r="C132" s="267" t="s">
        <v>134</v>
      </c>
      <c r="D132" s="268">
        <v>46</v>
      </c>
      <c r="E132" s="269" t="s">
        <v>202</v>
      </c>
      <c r="F132" s="270" t="s">
        <v>203</v>
      </c>
      <c r="G132" s="397">
        <v>2300</v>
      </c>
      <c r="H132" s="272" t="s">
        <v>26</v>
      </c>
      <c r="I132" s="261"/>
      <c r="J132" s="274"/>
      <c r="K132" s="274"/>
      <c r="L132" s="274"/>
      <c r="M132" s="274"/>
      <c r="N132" s="273">
        <v>1</v>
      </c>
      <c r="O132" s="266"/>
    </row>
    <row r="133" spans="1:15">
      <c r="A133" s="265">
        <v>38</v>
      </c>
      <c r="B133" s="266" t="s">
        <v>204</v>
      </c>
      <c r="C133" s="267" t="s">
        <v>134</v>
      </c>
      <c r="D133" s="268">
        <v>48</v>
      </c>
      <c r="E133" s="269" t="s">
        <v>205</v>
      </c>
      <c r="F133" s="270" t="s">
        <v>206</v>
      </c>
      <c r="G133" s="432">
        <v>3900</v>
      </c>
      <c r="H133" s="272" t="s">
        <v>26</v>
      </c>
      <c r="I133" s="261"/>
      <c r="J133" s="274"/>
      <c r="K133" s="274"/>
      <c r="L133" s="274"/>
      <c r="M133" s="274"/>
      <c r="N133" s="273">
        <v>1</v>
      </c>
      <c r="O133" s="266" t="s">
        <v>65</v>
      </c>
    </row>
    <row r="134" spans="1:15">
      <c r="A134" s="265">
        <v>39</v>
      </c>
      <c r="B134" s="266" t="s">
        <v>201</v>
      </c>
      <c r="C134" s="267" t="s">
        <v>134</v>
      </c>
      <c r="D134" s="268">
        <v>52</v>
      </c>
      <c r="E134" s="269" t="s">
        <v>207</v>
      </c>
      <c r="F134" s="270" t="s">
        <v>208</v>
      </c>
      <c r="G134" s="397">
        <v>2900</v>
      </c>
      <c r="H134" s="272" t="s">
        <v>26</v>
      </c>
      <c r="I134" s="261"/>
      <c r="J134" s="274"/>
      <c r="K134" s="274"/>
      <c r="L134" s="274"/>
      <c r="M134" s="274"/>
      <c r="N134" s="273">
        <v>1</v>
      </c>
      <c r="O134" s="266"/>
    </row>
    <row r="135" spans="1:15" ht="16.5" thickBot="1">
      <c r="A135" s="270"/>
      <c r="B135" s="400" t="s">
        <v>209</v>
      </c>
      <c r="C135" s="267"/>
      <c r="D135" s="268"/>
      <c r="E135" s="269"/>
      <c r="F135" s="270"/>
      <c r="G135" s="416">
        <f>SUM(G96:G134)</f>
        <v>147135</v>
      </c>
      <c r="H135" s="272"/>
      <c r="I135" s="41"/>
      <c r="J135" s="274"/>
      <c r="K135" s="274"/>
      <c r="L135" s="274"/>
      <c r="M135" s="274"/>
      <c r="N135" s="274"/>
      <c r="O135" s="266"/>
    </row>
    <row r="136" spans="1:15" ht="16.5" thickTop="1">
      <c r="A136" s="47"/>
      <c r="B136" s="39"/>
      <c r="C136" s="44"/>
      <c r="D136" s="45"/>
      <c r="E136" s="46"/>
      <c r="F136" s="47"/>
      <c r="G136" s="250"/>
      <c r="H136" s="49"/>
      <c r="I136" s="41"/>
      <c r="J136" s="50"/>
      <c r="K136" s="50"/>
      <c r="L136" s="50"/>
      <c r="M136" s="50"/>
      <c r="N136" s="50"/>
      <c r="O136" s="43"/>
    </row>
    <row r="137" spans="1:15">
      <c r="A137" s="13" t="s">
        <v>210</v>
      </c>
      <c r="B137" s="14" t="s">
        <v>211</v>
      </c>
      <c r="C137" s="15"/>
      <c r="D137" s="16"/>
      <c r="E137" s="29"/>
      <c r="F137" s="18"/>
      <c r="G137" s="19"/>
      <c r="H137" s="32"/>
      <c r="I137" s="42"/>
      <c r="J137" s="22"/>
      <c r="K137" s="22"/>
      <c r="L137" s="22"/>
      <c r="M137" s="22"/>
      <c r="N137" s="22"/>
      <c r="O137" s="24"/>
    </row>
    <row r="138" spans="1:15">
      <c r="A138" s="25">
        <v>1</v>
      </c>
      <c r="B138" s="20" t="s">
        <v>212</v>
      </c>
      <c r="C138" s="15" t="s">
        <v>210</v>
      </c>
      <c r="D138" s="16">
        <v>50</v>
      </c>
      <c r="E138" s="29" t="s">
        <v>213</v>
      </c>
      <c r="F138" s="18" t="s">
        <v>214</v>
      </c>
      <c r="G138" s="36">
        <v>26000</v>
      </c>
      <c r="H138" s="32" t="s">
        <v>26</v>
      </c>
      <c r="I138" s="33">
        <v>1</v>
      </c>
      <c r="J138" s="22"/>
      <c r="K138" s="22"/>
      <c r="L138" s="22"/>
      <c r="M138" s="22"/>
      <c r="N138" s="22"/>
      <c r="O138" s="24" t="s">
        <v>215</v>
      </c>
    </row>
    <row r="139" spans="1:15">
      <c r="A139" s="25">
        <v>2</v>
      </c>
      <c r="B139" s="20" t="s">
        <v>216</v>
      </c>
      <c r="C139" s="15" t="s">
        <v>210</v>
      </c>
      <c r="D139" s="16">
        <v>56</v>
      </c>
      <c r="E139" s="29" t="s">
        <v>217</v>
      </c>
      <c r="F139" s="18" t="s">
        <v>218</v>
      </c>
      <c r="G139" s="36">
        <v>22000</v>
      </c>
      <c r="H139" s="32" t="s">
        <v>26</v>
      </c>
      <c r="I139" s="33">
        <v>1</v>
      </c>
      <c r="J139" s="22"/>
      <c r="K139" s="22"/>
      <c r="L139" s="22"/>
      <c r="M139" s="22"/>
      <c r="N139" s="22"/>
      <c r="O139" s="24" t="s">
        <v>22</v>
      </c>
    </row>
    <row r="140" spans="1:15">
      <c r="A140" s="25">
        <v>3</v>
      </c>
      <c r="B140" s="59" t="s">
        <v>211</v>
      </c>
      <c r="C140" s="15" t="s">
        <v>210</v>
      </c>
      <c r="D140" s="16">
        <v>52</v>
      </c>
      <c r="E140" s="29" t="s">
        <v>219</v>
      </c>
      <c r="F140" s="18" t="s">
        <v>220</v>
      </c>
      <c r="G140" s="60">
        <v>30495</v>
      </c>
      <c r="H140" s="61" t="s">
        <v>221</v>
      </c>
      <c r="I140" s="33">
        <v>1</v>
      </c>
      <c r="J140" s="62"/>
      <c r="K140" s="62"/>
      <c r="L140" s="62"/>
      <c r="M140" s="62"/>
      <c r="N140" s="62"/>
      <c r="O140" s="24" t="s">
        <v>222</v>
      </c>
    </row>
    <row r="141" spans="1:15">
      <c r="A141" s="25">
        <v>4</v>
      </c>
      <c r="B141" s="59" t="s">
        <v>211</v>
      </c>
      <c r="C141" s="15" t="s">
        <v>210</v>
      </c>
      <c r="D141" s="16">
        <v>52</v>
      </c>
      <c r="E141" s="29" t="s">
        <v>223</v>
      </c>
      <c r="F141" s="18" t="s">
        <v>220</v>
      </c>
      <c r="G141" s="60">
        <v>37985</v>
      </c>
      <c r="H141" s="61" t="s">
        <v>224</v>
      </c>
      <c r="I141" s="33">
        <v>1</v>
      </c>
      <c r="J141" s="62"/>
      <c r="K141" s="62"/>
      <c r="L141" s="62"/>
      <c r="M141" s="62"/>
      <c r="N141" s="62"/>
      <c r="O141" s="24" t="s">
        <v>222</v>
      </c>
    </row>
    <row r="142" spans="1:15">
      <c r="A142" s="25">
        <v>5</v>
      </c>
      <c r="B142" s="59" t="s">
        <v>211</v>
      </c>
      <c r="C142" s="15" t="s">
        <v>210</v>
      </c>
      <c r="D142" s="16">
        <v>52</v>
      </c>
      <c r="E142" s="29" t="s">
        <v>225</v>
      </c>
      <c r="F142" s="18" t="s">
        <v>220</v>
      </c>
      <c r="G142" s="63">
        <v>37985</v>
      </c>
      <c r="H142" s="61" t="s">
        <v>221</v>
      </c>
      <c r="I142" s="33">
        <v>1</v>
      </c>
      <c r="J142" s="62"/>
      <c r="K142" s="62"/>
      <c r="L142" s="62"/>
      <c r="M142" s="62"/>
      <c r="N142" s="62"/>
      <c r="O142" s="24" t="s">
        <v>222</v>
      </c>
    </row>
    <row r="143" spans="1:15">
      <c r="A143" s="25">
        <v>6</v>
      </c>
      <c r="B143" s="20" t="s">
        <v>226</v>
      </c>
      <c r="C143" s="35" t="s">
        <v>210</v>
      </c>
      <c r="D143" s="16">
        <v>64</v>
      </c>
      <c r="E143" s="29" t="s">
        <v>227</v>
      </c>
      <c r="F143" s="18" t="s">
        <v>228</v>
      </c>
      <c r="G143" s="36">
        <v>45500</v>
      </c>
      <c r="H143" s="32" t="s">
        <v>26</v>
      </c>
      <c r="I143" s="33">
        <v>1</v>
      </c>
      <c r="J143" s="33"/>
      <c r="K143" s="62"/>
      <c r="L143" s="62"/>
      <c r="M143" s="62"/>
      <c r="N143" s="62"/>
      <c r="O143" s="24" t="s">
        <v>229</v>
      </c>
    </row>
    <row r="144" spans="1:15">
      <c r="A144" s="25">
        <v>7</v>
      </c>
      <c r="B144" s="20" t="s">
        <v>226</v>
      </c>
      <c r="C144" s="35" t="s">
        <v>210</v>
      </c>
      <c r="D144" s="16">
        <v>64</v>
      </c>
      <c r="E144" s="29" t="s">
        <v>230</v>
      </c>
      <c r="F144" s="18" t="s">
        <v>228</v>
      </c>
      <c r="G144" s="36">
        <v>45500</v>
      </c>
      <c r="H144" s="32" t="s">
        <v>26</v>
      </c>
      <c r="I144" s="33">
        <v>1</v>
      </c>
      <c r="J144" s="33"/>
      <c r="K144" s="62"/>
      <c r="L144" s="62"/>
      <c r="M144" s="62"/>
      <c r="N144" s="62"/>
      <c r="O144" s="24" t="s">
        <v>229</v>
      </c>
    </row>
    <row r="145" spans="1:15">
      <c r="A145" s="25">
        <v>8</v>
      </c>
      <c r="B145" s="20" t="s">
        <v>226</v>
      </c>
      <c r="C145" s="35" t="s">
        <v>210</v>
      </c>
      <c r="D145" s="16">
        <v>64</v>
      </c>
      <c r="E145" s="29" t="s">
        <v>231</v>
      </c>
      <c r="F145" s="18" t="s">
        <v>228</v>
      </c>
      <c r="G145" s="36">
        <v>45500</v>
      </c>
      <c r="H145" s="32" t="s">
        <v>26</v>
      </c>
      <c r="I145" s="33">
        <v>1</v>
      </c>
      <c r="J145" s="33"/>
      <c r="K145" s="62"/>
      <c r="L145" s="62"/>
      <c r="M145" s="62"/>
      <c r="N145" s="62"/>
      <c r="O145" s="24" t="s">
        <v>229</v>
      </c>
    </row>
    <row r="146" spans="1:15">
      <c r="A146" s="25">
        <v>9</v>
      </c>
      <c r="B146" s="20" t="s">
        <v>226</v>
      </c>
      <c r="C146" s="35" t="s">
        <v>210</v>
      </c>
      <c r="D146" s="16">
        <v>64</v>
      </c>
      <c r="E146" s="29" t="s">
        <v>232</v>
      </c>
      <c r="F146" s="18" t="s">
        <v>228</v>
      </c>
      <c r="G146" s="36">
        <v>45500</v>
      </c>
      <c r="H146" s="49" t="s">
        <v>26</v>
      </c>
      <c r="I146" s="33">
        <v>1</v>
      </c>
      <c r="J146" s="33"/>
      <c r="K146" s="62"/>
      <c r="L146" s="62"/>
      <c r="M146" s="62"/>
      <c r="N146" s="62"/>
      <c r="O146" s="24" t="s">
        <v>229</v>
      </c>
    </row>
    <row r="147" spans="1:15">
      <c r="A147" s="25">
        <v>10</v>
      </c>
      <c r="B147" s="20" t="s">
        <v>226</v>
      </c>
      <c r="C147" s="35" t="s">
        <v>210</v>
      </c>
      <c r="D147" s="16">
        <v>64</v>
      </c>
      <c r="E147" s="29" t="s">
        <v>233</v>
      </c>
      <c r="F147" s="18" t="s">
        <v>228</v>
      </c>
      <c r="G147" s="36">
        <v>45500</v>
      </c>
      <c r="H147" s="49" t="s">
        <v>26</v>
      </c>
      <c r="I147" s="33">
        <v>1</v>
      </c>
      <c r="J147" s="33"/>
      <c r="K147" s="62"/>
      <c r="L147" s="62"/>
      <c r="M147" s="62"/>
      <c r="N147" s="62"/>
      <c r="O147" s="24" t="s">
        <v>229</v>
      </c>
    </row>
    <row r="148" spans="1:15" ht="31.5">
      <c r="A148" s="58">
        <v>11</v>
      </c>
      <c r="B148" s="247" t="s">
        <v>563</v>
      </c>
      <c r="C148" s="248" t="s">
        <v>210</v>
      </c>
      <c r="D148" s="45">
        <v>67</v>
      </c>
      <c r="E148" s="46" t="s">
        <v>561</v>
      </c>
      <c r="F148" s="47" t="s">
        <v>562</v>
      </c>
      <c r="G148" s="48">
        <v>37900</v>
      </c>
      <c r="H148" s="49" t="s">
        <v>26</v>
      </c>
      <c r="I148" s="33">
        <v>1</v>
      </c>
      <c r="J148" s="33"/>
      <c r="K148" s="249"/>
      <c r="L148" s="249"/>
      <c r="M148" s="249"/>
      <c r="N148" s="249"/>
      <c r="O148" s="56" t="s">
        <v>565</v>
      </c>
    </row>
    <row r="149" spans="1:15" ht="16.5" thickBot="1">
      <c r="A149" s="25"/>
      <c r="B149" s="39" t="s">
        <v>234</v>
      </c>
      <c r="C149" s="15"/>
      <c r="D149" s="16"/>
      <c r="E149" s="29"/>
      <c r="F149" s="18"/>
      <c r="G149" s="64">
        <f>SUM(G138:G148)</f>
        <v>419865</v>
      </c>
      <c r="H149" s="61"/>
      <c r="I149" s="41"/>
      <c r="J149" s="62"/>
      <c r="K149" s="62"/>
      <c r="L149" s="62"/>
      <c r="M149" s="62"/>
      <c r="N149" s="62"/>
      <c r="O149" s="24"/>
    </row>
    <row r="150" spans="1:15" ht="16.5" thickTop="1">
      <c r="A150" s="13" t="s">
        <v>235</v>
      </c>
      <c r="B150" s="14" t="s">
        <v>236</v>
      </c>
      <c r="C150" s="15"/>
      <c r="D150" s="16"/>
      <c r="E150" s="29"/>
      <c r="F150" s="18"/>
      <c r="G150" s="19"/>
      <c r="H150" s="32"/>
      <c r="I150" s="42"/>
      <c r="J150" s="22"/>
      <c r="K150" s="22"/>
      <c r="L150" s="22"/>
      <c r="M150" s="22"/>
      <c r="N150" s="22"/>
      <c r="O150" s="24"/>
    </row>
    <row r="151" spans="1:15">
      <c r="A151" s="25">
        <v>1</v>
      </c>
      <c r="B151" s="20" t="s">
        <v>237</v>
      </c>
      <c r="C151" s="15" t="s">
        <v>235</v>
      </c>
      <c r="D151" s="16">
        <v>40</v>
      </c>
      <c r="E151" s="29" t="s">
        <v>238</v>
      </c>
      <c r="F151" s="18" t="s">
        <v>239</v>
      </c>
      <c r="G151" s="36">
        <v>1250</v>
      </c>
      <c r="H151" s="32" t="s">
        <v>26</v>
      </c>
      <c r="J151" s="33">
        <v>1</v>
      </c>
      <c r="K151" s="22"/>
      <c r="L151" s="22"/>
      <c r="M151" s="22"/>
      <c r="N151" s="22"/>
      <c r="O151" s="24" t="s">
        <v>89</v>
      </c>
    </row>
    <row r="152" spans="1:15">
      <c r="A152" s="25">
        <v>2</v>
      </c>
      <c r="B152" s="20" t="s">
        <v>237</v>
      </c>
      <c r="C152" s="15" t="s">
        <v>235</v>
      </c>
      <c r="D152" s="16">
        <v>40</v>
      </c>
      <c r="E152" s="29" t="s">
        <v>240</v>
      </c>
      <c r="F152" s="18" t="s">
        <v>239</v>
      </c>
      <c r="G152" s="36">
        <v>1250</v>
      </c>
      <c r="H152" s="32" t="s">
        <v>26</v>
      </c>
      <c r="J152" s="33">
        <v>1</v>
      </c>
      <c r="K152" s="22"/>
      <c r="L152" s="22"/>
      <c r="M152" s="22"/>
      <c r="N152" s="22"/>
      <c r="O152" s="24" t="s">
        <v>597</v>
      </c>
    </row>
    <row r="153" spans="1:15">
      <c r="A153" s="25">
        <v>3</v>
      </c>
      <c r="B153" s="20" t="s">
        <v>237</v>
      </c>
      <c r="C153" s="15" t="s">
        <v>235</v>
      </c>
      <c r="D153" s="16">
        <v>40</v>
      </c>
      <c r="E153" s="29" t="s">
        <v>241</v>
      </c>
      <c r="F153" s="18" t="s">
        <v>239</v>
      </c>
      <c r="G153" s="36">
        <v>1250</v>
      </c>
      <c r="H153" s="32" t="s">
        <v>26</v>
      </c>
      <c r="J153" s="33">
        <v>1</v>
      </c>
      <c r="K153" s="22"/>
      <c r="L153" s="22"/>
      <c r="M153" s="22"/>
      <c r="N153" s="22"/>
      <c r="O153" s="24" t="s">
        <v>43</v>
      </c>
    </row>
    <row r="154" spans="1:15">
      <c r="A154" s="25">
        <v>4</v>
      </c>
      <c r="B154" s="20" t="s">
        <v>237</v>
      </c>
      <c r="C154" s="15" t="s">
        <v>235</v>
      </c>
      <c r="D154" s="16">
        <v>40</v>
      </c>
      <c r="E154" s="29" t="s">
        <v>242</v>
      </c>
      <c r="F154" s="18" t="s">
        <v>239</v>
      </c>
      <c r="G154" s="36">
        <v>1250</v>
      </c>
      <c r="H154" s="32" t="s">
        <v>26</v>
      </c>
      <c r="J154" s="33">
        <v>1</v>
      </c>
      <c r="K154" s="22"/>
      <c r="L154" s="22"/>
      <c r="M154" s="22"/>
      <c r="N154" s="22"/>
      <c r="O154" s="24" t="s">
        <v>243</v>
      </c>
    </row>
    <row r="155" spans="1:15">
      <c r="A155" s="25">
        <v>5</v>
      </c>
      <c r="B155" s="20" t="s">
        <v>244</v>
      </c>
      <c r="C155" s="15" t="s">
        <v>235</v>
      </c>
      <c r="D155" s="16">
        <v>57</v>
      </c>
      <c r="E155" s="29" t="s">
        <v>245</v>
      </c>
      <c r="F155" s="18" t="s">
        <v>74</v>
      </c>
      <c r="G155" s="36">
        <v>1444.5</v>
      </c>
      <c r="H155" s="32" t="s">
        <v>26</v>
      </c>
      <c r="I155" s="33">
        <v>1</v>
      </c>
      <c r="J155" s="22"/>
      <c r="K155" s="22"/>
      <c r="L155" s="22"/>
      <c r="M155" s="22"/>
      <c r="N155" s="22"/>
      <c r="O155" s="24" t="s">
        <v>596</v>
      </c>
    </row>
    <row r="156" spans="1:15">
      <c r="A156" s="25">
        <v>6</v>
      </c>
      <c r="B156" s="20" t="s">
        <v>244</v>
      </c>
      <c r="C156" s="15" t="s">
        <v>235</v>
      </c>
      <c r="D156" s="16">
        <v>57</v>
      </c>
      <c r="E156" s="29" t="s">
        <v>246</v>
      </c>
      <c r="F156" s="18" t="s">
        <v>74</v>
      </c>
      <c r="G156" s="36">
        <v>1444.5</v>
      </c>
      <c r="H156" s="32" t="s">
        <v>26</v>
      </c>
      <c r="I156" s="33">
        <v>1</v>
      </c>
      <c r="J156" s="22"/>
      <c r="K156" s="22"/>
      <c r="L156" s="22"/>
      <c r="M156" s="22"/>
      <c r="N156" s="22"/>
      <c r="O156" s="24" t="s">
        <v>596</v>
      </c>
    </row>
    <row r="157" spans="1:15">
      <c r="A157" s="25">
        <v>7</v>
      </c>
      <c r="B157" s="20" t="s">
        <v>247</v>
      </c>
      <c r="C157" s="15" t="s">
        <v>235</v>
      </c>
      <c r="D157" s="16">
        <v>57</v>
      </c>
      <c r="E157" s="29" t="s">
        <v>248</v>
      </c>
      <c r="F157" s="18" t="s">
        <v>74</v>
      </c>
      <c r="G157" s="36">
        <v>1766</v>
      </c>
      <c r="H157" s="32" t="s">
        <v>26</v>
      </c>
      <c r="I157" s="33">
        <v>1</v>
      </c>
      <c r="J157" s="22"/>
      <c r="K157" s="22"/>
      <c r="L157" s="22"/>
      <c r="M157" s="22"/>
      <c r="N157" s="22"/>
      <c r="O157" s="24" t="s">
        <v>596</v>
      </c>
    </row>
    <row r="158" spans="1:15">
      <c r="A158" s="25">
        <v>8</v>
      </c>
      <c r="B158" s="65" t="s">
        <v>249</v>
      </c>
      <c r="C158" s="66" t="s">
        <v>235</v>
      </c>
      <c r="D158" s="67" t="s">
        <v>250</v>
      </c>
      <c r="E158" s="68" t="s">
        <v>251</v>
      </c>
      <c r="F158" s="18" t="s">
        <v>220</v>
      </c>
      <c r="G158" s="69">
        <v>1158.81</v>
      </c>
      <c r="H158" s="32" t="s">
        <v>26</v>
      </c>
      <c r="I158" s="33">
        <v>1</v>
      </c>
      <c r="J158" s="70"/>
      <c r="K158" s="70"/>
      <c r="L158" s="70"/>
      <c r="M158" s="70"/>
      <c r="N158" s="70"/>
      <c r="O158" s="24" t="s">
        <v>222</v>
      </c>
    </row>
    <row r="159" spans="1:15">
      <c r="A159" s="25">
        <v>9</v>
      </c>
      <c r="B159" s="65" t="s">
        <v>249</v>
      </c>
      <c r="C159" s="66" t="s">
        <v>235</v>
      </c>
      <c r="D159" s="67" t="s">
        <v>250</v>
      </c>
      <c r="E159" s="68" t="s">
        <v>252</v>
      </c>
      <c r="F159" s="18" t="s">
        <v>220</v>
      </c>
      <c r="G159" s="69">
        <v>1158.81</v>
      </c>
      <c r="H159" s="32" t="s">
        <v>26</v>
      </c>
      <c r="I159" s="33">
        <v>1</v>
      </c>
      <c r="J159" s="70"/>
      <c r="K159" s="70"/>
      <c r="L159" s="70"/>
      <c r="M159" s="70"/>
      <c r="N159" s="70"/>
      <c r="O159" s="24" t="s">
        <v>222</v>
      </c>
    </row>
    <row r="160" spans="1:15">
      <c r="A160" s="25">
        <v>10</v>
      </c>
      <c r="B160" s="65" t="s">
        <v>249</v>
      </c>
      <c r="C160" s="66" t="s">
        <v>235</v>
      </c>
      <c r="D160" s="67" t="s">
        <v>250</v>
      </c>
      <c r="E160" s="68" t="s">
        <v>253</v>
      </c>
      <c r="F160" s="18" t="s">
        <v>220</v>
      </c>
      <c r="G160" s="69">
        <v>1158.81</v>
      </c>
      <c r="H160" s="32" t="s">
        <v>26</v>
      </c>
      <c r="I160" s="33">
        <v>1</v>
      </c>
      <c r="J160" s="70"/>
      <c r="K160" s="70"/>
      <c r="L160" s="70"/>
      <c r="M160" s="70"/>
      <c r="N160" s="70"/>
      <c r="O160" s="24" t="s">
        <v>222</v>
      </c>
    </row>
    <row r="161" spans="1:15">
      <c r="A161" s="25">
        <v>11</v>
      </c>
      <c r="B161" s="65" t="s">
        <v>254</v>
      </c>
      <c r="C161" s="66" t="s">
        <v>235</v>
      </c>
      <c r="D161" s="67" t="s">
        <v>250</v>
      </c>
      <c r="E161" s="68" t="s">
        <v>255</v>
      </c>
      <c r="F161" s="18" t="s">
        <v>220</v>
      </c>
      <c r="G161" s="69">
        <v>1300</v>
      </c>
      <c r="H161" s="32" t="s">
        <v>26</v>
      </c>
      <c r="I161" s="33">
        <v>1</v>
      </c>
      <c r="J161" s="70"/>
      <c r="K161" s="70"/>
      <c r="L161" s="70"/>
      <c r="M161" s="70"/>
      <c r="N161" s="70"/>
      <c r="O161" s="71" t="s">
        <v>256</v>
      </c>
    </row>
    <row r="162" spans="1:15">
      <c r="A162" s="25">
        <v>12</v>
      </c>
      <c r="B162" s="65" t="s">
        <v>254</v>
      </c>
      <c r="C162" s="66" t="s">
        <v>235</v>
      </c>
      <c r="D162" s="67" t="s">
        <v>250</v>
      </c>
      <c r="E162" s="68" t="s">
        <v>257</v>
      </c>
      <c r="F162" s="18" t="s">
        <v>220</v>
      </c>
      <c r="G162" s="69">
        <v>1300</v>
      </c>
      <c r="H162" s="32" t="s">
        <v>26</v>
      </c>
      <c r="I162" s="33">
        <v>1</v>
      </c>
      <c r="J162" s="70"/>
      <c r="K162" s="70"/>
      <c r="L162" s="70"/>
      <c r="M162" s="70"/>
      <c r="N162" s="70"/>
      <c r="O162" s="71" t="s">
        <v>256</v>
      </c>
    </row>
    <row r="163" spans="1:15">
      <c r="A163" s="25">
        <v>13</v>
      </c>
      <c r="B163" s="65" t="s">
        <v>254</v>
      </c>
      <c r="C163" s="66" t="s">
        <v>235</v>
      </c>
      <c r="D163" s="67" t="s">
        <v>250</v>
      </c>
      <c r="E163" s="68" t="s">
        <v>258</v>
      </c>
      <c r="F163" s="18" t="s">
        <v>220</v>
      </c>
      <c r="G163" s="69">
        <v>1300</v>
      </c>
      <c r="H163" s="32" t="s">
        <v>26</v>
      </c>
      <c r="I163" s="33">
        <v>1</v>
      </c>
      <c r="J163" s="70"/>
      <c r="K163" s="70"/>
      <c r="L163" s="70"/>
      <c r="M163" s="70"/>
      <c r="N163" s="70"/>
      <c r="O163" s="71" t="s">
        <v>256</v>
      </c>
    </row>
    <row r="164" spans="1:15" ht="16.5" thickBot="1">
      <c r="A164" s="30"/>
      <c r="B164" s="39" t="s">
        <v>260</v>
      </c>
      <c r="C164" s="66"/>
      <c r="D164" s="67"/>
      <c r="E164" s="68"/>
      <c r="F164" s="18"/>
      <c r="G164" s="74">
        <f>SUM(G151:G163)</f>
        <v>17031.43</v>
      </c>
      <c r="H164" s="32"/>
      <c r="I164" s="41"/>
      <c r="J164" s="70"/>
      <c r="K164" s="70"/>
      <c r="L164" s="70"/>
      <c r="M164" s="70"/>
      <c r="N164" s="70"/>
      <c r="O164" s="73"/>
    </row>
    <row r="165" spans="1:15" ht="16.5" thickTop="1">
      <c r="A165" s="76">
        <v>2</v>
      </c>
      <c r="B165" s="77" t="s">
        <v>261</v>
      </c>
      <c r="C165" s="16"/>
      <c r="D165" s="78"/>
      <c r="E165" s="29"/>
      <c r="F165" s="79"/>
      <c r="G165" s="80"/>
      <c r="H165" s="81"/>
      <c r="I165" s="22"/>
      <c r="J165" s="22"/>
      <c r="K165" s="22"/>
      <c r="L165" s="22"/>
      <c r="M165" s="22"/>
      <c r="N165" s="24"/>
      <c r="O165" s="82"/>
    </row>
    <row r="166" spans="1:15">
      <c r="A166" s="13" t="s">
        <v>262</v>
      </c>
      <c r="B166" s="14" t="s">
        <v>263</v>
      </c>
      <c r="C166" s="15"/>
      <c r="D166" s="16"/>
      <c r="E166" s="29"/>
      <c r="F166" s="18"/>
      <c r="G166" s="83"/>
      <c r="H166" s="61"/>
      <c r="I166" s="42"/>
      <c r="J166" s="62"/>
      <c r="K166" s="62"/>
      <c r="L166" s="62"/>
      <c r="M166" s="62"/>
      <c r="N166" s="62"/>
      <c r="O166" s="24"/>
    </row>
    <row r="167" spans="1:15">
      <c r="A167" s="84">
        <v>1</v>
      </c>
      <c r="B167" s="65" t="s">
        <v>264</v>
      </c>
      <c r="C167" s="66" t="s">
        <v>262</v>
      </c>
      <c r="D167" s="67" t="s">
        <v>265</v>
      </c>
      <c r="E167" s="68" t="s">
        <v>266</v>
      </c>
      <c r="F167" s="85" t="s">
        <v>267</v>
      </c>
      <c r="G167" s="72">
        <v>2140</v>
      </c>
      <c r="H167" s="75" t="s">
        <v>26</v>
      </c>
      <c r="J167" s="33">
        <v>1</v>
      </c>
      <c r="K167" s="70"/>
      <c r="L167" s="70"/>
      <c r="M167" s="70"/>
      <c r="N167" s="70"/>
      <c r="O167" s="71" t="s">
        <v>268</v>
      </c>
    </row>
    <row r="168" spans="1:15" ht="16.5" thickBot="1">
      <c r="A168" s="84"/>
      <c r="B168" s="39" t="s">
        <v>269</v>
      </c>
      <c r="C168" s="66"/>
      <c r="D168" s="67"/>
      <c r="E168" s="68"/>
      <c r="F168" s="85"/>
      <c r="G168" s="74">
        <f>SUM(G167)</f>
        <v>2140</v>
      </c>
      <c r="H168" s="75"/>
      <c r="I168" s="41"/>
      <c r="J168" s="70"/>
      <c r="K168" s="70"/>
      <c r="L168" s="70"/>
      <c r="M168" s="70"/>
      <c r="N168" s="70"/>
      <c r="O168" s="71"/>
    </row>
    <row r="169" spans="1:15" ht="16.5" thickTop="1">
      <c r="A169" s="13" t="s">
        <v>651</v>
      </c>
      <c r="B169" s="14" t="s">
        <v>263</v>
      </c>
      <c r="C169" s="15"/>
      <c r="D169" s="16"/>
      <c r="E169" s="29"/>
      <c r="F169" s="18"/>
      <c r="G169" s="83"/>
      <c r="H169" s="61"/>
      <c r="I169" s="42"/>
      <c r="J169" s="62"/>
      <c r="K169" s="62"/>
      <c r="L169" s="62"/>
      <c r="M169" s="62"/>
      <c r="N169" s="62"/>
      <c r="O169" s="24"/>
    </row>
    <row r="170" spans="1:15">
      <c r="A170" s="84">
        <v>1</v>
      </c>
      <c r="B170" s="65" t="s">
        <v>650</v>
      </c>
      <c r="C170" s="66" t="s">
        <v>651</v>
      </c>
      <c r="D170" s="67" t="s">
        <v>652</v>
      </c>
      <c r="E170" s="68" t="s">
        <v>653</v>
      </c>
      <c r="F170" s="85" t="s">
        <v>654</v>
      </c>
      <c r="G170" s="72">
        <v>69550</v>
      </c>
      <c r="H170" s="75" t="s">
        <v>26</v>
      </c>
      <c r="I170" s="33">
        <v>1</v>
      </c>
      <c r="J170" s="33"/>
      <c r="K170" s="70"/>
      <c r="L170" s="70"/>
      <c r="M170" s="70"/>
      <c r="N170" s="70"/>
      <c r="O170" s="71" t="s">
        <v>655</v>
      </c>
    </row>
    <row r="171" spans="1:15" ht="16.5" thickBot="1">
      <c r="A171" s="84"/>
      <c r="B171" s="39" t="s">
        <v>269</v>
      </c>
      <c r="C171" s="66"/>
      <c r="D171" s="67"/>
      <c r="E171" s="68"/>
      <c r="F171" s="85"/>
      <c r="G171" s="74">
        <f>SUM(G170)</f>
        <v>69550</v>
      </c>
      <c r="H171" s="75"/>
      <c r="I171" s="41"/>
      <c r="J171" s="70"/>
      <c r="K171" s="70"/>
      <c r="L171" s="70"/>
      <c r="M171" s="70"/>
      <c r="N171" s="70"/>
      <c r="O171" s="71"/>
    </row>
    <row r="172" spans="1:15" ht="16.5" thickTop="1">
      <c r="A172" s="86">
        <v>3</v>
      </c>
      <c r="B172" s="87" t="s">
        <v>270</v>
      </c>
      <c r="C172" s="16"/>
      <c r="D172" s="78"/>
      <c r="E172" s="29"/>
      <c r="F172" s="79"/>
      <c r="G172" s="80"/>
      <c r="H172" s="81"/>
      <c r="I172" s="22"/>
      <c r="J172" s="22"/>
      <c r="K172" s="22"/>
      <c r="L172" s="22"/>
      <c r="M172" s="22"/>
      <c r="N172" s="37"/>
      <c r="O172" s="82"/>
    </row>
    <row r="173" spans="1:15">
      <c r="A173" s="13" t="s">
        <v>271</v>
      </c>
      <c r="B173" s="14" t="s">
        <v>272</v>
      </c>
      <c r="C173" s="15"/>
      <c r="D173" s="16"/>
      <c r="E173" s="29"/>
      <c r="F173" s="18"/>
      <c r="G173" s="19"/>
      <c r="H173" s="32"/>
      <c r="I173" s="42"/>
      <c r="J173" s="22"/>
      <c r="K173" s="22"/>
      <c r="L173" s="22"/>
      <c r="M173" s="22"/>
      <c r="N173" s="22"/>
      <c r="O173" s="24"/>
    </row>
    <row r="174" spans="1:15" ht="31.5">
      <c r="A174" s="84">
        <v>1</v>
      </c>
      <c r="B174" s="88" t="s">
        <v>273</v>
      </c>
      <c r="C174" s="89" t="s">
        <v>271</v>
      </c>
      <c r="D174" s="45">
        <v>64</v>
      </c>
      <c r="E174" s="46" t="s">
        <v>274</v>
      </c>
      <c r="F174" s="47" t="s">
        <v>275</v>
      </c>
      <c r="G174" s="48">
        <v>4150</v>
      </c>
      <c r="H174" s="75" t="s">
        <v>21</v>
      </c>
      <c r="I174" s="33">
        <v>1</v>
      </c>
      <c r="J174" s="22"/>
      <c r="K174" s="22"/>
      <c r="L174" s="22"/>
      <c r="M174" s="22"/>
      <c r="N174" s="22"/>
      <c r="O174" s="56" t="s">
        <v>276</v>
      </c>
    </row>
    <row r="175" spans="1:15" ht="31.5">
      <c r="A175" s="84">
        <v>2</v>
      </c>
      <c r="B175" s="88" t="s">
        <v>273</v>
      </c>
      <c r="C175" s="89" t="s">
        <v>271</v>
      </c>
      <c r="D175" s="45">
        <v>64</v>
      </c>
      <c r="E175" s="46" t="s">
        <v>277</v>
      </c>
      <c r="F175" s="47" t="s">
        <v>275</v>
      </c>
      <c r="G175" s="48">
        <v>4150</v>
      </c>
      <c r="H175" s="75" t="s">
        <v>21</v>
      </c>
      <c r="I175" s="33">
        <v>1</v>
      </c>
      <c r="J175" s="22"/>
      <c r="K175" s="22"/>
      <c r="L175" s="22"/>
      <c r="M175" s="22"/>
      <c r="N175" s="22"/>
      <c r="O175" s="56" t="s">
        <v>276</v>
      </c>
    </row>
    <row r="176" spans="1:15" ht="51" customHeight="1">
      <c r="A176" s="84">
        <v>3</v>
      </c>
      <c r="B176" s="88" t="s">
        <v>273</v>
      </c>
      <c r="C176" s="89" t="s">
        <v>271</v>
      </c>
      <c r="D176" s="45">
        <v>64</v>
      </c>
      <c r="E176" s="46" t="s">
        <v>278</v>
      </c>
      <c r="F176" s="47" t="s">
        <v>275</v>
      </c>
      <c r="G176" s="48">
        <v>4150</v>
      </c>
      <c r="H176" s="75" t="s">
        <v>21</v>
      </c>
      <c r="I176" s="33">
        <v>1</v>
      </c>
      <c r="J176" s="22"/>
      <c r="K176" s="22"/>
      <c r="L176" s="22"/>
      <c r="M176" s="22"/>
      <c r="N176" s="22"/>
      <c r="O176" s="56" t="s">
        <v>276</v>
      </c>
    </row>
    <row r="177" spans="1:15" ht="31.5">
      <c r="A177" s="84">
        <v>4</v>
      </c>
      <c r="B177" s="88" t="s">
        <v>273</v>
      </c>
      <c r="C177" s="89" t="s">
        <v>271</v>
      </c>
      <c r="D177" s="45">
        <v>64</v>
      </c>
      <c r="E177" s="46" t="s">
        <v>279</v>
      </c>
      <c r="F177" s="47" t="s">
        <v>275</v>
      </c>
      <c r="G177" s="48">
        <v>4150</v>
      </c>
      <c r="H177" s="75" t="s">
        <v>21</v>
      </c>
      <c r="I177" s="33">
        <v>1</v>
      </c>
      <c r="J177" s="22"/>
      <c r="K177" s="22"/>
      <c r="L177" s="22"/>
      <c r="M177" s="22"/>
      <c r="N177" s="22"/>
      <c r="O177" s="56" t="s">
        <v>276</v>
      </c>
    </row>
    <row r="178" spans="1:15" ht="16.5" thickBot="1">
      <c r="A178" s="58"/>
      <c r="B178" s="39" t="s">
        <v>280</v>
      </c>
      <c r="C178" s="89"/>
      <c r="D178" s="45"/>
      <c r="E178" s="46"/>
      <c r="F178" s="47"/>
      <c r="G178" s="51">
        <f>SUM(G174:G177)</f>
        <v>16600</v>
      </c>
      <c r="H178" s="75"/>
      <c r="I178" s="41"/>
      <c r="J178" s="50"/>
      <c r="K178" s="50"/>
      <c r="L178" s="50"/>
      <c r="M178" s="50"/>
      <c r="N178" s="50"/>
      <c r="O178" s="56"/>
    </row>
    <row r="179" spans="1:15" ht="16.5" thickTop="1">
      <c r="A179" s="86">
        <v>4</v>
      </c>
      <c r="B179" s="87" t="s">
        <v>281</v>
      </c>
      <c r="C179" s="16"/>
      <c r="D179" s="78"/>
      <c r="E179" s="29"/>
      <c r="F179" s="79"/>
      <c r="G179" s="80"/>
      <c r="H179" s="81"/>
      <c r="I179" s="22"/>
      <c r="J179" s="22"/>
      <c r="K179" s="22"/>
      <c r="L179" s="22"/>
      <c r="M179" s="22"/>
      <c r="N179" s="37"/>
      <c r="O179" s="82"/>
    </row>
    <row r="180" spans="1:15">
      <c r="A180" s="13" t="s">
        <v>282</v>
      </c>
      <c r="B180" s="14" t="s">
        <v>283</v>
      </c>
      <c r="C180" s="15"/>
      <c r="D180" s="16"/>
      <c r="E180" s="17"/>
      <c r="F180" s="18"/>
      <c r="G180" s="19"/>
      <c r="H180" s="61"/>
      <c r="I180" s="21"/>
      <c r="J180" s="22"/>
      <c r="K180" s="22"/>
      <c r="L180" s="23"/>
      <c r="M180" s="22"/>
      <c r="N180" s="22"/>
      <c r="O180" s="24"/>
    </row>
    <row r="181" spans="1:15">
      <c r="A181" s="90">
        <v>1</v>
      </c>
      <c r="B181" s="91" t="s">
        <v>284</v>
      </c>
      <c r="C181" s="92" t="s">
        <v>282</v>
      </c>
      <c r="D181" s="45">
        <v>44</v>
      </c>
      <c r="E181" s="93" t="s">
        <v>285</v>
      </c>
      <c r="F181" s="94" t="s">
        <v>55</v>
      </c>
      <c r="G181" s="95">
        <v>25680</v>
      </c>
      <c r="H181" s="96" t="s">
        <v>26</v>
      </c>
      <c r="J181" s="33">
        <v>1</v>
      </c>
      <c r="K181" s="98"/>
      <c r="L181" s="98"/>
      <c r="M181" s="99"/>
      <c r="O181" s="101" t="s">
        <v>268</v>
      </c>
    </row>
    <row r="182" spans="1:15" ht="16.5" thickBot="1">
      <c r="A182" s="58"/>
      <c r="B182" s="39" t="s">
        <v>286</v>
      </c>
      <c r="C182" s="102"/>
      <c r="D182" s="45"/>
      <c r="E182" s="46"/>
      <c r="F182" s="47"/>
      <c r="G182" s="51">
        <f>SUM(G181)</f>
        <v>25680</v>
      </c>
      <c r="H182" s="103"/>
      <c r="I182" s="41"/>
      <c r="J182" s="97"/>
      <c r="K182" s="98"/>
      <c r="L182" s="98"/>
      <c r="M182" s="99"/>
      <c r="N182" s="100"/>
      <c r="O182" s="104"/>
    </row>
    <row r="183" spans="1:15" ht="16.5" thickTop="1">
      <c r="A183" s="86">
        <v>5</v>
      </c>
      <c r="B183" s="87" t="s">
        <v>287</v>
      </c>
      <c r="C183" s="16"/>
      <c r="D183" s="78"/>
      <c r="E183" s="29"/>
      <c r="F183" s="79"/>
      <c r="G183" s="80"/>
      <c r="H183" s="81"/>
      <c r="I183" s="22"/>
      <c r="J183" s="22"/>
      <c r="K183" s="22"/>
      <c r="L183" s="22"/>
      <c r="M183" s="22"/>
      <c r="N183" s="37"/>
      <c r="O183" s="82"/>
    </row>
    <row r="184" spans="1:15">
      <c r="A184" s="76">
        <v>6</v>
      </c>
      <c r="B184" s="87" t="s">
        <v>288</v>
      </c>
      <c r="C184" s="16"/>
      <c r="D184" s="78"/>
      <c r="E184" s="29"/>
      <c r="F184" s="79"/>
      <c r="G184" s="80"/>
      <c r="H184" s="81"/>
      <c r="I184" s="22"/>
      <c r="J184" s="22"/>
      <c r="K184" s="22"/>
      <c r="L184" s="22"/>
      <c r="M184" s="22"/>
      <c r="N184" s="37"/>
      <c r="O184" s="82"/>
    </row>
    <row r="185" spans="1:15">
      <c r="A185" s="13" t="s">
        <v>289</v>
      </c>
      <c r="B185" s="14" t="s">
        <v>290</v>
      </c>
      <c r="C185" s="105"/>
      <c r="D185" s="106"/>
      <c r="E185" s="107"/>
      <c r="F185" s="108"/>
      <c r="G185" s="109"/>
      <c r="H185" s="110"/>
      <c r="I185" s="111"/>
      <c r="J185" s="112"/>
      <c r="K185" s="112"/>
      <c r="L185" s="113"/>
      <c r="M185" s="113"/>
      <c r="N185" s="112"/>
      <c r="O185" s="114"/>
    </row>
    <row r="186" spans="1:15">
      <c r="A186" s="25">
        <v>1</v>
      </c>
      <c r="B186" s="59" t="s">
        <v>291</v>
      </c>
      <c r="C186" s="15" t="s">
        <v>289</v>
      </c>
      <c r="D186" s="16">
        <v>49</v>
      </c>
      <c r="E186" s="29" t="s">
        <v>292</v>
      </c>
      <c r="F186" s="18" t="s">
        <v>293</v>
      </c>
      <c r="G186" s="63">
        <v>3210</v>
      </c>
      <c r="H186" s="61" t="s">
        <v>26</v>
      </c>
      <c r="I186" s="33">
        <v>1</v>
      </c>
      <c r="J186" s="62"/>
      <c r="K186" s="62"/>
      <c r="L186" s="62"/>
      <c r="M186" s="62"/>
      <c r="N186" s="62"/>
      <c r="O186" s="24" t="s">
        <v>294</v>
      </c>
    </row>
    <row r="187" spans="1:15" ht="16.5" thickBot="1">
      <c r="A187" s="25"/>
      <c r="B187" s="39" t="s">
        <v>295</v>
      </c>
      <c r="C187" s="15"/>
      <c r="D187" s="16"/>
      <c r="E187" s="29"/>
      <c r="F187" s="18"/>
      <c r="G187" s="64">
        <f>SUM(G186)</f>
        <v>3210</v>
      </c>
      <c r="H187" s="61"/>
      <c r="I187" s="41"/>
      <c r="J187" s="62"/>
      <c r="K187" s="62"/>
      <c r="L187" s="62"/>
      <c r="M187" s="62"/>
      <c r="N187" s="62"/>
      <c r="O187" s="24"/>
    </row>
    <row r="188" spans="1:15" ht="16.5" thickTop="1">
      <c r="A188" s="13" t="s">
        <v>296</v>
      </c>
      <c r="B188" s="14" t="s">
        <v>297</v>
      </c>
      <c r="C188" s="115"/>
      <c r="D188" s="116"/>
      <c r="E188" s="117"/>
      <c r="F188" s="118"/>
      <c r="G188" s="119"/>
      <c r="H188" s="75"/>
      <c r="I188" s="42"/>
      <c r="J188" s="120"/>
      <c r="K188" s="120"/>
      <c r="L188" s="120"/>
      <c r="M188" s="120"/>
      <c r="N188" s="120"/>
      <c r="O188" s="121"/>
    </row>
    <row r="189" spans="1:15">
      <c r="A189" s="58">
        <v>1</v>
      </c>
      <c r="B189" s="37" t="s">
        <v>298</v>
      </c>
      <c r="C189" s="15" t="s">
        <v>296</v>
      </c>
      <c r="D189" s="16">
        <v>52</v>
      </c>
      <c r="E189" s="29" t="s">
        <v>299</v>
      </c>
      <c r="F189" s="18" t="s">
        <v>300</v>
      </c>
      <c r="G189" s="36">
        <v>1200</v>
      </c>
      <c r="H189" s="61" t="s">
        <v>26</v>
      </c>
      <c r="I189" s="33">
        <v>1</v>
      </c>
      <c r="J189" s="22"/>
      <c r="K189" s="22"/>
      <c r="L189" s="22"/>
      <c r="M189" s="22"/>
      <c r="N189" s="22"/>
      <c r="O189" s="24"/>
    </row>
    <row r="190" spans="1:15" ht="31.5">
      <c r="A190" s="58">
        <v>2</v>
      </c>
      <c r="B190" s="122" t="s">
        <v>301</v>
      </c>
      <c r="C190" s="15" t="s">
        <v>296</v>
      </c>
      <c r="D190" s="16">
        <v>52</v>
      </c>
      <c r="E190" s="29" t="s">
        <v>302</v>
      </c>
      <c r="F190" s="18" t="s">
        <v>300</v>
      </c>
      <c r="G190" s="38">
        <v>3700</v>
      </c>
      <c r="H190" s="61" t="s">
        <v>26</v>
      </c>
      <c r="I190" s="33">
        <v>1</v>
      </c>
      <c r="J190" s="22"/>
      <c r="K190" s="22"/>
      <c r="L190" s="22"/>
      <c r="M190" s="22"/>
      <c r="N190" s="22"/>
      <c r="O190" s="24" t="s">
        <v>303</v>
      </c>
    </row>
    <row r="191" spans="1:15">
      <c r="A191" s="58">
        <v>3</v>
      </c>
      <c r="B191" s="37" t="s">
        <v>304</v>
      </c>
      <c r="C191" s="15" t="s">
        <v>296</v>
      </c>
      <c r="D191" s="16">
        <v>63</v>
      </c>
      <c r="E191" s="29" t="s">
        <v>305</v>
      </c>
      <c r="F191" s="18" t="s">
        <v>306</v>
      </c>
      <c r="G191" s="38">
        <v>8450</v>
      </c>
      <c r="H191" s="61" t="s">
        <v>26</v>
      </c>
      <c r="I191" s="33">
        <v>1</v>
      </c>
      <c r="J191" s="22"/>
      <c r="K191" s="22"/>
      <c r="L191" s="22"/>
      <c r="M191" s="22"/>
      <c r="N191" s="22"/>
      <c r="O191" s="24" t="s">
        <v>294</v>
      </c>
    </row>
    <row r="192" spans="1:15" ht="16.5" thickBot="1">
      <c r="A192" s="25"/>
      <c r="B192" s="39" t="s">
        <v>307</v>
      </c>
      <c r="C192" s="15"/>
      <c r="D192" s="16"/>
      <c r="E192" s="29"/>
      <c r="F192" s="18"/>
      <c r="G192" s="40">
        <f>SUM(G189:G191)</f>
        <v>13350</v>
      </c>
      <c r="H192" s="61"/>
      <c r="I192" s="41"/>
      <c r="J192" s="22"/>
      <c r="K192" s="22"/>
      <c r="L192" s="22"/>
      <c r="M192" s="22"/>
      <c r="N192" s="22"/>
      <c r="O192" s="24"/>
    </row>
    <row r="193" spans="1:15" ht="16.5" thickTop="1">
      <c r="A193" s="13" t="s">
        <v>308</v>
      </c>
      <c r="B193" s="14" t="s">
        <v>309</v>
      </c>
      <c r="C193" s="15"/>
      <c r="D193" s="16"/>
      <c r="E193" s="29"/>
      <c r="F193" s="18"/>
      <c r="G193" s="19"/>
      <c r="H193" s="61"/>
      <c r="I193" s="42"/>
      <c r="J193" s="22"/>
      <c r="K193" s="22"/>
      <c r="L193" s="22"/>
      <c r="M193" s="22"/>
      <c r="N193" s="22"/>
      <c r="O193" s="24"/>
    </row>
    <row r="194" spans="1:15">
      <c r="A194" s="25">
        <v>1</v>
      </c>
      <c r="B194" s="59" t="s">
        <v>310</v>
      </c>
      <c r="C194" s="15" t="s">
        <v>308</v>
      </c>
      <c r="D194" s="16">
        <v>18</v>
      </c>
      <c r="E194" s="29" t="s">
        <v>266</v>
      </c>
      <c r="F194" s="18" t="s">
        <v>311</v>
      </c>
      <c r="G194" s="36">
        <v>30330</v>
      </c>
      <c r="H194" s="61" t="s">
        <v>26</v>
      </c>
      <c r="I194" s="33">
        <v>1</v>
      </c>
      <c r="J194" s="22"/>
      <c r="K194" s="22"/>
      <c r="L194" s="22"/>
      <c r="M194" s="22"/>
      <c r="N194" s="22"/>
      <c r="O194" s="24" t="s">
        <v>312</v>
      </c>
    </row>
    <row r="195" spans="1:15">
      <c r="A195" s="58">
        <v>2</v>
      </c>
      <c r="B195" s="123" t="s">
        <v>313</v>
      </c>
      <c r="C195" s="44" t="s">
        <v>308</v>
      </c>
      <c r="D195" s="45">
        <v>34</v>
      </c>
      <c r="E195" s="46" t="s">
        <v>314</v>
      </c>
      <c r="F195" s="47" t="s">
        <v>315</v>
      </c>
      <c r="G195" s="48">
        <v>52500</v>
      </c>
      <c r="H195" s="124" t="s">
        <v>26</v>
      </c>
      <c r="I195" s="33">
        <v>1</v>
      </c>
      <c r="J195" s="50"/>
      <c r="K195" s="50"/>
      <c r="L195" s="50"/>
      <c r="M195" s="50"/>
      <c r="N195" s="50"/>
      <c r="O195" s="56" t="s">
        <v>312</v>
      </c>
    </row>
    <row r="196" spans="1:15" ht="31.5">
      <c r="A196" s="58">
        <v>3</v>
      </c>
      <c r="B196" s="65" t="s">
        <v>316</v>
      </c>
      <c r="C196" s="44" t="s">
        <v>308</v>
      </c>
      <c r="D196" s="45">
        <v>45</v>
      </c>
      <c r="E196" s="46" t="s">
        <v>292</v>
      </c>
      <c r="F196" s="47" t="s">
        <v>317</v>
      </c>
      <c r="G196" s="48">
        <v>40000</v>
      </c>
      <c r="H196" s="124" t="s">
        <v>26</v>
      </c>
      <c r="I196" s="33">
        <v>1</v>
      </c>
      <c r="J196" s="50"/>
      <c r="K196" s="50"/>
      <c r="L196" s="50"/>
      <c r="M196" s="50"/>
      <c r="N196" s="50"/>
      <c r="O196" s="56" t="s">
        <v>36</v>
      </c>
    </row>
    <row r="197" spans="1:15">
      <c r="A197" s="58">
        <v>4</v>
      </c>
      <c r="B197" s="65" t="s">
        <v>318</v>
      </c>
      <c r="C197" s="44" t="s">
        <v>308</v>
      </c>
      <c r="D197" s="45">
        <v>56</v>
      </c>
      <c r="E197" s="46" t="s">
        <v>319</v>
      </c>
      <c r="F197" s="47" t="s">
        <v>320</v>
      </c>
      <c r="G197" s="57">
        <v>49000</v>
      </c>
      <c r="H197" s="124" t="s">
        <v>26</v>
      </c>
      <c r="I197" s="33">
        <v>1</v>
      </c>
      <c r="J197" s="50"/>
      <c r="K197" s="50"/>
      <c r="L197" s="50"/>
      <c r="M197" s="50"/>
      <c r="N197" s="50"/>
      <c r="O197" s="56" t="s">
        <v>312</v>
      </c>
    </row>
    <row r="198" spans="1:15" ht="31.5">
      <c r="A198" s="58">
        <v>5</v>
      </c>
      <c r="B198" s="65" t="s">
        <v>321</v>
      </c>
      <c r="C198" s="44" t="s">
        <v>308</v>
      </c>
      <c r="D198" s="45">
        <v>62</v>
      </c>
      <c r="E198" s="46" t="s">
        <v>322</v>
      </c>
      <c r="F198" s="47" t="s">
        <v>323</v>
      </c>
      <c r="G198" s="57">
        <v>298530</v>
      </c>
      <c r="H198" s="124" t="s">
        <v>26</v>
      </c>
      <c r="I198" s="33">
        <v>1</v>
      </c>
      <c r="J198" s="50"/>
      <c r="K198" s="50"/>
      <c r="L198" s="50"/>
      <c r="M198" s="50"/>
      <c r="N198" s="50"/>
      <c r="O198" s="56" t="s">
        <v>312</v>
      </c>
    </row>
    <row r="199" spans="1:15" ht="16.5" thickBot="1">
      <c r="A199" s="58"/>
      <c r="B199" s="39" t="s">
        <v>324</v>
      </c>
      <c r="C199" s="44"/>
      <c r="D199" s="45"/>
      <c r="E199" s="46"/>
      <c r="F199" s="47"/>
      <c r="G199" s="51">
        <f>SUM(G194:G198)</f>
        <v>470360</v>
      </c>
      <c r="H199" s="124"/>
      <c r="I199" s="41"/>
      <c r="J199" s="50"/>
      <c r="K199" s="50"/>
      <c r="L199" s="50"/>
      <c r="M199" s="50"/>
      <c r="N199" s="50"/>
      <c r="O199" s="56"/>
    </row>
    <row r="200" spans="1:15" ht="16.5" thickTop="1">
      <c r="A200" s="13" t="s">
        <v>325</v>
      </c>
      <c r="B200" s="14" t="s">
        <v>326</v>
      </c>
      <c r="C200" s="44"/>
      <c r="D200" s="45"/>
      <c r="E200" s="46"/>
      <c r="F200" s="47"/>
      <c r="G200" s="54"/>
      <c r="H200" s="124"/>
      <c r="I200" s="42"/>
      <c r="J200" s="50"/>
      <c r="K200" s="50"/>
      <c r="L200" s="50"/>
      <c r="M200" s="50"/>
      <c r="N200" s="50"/>
      <c r="O200" s="56"/>
    </row>
    <row r="201" spans="1:15">
      <c r="A201" s="58">
        <v>1</v>
      </c>
      <c r="B201" s="65" t="s">
        <v>327</v>
      </c>
      <c r="C201" s="44" t="s">
        <v>325</v>
      </c>
      <c r="D201" s="45">
        <v>28</v>
      </c>
      <c r="E201" s="46" t="s">
        <v>314</v>
      </c>
      <c r="F201" s="47" t="s">
        <v>328</v>
      </c>
      <c r="G201" s="48">
        <v>44800</v>
      </c>
      <c r="H201" s="124" t="s">
        <v>26</v>
      </c>
      <c r="I201" s="33">
        <v>1</v>
      </c>
      <c r="J201" s="50"/>
      <c r="K201" s="50"/>
      <c r="L201" s="50"/>
      <c r="M201" s="50"/>
      <c r="N201" s="50"/>
      <c r="O201" s="56" t="s">
        <v>329</v>
      </c>
    </row>
    <row r="202" spans="1:15">
      <c r="A202" s="25">
        <v>2</v>
      </c>
      <c r="B202" s="59" t="s">
        <v>330</v>
      </c>
      <c r="C202" s="15" t="s">
        <v>325</v>
      </c>
      <c r="D202" s="16">
        <v>32</v>
      </c>
      <c r="E202" s="29" t="s">
        <v>331</v>
      </c>
      <c r="F202" s="18" t="s">
        <v>332</v>
      </c>
      <c r="G202" s="36">
        <v>97300</v>
      </c>
      <c r="H202" s="61" t="s">
        <v>26</v>
      </c>
      <c r="I202" s="33">
        <v>1</v>
      </c>
      <c r="J202" s="22"/>
      <c r="K202" s="22"/>
      <c r="L202" s="22"/>
      <c r="M202" s="22"/>
      <c r="N202" s="22"/>
      <c r="O202" s="56" t="s">
        <v>312</v>
      </c>
    </row>
    <row r="203" spans="1:15">
      <c r="A203" s="25">
        <v>3</v>
      </c>
      <c r="B203" s="59" t="s">
        <v>333</v>
      </c>
      <c r="C203" s="15" t="s">
        <v>325</v>
      </c>
      <c r="D203" s="16">
        <v>45</v>
      </c>
      <c r="E203" s="29" t="s">
        <v>292</v>
      </c>
      <c r="F203" s="18" t="s">
        <v>334</v>
      </c>
      <c r="G203" s="36">
        <v>324000</v>
      </c>
      <c r="H203" s="61" t="s">
        <v>26</v>
      </c>
      <c r="I203" s="33">
        <v>1</v>
      </c>
      <c r="J203" s="22"/>
      <c r="K203" s="22"/>
      <c r="L203" s="22"/>
      <c r="M203" s="22"/>
      <c r="N203" s="22"/>
      <c r="O203" s="24" t="s">
        <v>312</v>
      </c>
    </row>
    <row r="204" spans="1:15" ht="31.5">
      <c r="A204" s="58">
        <v>4</v>
      </c>
      <c r="B204" s="123" t="s">
        <v>335</v>
      </c>
      <c r="C204" s="44" t="s">
        <v>325</v>
      </c>
      <c r="D204" s="45">
        <v>45</v>
      </c>
      <c r="E204" s="46" t="s">
        <v>319</v>
      </c>
      <c r="F204" s="47" t="s">
        <v>334</v>
      </c>
      <c r="G204" s="48">
        <v>25000</v>
      </c>
      <c r="H204" s="124" t="s">
        <v>26</v>
      </c>
      <c r="I204" s="33">
        <v>1</v>
      </c>
      <c r="J204" s="50"/>
      <c r="K204" s="50"/>
      <c r="L204" s="50"/>
      <c r="M204" s="50"/>
      <c r="N204" s="50"/>
      <c r="O204" s="24" t="s">
        <v>312</v>
      </c>
    </row>
    <row r="205" spans="1:15" ht="47.25">
      <c r="A205" s="58">
        <v>5</v>
      </c>
      <c r="B205" s="55" t="s">
        <v>336</v>
      </c>
      <c r="C205" s="44" t="s">
        <v>325</v>
      </c>
      <c r="D205" s="45">
        <v>49</v>
      </c>
      <c r="E205" s="46" t="s">
        <v>322</v>
      </c>
      <c r="F205" s="47" t="s">
        <v>337</v>
      </c>
      <c r="G205" s="57">
        <v>395900</v>
      </c>
      <c r="H205" s="124" t="s">
        <v>26</v>
      </c>
      <c r="I205" s="33">
        <v>1</v>
      </c>
      <c r="J205" s="50"/>
      <c r="K205" s="50"/>
      <c r="L205" s="50"/>
      <c r="M205" s="50"/>
      <c r="N205" s="50"/>
      <c r="O205" s="56" t="s">
        <v>312</v>
      </c>
    </row>
    <row r="206" spans="1:15" ht="16.5" thickBot="1">
      <c r="A206" s="25"/>
      <c r="B206" s="39" t="s">
        <v>338</v>
      </c>
      <c r="C206" s="15"/>
      <c r="D206" s="16"/>
      <c r="E206" s="29"/>
      <c r="F206" s="18"/>
      <c r="G206" s="40">
        <f>SUM(G201:G205)</f>
        <v>887000</v>
      </c>
      <c r="H206" s="61"/>
      <c r="I206" s="41"/>
      <c r="J206" s="22"/>
      <c r="K206" s="22"/>
      <c r="L206" s="22"/>
      <c r="M206" s="22"/>
      <c r="N206" s="22"/>
      <c r="O206" s="24"/>
    </row>
    <row r="207" spans="1:15" ht="16.5" thickTop="1">
      <c r="A207" s="76">
        <v>7</v>
      </c>
      <c r="B207" s="87" t="s">
        <v>339</v>
      </c>
      <c r="C207" s="16"/>
      <c r="D207" s="78"/>
      <c r="E207" s="29"/>
      <c r="F207" s="79"/>
      <c r="G207" s="80"/>
      <c r="H207" s="81"/>
      <c r="I207" s="22"/>
      <c r="J207" s="22"/>
      <c r="K207" s="22"/>
      <c r="L207" s="22"/>
      <c r="M207" s="22"/>
      <c r="N207" s="37"/>
      <c r="O207" s="82"/>
    </row>
    <row r="208" spans="1:15">
      <c r="A208" s="13" t="s">
        <v>340</v>
      </c>
      <c r="B208" s="14" t="s">
        <v>341</v>
      </c>
      <c r="C208" s="15"/>
      <c r="D208" s="16"/>
      <c r="E208" s="29"/>
      <c r="F208" s="18"/>
      <c r="G208" s="19"/>
      <c r="H208" s="32"/>
      <c r="I208" s="42"/>
      <c r="J208" s="22"/>
      <c r="K208" s="22"/>
      <c r="L208" s="22"/>
      <c r="M208" s="22"/>
      <c r="N208" s="22"/>
      <c r="O208" s="24"/>
    </row>
    <row r="209" spans="1:15">
      <c r="A209" s="58">
        <v>1</v>
      </c>
      <c r="B209" s="20" t="s">
        <v>342</v>
      </c>
      <c r="C209" s="15" t="s">
        <v>340</v>
      </c>
      <c r="D209" s="16">
        <v>43</v>
      </c>
      <c r="E209" s="29" t="s">
        <v>343</v>
      </c>
      <c r="F209" s="18" t="s">
        <v>344</v>
      </c>
      <c r="G209" s="36">
        <v>150000</v>
      </c>
      <c r="H209" s="32" t="s">
        <v>26</v>
      </c>
      <c r="I209" s="33">
        <v>1</v>
      </c>
      <c r="J209" s="22"/>
      <c r="K209" s="22"/>
      <c r="L209" s="22"/>
      <c r="M209" s="22"/>
      <c r="N209" s="22"/>
      <c r="O209" s="24" t="s">
        <v>345</v>
      </c>
    </row>
    <row r="210" spans="1:15">
      <c r="A210" s="58">
        <v>2</v>
      </c>
      <c r="B210" s="20" t="s">
        <v>346</v>
      </c>
      <c r="C210" s="15" t="s">
        <v>340</v>
      </c>
      <c r="D210" s="16">
        <v>44</v>
      </c>
      <c r="E210" s="29" t="s">
        <v>347</v>
      </c>
      <c r="F210" s="18" t="s">
        <v>348</v>
      </c>
      <c r="G210" s="36">
        <v>0</v>
      </c>
      <c r="H210" s="32" t="s">
        <v>26</v>
      </c>
      <c r="I210" s="33">
        <v>1</v>
      </c>
      <c r="J210" s="33"/>
      <c r="K210" s="22"/>
      <c r="L210" s="22"/>
      <c r="M210" s="22"/>
      <c r="N210" s="22"/>
      <c r="O210" s="24" t="s">
        <v>373</v>
      </c>
    </row>
    <row r="211" spans="1:15">
      <c r="A211" s="58">
        <v>3</v>
      </c>
      <c r="B211" s="20" t="s">
        <v>349</v>
      </c>
      <c r="C211" s="15" t="s">
        <v>340</v>
      </c>
      <c r="D211" s="16">
        <v>44</v>
      </c>
      <c r="E211" s="29" t="s">
        <v>350</v>
      </c>
      <c r="F211" s="18" t="s">
        <v>348</v>
      </c>
      <c r="G211" s="36">
        <v>0</v>
      </c>
      <c r="H211" s="32" t="s">
        <v>26</v>
      </c>
      <c r="I211" s="33">
        <v>1</v>
      </c>
      <c r="J211" s="33"/>
      <c r="K211" s="22"/>
      <c r="L211" s="22"/>
      <c r="M211" s="22"/>
      <c r="N211" s="22"/>
      <c r="O211" s="24" t="s">
        <v>405</v>
      </c>
    </row>
    <row r="212" spans="1:15">
      <c r="A212" s="58">
        <v>4</v>
      </c>
      <c r="B212" s="20" t="s">
        <v>352</v>
      </c>
      <c r="C212" s="15" t="s">
        <v>340</v>
      </c>
      <c r="D212" s="16">
        <v>46</v>
      </c>
      <c r="E212" s="29" t="s">
        <v>353</v>
      </c>
      <c r="F212" s="18" t="s">
        <v>64</v>
      </c>
      <c r="G212" s="36">
        <v>3200</v>
      </c>
      <c r="H212" s="32" t="s">
        <v>26</v>
      </c>
      <c r="I212" s="33">
        <v>1</v>
      </c>
      <c r="J212" s="22"/>
      <c r="K212" s="22"/>
      <c r="L212" s="22"/>
      <c r="M212" s="22"/>
      <c r="N212" s="22"/>
      <c r="O212" s="24" t="s">
        <v>345</v>
      </c>
    </row>
    <row r="213" spans="1:15">
      <c r="A213" s="58">
        <v>5</v>
      </c>
      <c r="B213" s="20" t="s">
        <v>352</v>
      </c>
      <c r="C213" s="15" t="s">
        <v>340</v>
      </c>
      <c r="D213" s="16">
        <v>46</v>
      </c>
      <c r="E213" s="29" t="s">
        <v>354</v>
      </c>
      <c r="F213" s="18" t="s">
        <v>64</v>
      </c>
      <c r="G213" s="36">
        <v>3200</v>
      </c>
      <c r="H213" s="32" t="s">
        <v>26</v>
      </c>
      <c r="I213" s="33">
        <v>1</v>
      </c>
      <c r="J213" s="22"/>
      <c r="K213" s="22"/>
      <c r="L213" s="22"/>
      <c r="M213" s="22"/>
      <c r="N213" s="22"/>
      <c r="O213" s="24" t="s">
        <v>358</v>
      </c>
    </row>
    <row r="214" spans="1:15">
      <c r="A214" s="58">
        <v>6</v>
      </c>
      <c r="B214" s="20" t="s">
        <v>356</v>
      </c>
      <c r="C214" s="15" t="s">
        <v>340</v>
      </c>
      <c r="D214" s="16">
        <v>46</v>
      </c>
      <c r="E214" s="29" t="s">
        <v>219</v>
      </c>
      <c r="F214" s="18" t="s">
        <v>357</v>
      </c>
      <c r="G214" s="36">
        <v>44000</v>
      </c>
      <c r="H214" s="32" t="s">
        <v>26</v>
      </c>
      <c r="I214" s="33">
        <v>1</v>
      </c>
      <c r="J214" s="22"/>
      <c r="K214" s="22"/>
      <c r="L214" s="22"/>
      <c r="M214" s="22"/>
      <c r="N214" s="22"/>
      <c r="O214" s="24" t="s">
        <v>358</v>
      </c>
    </row>
    <row r="215" spans="1:15">
      <c r="A215" s="58">
        <v>7</v>
      </c>
      <c r="B215" s="20" t="s">
        <v>356</v>
      </c>
      <c r="C215" s="15" t="s">
        <v>340</v>
      </c>
      <c r="D215" s="16">
        <v>46</v>
      </c>
      <c r="E215" s="29" t="s">
        <v>225</v>
      </c>
      <c r="F215" s="18" t="s">
        <v>357</v>
      </c>
      <c r="G215" s="36">
        <v>42000</v>
      </c>
      <c r="H215" s="32" t="s">
        <v>26</v>
      </c>
      <c r="I215" s="33">
        <v>1</v>
      </c>
      <c r="J215" s="22"/>
      <c r="K215" s="22"/>
      <c r="L215" s="22"/>
      <c r="M215" s="22"/>
      <c r="N215" s="22"/>
      <c r="O215" s="24" t="s">
        <v>355</v>
      </c>
    </row>
    <row r="216" spans="1:15">
      <c r="A216" s="58">
        <v>8</v>
      </c>
      <c r="B216" s="20" t="s">
        <v>356</v>
      </c>
      <c r="C216" s="15" t="s">
        <v>340</v>
      </c>
      <c r="D216" s="16">
        <v>51</v>
      </c>
      <c r="E216" s="29" t="s">
        <v>360</v>
      </c>
      <c r="F216" s="18" t="s">
        <v>361</v>
      </c>
      <c r="G216" s="36">
        <v>23400</v>
      </c>
      <c r="H216" s="32" t="s">
        <v>26</v>
      </c>
      <c r="I216" s="33">
        <v>1</v>
      </c>
      <c r="J216" s="22"/>
      <c r="K216" s="22"/>
      <c r="L216" s="22"/>
      <c r="M216" s="22"/>
      <c r="N216" s="22"/>
      <c r="O216" s="24" t="s">
        <v>468</v>
      </c>
    </row>
    <row r="217" spans="1:15">
      <c r="A217" s="58">
        <v>9</v>
      </c>
      <c r="B217" s="20" t="s">
        <v>362</v>
      </c>
      <c r="C217" s="15" t="s">
        <v>340</v>
      </c>
      <c r="D217" s="16">
        <v>51</v>
      </c>
      <c r="E217" s="29" t="s">
        <v>363</v>
      </c>
      <c r="F217" s="18" t="s">
        <v>361</v>
      </c>
      <c r="G217" s="36">
        <v>11600</v>
      </c>
      <c r="H217" s="32" t="s">
        <v>26</v>
      </c>
      <c r="J217" s="33">
        <v>1</v>
      </c>
      <c r="K217" s="22"/>
      <c r="L217" s="22"/>
      <c r="M217" s="22"/>
      <c r="N217" s="22"/>
      <c r="O217" s="167" t="s">
        <v>469</v>
      </c>
    </row>
    <row r="218" spans="1:15">
      <c r="A218" s="58">
        <v>10</v>
      </c>
      <c r="B218" s="20" t="s">
        <v>364</v>
      </c>
      <c r="C218" s="15" t="s">
        <v>340</v>
      </c>
      <c r="D218" s="16">
        <v>51</v>
      </c>
      <c r="E218" s="29" t="s">
        <v>365</v>
      </c>
      <c r="F218" s="18" t="s">
        <v>361</v>
      </c>
      <c r="G218" s="36">
        <v>7000</v>
      </c>
      <c r="H218" s="32" t="s">
        <v>26</v>
      </c>
      <c r="J218" s="33">
        <v>1</v>
      </c>
      <c r="K218" s="22"/>
      <c r="L218" s="22"/>
      <c r="M218" s="22"/>
      <c r="N218" s="22"/>
      <c r="O218" s="167" t="s">
        <v>469</v>
      </c>
    </row>
    <row r="219" spans="1:15">
      <c r="A219" s="58">
        <v>11</v>
      </c>
      <c r="B219" s="20" t="s">
        <v>356</v>
      </c>
      <c r="C219" s="15" t="s">
        <v>340</v>
      </c>
      <c r="D219" s="16">
        <v>51</v>
      </c>
      <c r="E219" s="29" t="s">
        <v>366</v>
      </c>
      <c r="F219" s="18" t="s">
        <v>367</v>
      </c>
      <c r="G219" s="36">
        <v>63000</v>
      </c>
      <c r="H219" s="32" t="s">
        <v>26</v>
      </c>
      <c r="I219" s="33">
        <v>1</v>
      </c>
      <c r="J219" s="22"/>
      <c r="K219" s="22"/>
      <c r="L219" s="22"/>
      <c r="M219" s="22"/>
      <c r="N219" s="22"/>
      <c r="O219" s="24" t="s">
        <v>470</v>
      </c>
    </row>
    <row r="220" spans="1:15">
      <c r="A220" s="58">
        <v>12</v>
      </c>
      <c r="B220" s="20" t="s">
        <v>356</v>
      </c>
      <c r="C220" s="15" t="s">
        <v>340</v>
      </c>
      <c r="D220" s="16">
        <v>51</v>
      </c>
      <c r="E220" s="29" t="s">
        <v>369</v>
      </c>
      <c r="F220" s="18" t="s">
        <v>367</v>
      </c>
      <c r="G220" s="36">
        <v>118000</v>
      </c>
      <c r="H220" s="32" t="s">
        <v>26</v>
      </c>
      <c r="J220" s="33">
        <v>1</v>
      </c>
      <c r="K220" s="22"/>
      <c r="L220" s="22"/>
      <c r="M220" s="22"/>
      <c r="N220" s="22"/>
      <c r="O220" s="167" t="s">
        <v>469</v>
      </c>
    </row>
    <row r="221" spans="1:15">
      <c r="A221" s="58">
        <v>13</v>
      </c>
      <c r="B221" s="20" t="s">
        <v>362</v>
      </c>
      <c r="C221" s="15" t="s">
        <v>340</v>
      </c>
      <c r="D221" s="16">
        <v>51</v>
      </c>
      <c r="E221" s="29" t="s">
        <v>370</v>
      </c>
      <c r="F221" s="18" t="s">
        <v>367</v>
      </c>
      <c r="G221" s="36">
        <v>63000</v>
      </c>
      <c r="H221" s="32" t="s">
        <v>26</v>
      </c>
      <c r="I221" s="33">
        <v>1</v>
      </c>
      <c r="J221" s="22"/>
      <c r="K221" s="22"/>
      <c r="L221" s="22"/>
      <c r="M221" s="22"/>
      <c r="N221" s="22"/>
      <c r="O221" s="24" t="s">
        <v>471</v>
      </c>
    </row>
    <row r="222" spans="1:15">
      <c r="A222" s="58">
        <v>14</v>
      </c>
      <c r="B222" s="20" t="s">
        <v>362</v>
      </c>
      <c r="C222" s="15" t="s">
        <v>340</v>
      </c>
      <c r="D222" s="16">
        <v>51</v>
      </c>
      <c r="E222" s="29" t="s">
        <v>371</v>
      </c>
      <c r="F222" s="18" t="s">
        <v>367</v>
      </c>
      <c r="G222" s="36">
        <v>118000</v>
      </c>
      <c r="H222" s="32" t="s">
        <v>26</v>
      </c>
      <c r="I222" s="33">
        <v>1</v>
      </c>
      <c r="J222" s="22"/>
      <c r="K222" s="22"/>
      <c r="L222" s="22"/>
      <c r="M222" s="22"/>
      <c r="N222" s="22"/>
      <c r="O222" s="24" t="s">
        <v>359</v>
      </c>
    </row>
    <row r="223" spans="1:15">
      <c r="A223" s="58">
        <v>15</v>
      </c>
      <c r="B223" s="20" t="s">
        <v>362</v>
      </c>
      <c r="C223" s="15" t="s">
        <v>340</v>
      </c>
      <c r="D223" s="16">
        <v>51</v>
      </c>
      <c r="E223" s="29" t="s">
        <v>372</v>
      </c>
      <c r="F223" s="18" t="s">
        <v>367</v>
      </c>
      <c r="G223" s="36">
        <v>118000</v>
      </c>
      <c r="H223" s="32" t="s">
        <v>26</v>
      </c>
      <c r="I223" s="33">
        <v>1</v>
      </c>
      <c r="J223" s="22"/>
      <c r="K223" s="22"/>
      <c r="L223" s="22"/>
      <c r="M223" s="22"/>
      <c r="N223" s="22"/>
      <c r="O223" s="24" t="s">
        <v>470</v>
      </c>
    </row>
    <row r="224" spans="1:15">
      <c r="A224" s="58">
        <v>16</v>
      </c>
      <c r="B224" s="125" t="s">
        <v>374</v>
      </c>
      <c r="C224" s="15" t="s">
        <v>340</v>
      </c>
      <c r="D224" s="16">
        <v>52</v>
      </c>
      <c r="E224" s="29" t="s">
        <v>375</v>
      </c>
      <c r="F224" s="18" t="s">
        <v>376</v>
      </c>
      <c r="G224" s="36">
        <v>68800</v>
      </c>
      <c r="H224" s="32" t="s">
        <v>26</v>
      </c>
      <c r="I224" s="33">
        <v>1</v>
      </c>
      <c r="J224" s="22"/>
      <c r="K224" s="22"/>
      <c r="L224" s="22"/>
      <c r="M224" s="22"/>
      <c r="N224" s="22"/>
      <c r="O224" s="24" t="s">
        <v>377</v>
      </c>
    </row>
    <row r="225" spans="1:15">
      <c r="A225" s="58">
        <v>17</v>
      </c>
      <c r="B225" s="125" t="s">
        <v>378</v>
      </c>
      <c r="C225" s="15" t="s">
        <v>340</v>
      </c>
      <c r="D225" s="16">
        <v>52</v>
      </c>
      <c r="E225" s="29" t="s">
        <v>379</v>
      </c>
      <c r="F225" s="18" t="s">
        <v>376</v>
      </c>
      <c r="G225" s="36">
        <v>33850</v>
      </c>
      <c r="H225" s="32" t="s">
        <v>26</v>
      </c>
      <c r="J225" s="33">
        <v>1</v>
      </c>
      <c r="K225" s="22"/>
      <c r="L225" s="22"/>
      <c r="M225" s="22"/>
      <c r="N225" s="22"/>
      <c r="O225" s="167" t="s">
        <v>469</v>
      </c>
    </row>
    <row r="226" spans="1:15">
      <c r="A226" s="58">
        <v>18</v>
      </c>
      <c r="B226" s="20" t="s">
        <v>380</v>
      </c>
      <c r="C226" s="15" t="s">
        <v>340</v>
      </c>
      <c r="D226" s="16">
        <v>52</v>
      </c>
      <c r="E226" s="29" t="s">
        <v>381</v>
      </c>
      <c r="F226" s="18" t="s">
        <v>376</v>
      </c>
      <c r="G226" s="36">
        <v>13250</v>
      </c>
      <c r="H226" s="32" t="s">
        <v>26</v>
      </c>
      <c r="I226" s="33">
        <v>1</v>
      </c>
      <c r="J226" s="22"/>
      <c r="K226" s="22"/>
      <c r="L226" s="22"/>
      <c r="M226" s="22"/>
      <c r="N226" s="22"/>
      <c r="O226" s="24" t="s">
        <v>65</v>
      </c>
    </row>
    <row r="227" spans="1:15">
      <c r="A227" s="58">
        <v>19</v>
      </c>
      <c r="B227" s="125" t="s">
        <v>382</v>
      </c>
      <c r="C227" s="15" t="s">
        <v>340</v>
      </c>
      <c r="D227" s="16">
        <v>52</v>
      </c>
      <c r="E227" s="29" t="s">
        <v>383</v>
      </c>
      <c r="F227" s="18" t="s">
        <v>376</v>
      </c>
      <c r="G227" s="36">
        <v>31600</v>
      </c>
      <c r="H227" s="32" t="s">
        <v>26</v>
      </c>
      <c r="I227" s="33">
        <v>1</v>
      </c>
      <c r="J227" s="22"/>
      <c r="K227" s="22"/>
      <c r="L227" s="22"/>
      <c r="M227" s="22"/>
      <c r="N227" s="22"/>
      <c r="O227" s="24" t="s">
        <v>359</v>
      </c>
    </row>
    <row r="228" spans="1:15">
      <c r="A228" s="58">
        <v>20</v>
      </c>
      <c r="B228" s="125" t="s">
        <v>382</v>
      </c>
      <c r="C228" s="15" t="s">
        <v>340</v>
      </c>
      <c r="D228" s="16">
        <v>52</v>
      </c>
      <c r="E228" s="29" t="s">
        <v>385</v>
      </c>
      <c r="F228" s="18" t="s">
        <v>376</v>
      </c>
      <c r="G228" s="36">
        <v>31600</v>
      </c>
      <c r="H228" s="32" t="s">
        <v>26</v>
      </c>
      <c r="I228" s="33">
        <v>1</v>
      </c>
      <c r="J228" s="22"/>
      <c r="K228" s="22"/>
      <c r="L228" s="22"/>
      <c r="M228" s="22"/>
      <c r="N228" s="22"/>
      <c r="O228" s="24" t="s">
        <v>65</v>
      </c>
    </row>
    <row r="229" spans="1:15">
      <c r="A229" s="58">
        <v>21</v>
      </c>
      <c r="B229" s="125" t="s">
        <v>382</v>
      </c>
      <c r="C229" s="15" t="s">
        <v>340</v>
      </c>
      <c r="D229" s="16">
        <v>52</v>
      </c>
      <c r="E229" s="29" t="s">
        <v>386</v>
      </c>
      <c r="F229" s="18" t="s">
        <v>376</v>
      </c>
      <c r="G229" s="36">
        <v>31600</v>
      </c>
      <c r="H229" s="32" t="s">
        <v>26</v>
      </c>
      <c r="I229" s="33">
        <v>1</v>
      </c>
      <c r="J229" s="22"/>
      <c r="K229" s="22"/>
      <c r="L229" s="22"/>
      <c r="M229" s="22"/>
      <c r="N229" s="22"/>
      <c r="O229" s="24" t="s">
        <v>387</v>
      </c>
    </row>
    <row r="230" spans="1:15">
      <c r="A230" s="58">
        <v>22</v>
      </c>
      <c r="B230" s="20" t="s">
        <v>388</v>
      </c>
      <c r="C230" s="15" t="s">
        <v>340</v>
      </c>
      <c r="D230" s="16">
        <v>52</v>
      </c>
      <c r="E230" s="29" t="s">
        <v>389</v>
      </c>
      <c r="F230" s="18" t="s">
        <v>376</v>
      </c>
      <c r="G230" s="36">
        <v>6500</v>
      </c>
      <c r="H230" s="32" t="s">
        <v>26</v>
      </c>
      <c r="J230" s="33">
        <v>1</v>
      </c>
      <c r="K230" s="22"/>
      <c r="L230" s="22"/>
      <c r="M230" s="22"/>
      <c r="N230" s="22"/>
      <c r="O230" s="167" t="s">
        <v>469</v>
      </c>
    </row>
    <row r="231" spans="1:15">
      <c r="A231" s="58">
        <v>23</v>
      </c>
      <c r="B231" s="20" t="s">
        <v>388</v>
      </c>
      <c r="C231" s="15" t="s">
        <v>340</v>
      </c>
      <c r="D231" s="16">
        <v>52</v>
      </c>
      <c r="E231" s="29" t="s">
        <v>390</v>
      </c>
      <c r="F231" s="18" t="s">
        <v>376</v>
      </c>
      <c r="G231" s="36">
        <v>6500</v>
      </c>
      <c r="H231" s="32" t="s">
        <v>26</v>
      </c>
      <c r="I231" s="33">
        <v>1</v>
      </c>
      <c r="J231" s="22"/>
      <c r="K231" s="22"/>
      <c r="L231" s="22"/>
      <c r="M231" s="22"/>
      <c r="N231" s="22"/>
      <c r="O231" s="24" t="s">
        <v>355</v>
      </c>
    </row>
    <row r="232" spans="1:15">
      <c r="A232" s="58">
        <v>24</v>
      </c>
      <c r="B232" s="20" t="s">
        <v>391</v>
      </c>
      <c r="C232" s="15" t="s">
        <v>340</v>
      </c>
      <c r="D232" s="16">
        <v>52</v>
      </c>
      <c r="E232" s="29" t="s">
        <v>392</v>
      </c>
      <c r="F232" s="18" t="s">
        <v>376</v>
      </c>
      <c r="G232" s="36">
        <v>6900</v>
      </c>
      <c r="H232" s="32" t="s">
        <v>26</v>
      </c>
      <c r="I232" s="33">
        <v>1</v>
      </c>
      <c r="J232" s="22"/>
      <c r="K232" s="22"/>
      <c r="L232" s="22"/>
      <c r="M232" s="22"/>
      <c r="N232" s="22"/>
      <c r="O232" s="24" t="s">
        <v>377</v>
      </c>
    </row>
    <row r="233" spans="1:15">
      <c r="A233" s="58">
        <v>25</v>
      </c>
      <c r="B233" s="20" t="s">
        <v>393</v>
      </c>
      <c r="C233" s="15" t="s">
        <v>340</v>
      </c>
      <c r="D233" s="16">
        <v>52</v>
      </c>
      <c r="E233" s="29" t="s">
        <v>147</v>
      </c>
      <c r="F233" s="18" t="s">
        <v>376</v>
      </c>
      <c r="G233" s="36">
        <v>6900</v>
      </c>
      <c r="H233" s="32" t="s">
        <v>26</v>
      </c>
      <c r="I233" s="33">
        <v>1</v>
      </c>
      <c r="J233" s="22"/>
      <c r="K233" s="22"/>
      <c r="L233" s="22"/>
      <c r="M233" s="22"/>
      <c r="N233" s="22"/>
      <c r="O233" s="24" t="s">
        <v>387</v>
      </c>
    </row>
    <row r="234" spans="1:15">
      <c r="A234" s="58">
        <v>26</v>
      </c>
      <c r="B234" s="20" t="s">
        <v>394</v>
      </c>
      <c r="C234" s="35" t="s">
        <v>340</v>
      </c>
      <c r="D234" s="126">
        <v>55</v>
      </c>
      <c r="E234" s="29" t="s">
        <v>395</v>
      </c>
      <c r="F234" s="18" t="s">
        <v>396</v>
      </c>
      <c r="G234" s="36">
        <v>6900</v>
      </c>
      <c r="H234" s="127" t="s">
        <v>26</v>
      </c>
      <c r="I234" s="33">
        <v>1</v>
      </c>
      <c r="J234" s="21"/>
      <c r="K234" s="21"/>
      <c r="L234" s="21"/>
      <c r="M234" s="21"/>
      <c r="N234" s="21"/>
      <c r="O234" s="32" t="s">
        <v>409</v>
      </c>
    </row>
    <row r="235" spans="1:15">
      <c r="A235" s="58">
        <v>27</v>
      </c>
      <c r="B235" s="20" t="s">
        <v>397</v>
      </c>
      <c r="C235" s="35" t="s">
        <v>340</v>
      </c>
      <c r="D235" s="126">
        <v>55</v>
      </c>
      <c r="E235" s="29" t="s">
        <v>398</v>
      </c>
      <c r="F235" s="18" t="s">
        <v>396</v>
      </c>
      <c r="G235" s="36">
        <v>4900</v>
      </c>
      <c r="H235" s="127" t="s">
        <v>26</v>
      </c>
      <c r="I235" s="33">
        <v>1</v>
      </c>
      <c r="J235" s="21"/>
      <c r="K235" s="21"/>
      <c r="L235" s="21"/>
      <c r="M235" s="21"/>
      <c r="N235" s="21"/>
      <c r="O235" s="32" t="s">
        <v>472</v>
      </c>
    </row>
    <row r="236" spans="1:15">
      <c r="A236" s="58">
        <v>28</v>
      </c>
      <c r="B236" s="20" t="s">
        <v>399</v>
      </c>
      <c r="C236" s="35" t="s">
        <v>340</v>
      </c>
      <c r="D236" s="126">
        <v>55</v>
      </c>
      <c r="E236" s="29" t="s">
        <v>400</v>
      </c>
      <c r="F236" s="18" t="s">
        <v>396</v>
      </c>
      <c r="G236" s="36">
        <v>4900</v>
      </c>
      <c r="H236" s="127" t="s">
        <v>26</v>
      </c>
      <c r="I236" s="33">
        <v>1</v>
      </c>
      <c r="J236" s="21"/>
      <c r="K236" s="21"/>
      <c r="L236" s="21"/>
      <c r="M236" s="21"/>
      <c r="N236" s="21"/>
      <c r="O236" s="32" t="s">
        <v>373</v>
      </c>
    </row>
    <row r="237" spans="1:15">
      <c r="A237" s="58">
        <v>29</v>
      </c>
      <c r="B237" s="20" t="s">
        <v>401</v>
      </c>
      <c r="C237" s="35" t="s">
        <v>340</v>
      </c>
      <c r="D237" s="126">
        <v>55</v>
      </c>
      <c r="E237" s="29" t="s">
        <v>402</v>
      </c>
      <c r="F237" s="18" t="s">
        <v>396</v>
      </c>
      <c r="G237" s="36">
        <v>4900</v>
      </c>
      <c r="H237" s="127" t="s">
        <v>26</v>
      </c>
      <c r="I237" s="33">
        <v>1</v>
      </c>
      <c r="J237" s="21"/>
      <c r="K237" s="21"/>
      <c r="L237" s="21"/>
      <c r="M237" s="21"/>
      <c r="N237" s="21"/>
      <c r="O237" s="32" t="s">
        <v>358</v>
      </c>
    </row>
    <row r="238" spans="1:15">
      <c r="A238" s="58">
        <v>30</v>
      </c>
      <c r="B238" s="20" t="s">
        <v>403</v>
      </c>
      <c r="C238" s="35" t="s">
        <v>340</v>
      </c>
      <c r="D238" s="126">
        <v>55</v>
      </c>
      <c r="E238" s="29" t="s">
        <v>404</v>
      </c>
      <c r="F238" s="18" t="s">
        <v>396</v>
      </c>
      <c r="G238" s="36">
        <v>4900</v>
      </c>
      <c r="H238" s="127" t="s">
        <v>26</v>
      </c>
      <c r="I238" s="33">
        <v>1</v>
      </c>
      <c r="J238" s="21"/>
      <c r="K238" s="21"/>
      <c r="L238" s="21"/>
      <c r="M238" s="21"/>
      <c r="N238" s="21"/>
      <c r="O238" s="32" t="s">
        <v>405</v>
      </c>
    </row>
    <row r="239" spans="1:15">
      <c r="A239" s="58">
        <v>31</v>
      </c>
      <c r="B239" s="20" t="s">
        <v>406</v>
      </c>
      <c r="C239" s="35" t="s">
        <v>340</v>
      </c>
      <c r="D239" s="126">
        <v>55</v>
      </c>
      <c r="E239" s="29" t="s">
        <v>407</v>
      </c>
      <c r="F239" s="18" t="s">
        <v>396</v>
      </c>
      <c r="G239" s="36">
        <v>4900</v>
      </c>
      <c r="H239" s="127" t="s">
        <v>26</v>
      </c>
      <c r="I239" s="33">
        <v>1</v>
      </c>
      <c r="J239" s="21"/>
      <c r="K239" s="21"/>
      <c r="L239" s="21"/>
      <c r="M239" s="21"/>
      <c r="N239" s="21"/>
      <c r="O239" s="32" t="s">
        <v>377</v>
      </c>
    </row>
    <row r="240" spans="1:15">
      <c r="A240" s="58">
        <v>32</v>
      </c>
      <c r="B240" s="20" t="s">
        <v>356</v>
      </c>
      <c r="C240" s="15" t="s">
        <v>340</v>
      </c>
      <c r="D240" s="16">
        <v>55</v>
      </c>
      <c r="E240" s="29" t="s">
        <v>259</v>
      </c>
      <c r="F240" s="18" t="s">
        <v>408</v>
      </c>
      <c r="G240" s="36">
        <v>41000</v>
      </c>
      <c r="H240" s="127" t="s">
        <v>26</v>
      </c>
      <c r="I240" s="33">
        <v>1</v>
      </c>
      <c r="J240" s="22"/>
      <c r="K240" s="22"/>
      <c r="L240" s="22"/>
      <c r="M240" s="22"/>
      <c r="N240" s="22"/>
      <c r="O240" s="24" t="s">
        <v>409</v>
      </c>
    </row>
    <row r="241" spans="1:15">
      <c r="A241" s="58">
        <v>33</v>
      </c>
      <c r="B241" s="20" t="s">
        <v>410</v>
      </c>
      <c r="C241" s="15" t="s">
        <v>340</v>
      </c>
      <c r="D241" s="16">
        <v>55</v>
      </c>
      <c r="E241" s="29" t="s">
        <v>411</v>
      </c>
      <c r="F241" s="18" t="s">
        <v>408</v>
      </c>
      <c r="G241" s="36">
        <v>13900</v>
      </c>
      <c r="H241" s="127" t="s">
        <v>26</v>
      </c>
      <c r="I241" s="33">
        <v>1</v>
      </c>
      <c r="J241" s="22"/>
      <c r="K241" s="22"/>
      <c r="L241" s="22"/>
      <c r="M241" s="22"/>
      <c r="N241" s="22"/>
      <c r="O241" s="24" t="s">
        <v>409</v>
      </c>
    </row>
    <row r="242" spans="1:15" ht="31.5">
      <c r="A242" s="58">
        <v>34</v>
      </c>
      <c r="B242" s="42" t="s">
        <v>412</v>
      </c>
      <c r="C242" s="44" t="s">
        <v>340</v>
      </c>
      <c r="D242" s="45">
        <v>56</v>
      </c>
      <c r="E242" s="46" t="s">
        <v>413</v>
      </c>
      <c r="F242" s="47" t="s">
        <v>414</v>
      </c>
      <c r="G242" s="48">
        <v>99000</v>
      </c>
      <c r="H242" s="75" t="s">
        <v>26</v>
      </c>
      <c r="I242" s="33">
        <v>1</v>
      </c>
      <c r="J242" s="50"/>
      <c r="K242" s="50"/>
      <c r="L242" s="50"/>
      <c r="M242" s="50"/>
      <c r="N242" s="50"/>
      <c r="O242" s="56" t="s">
        <v>377</v>
      </c>
    </row>
    <row r="243" spans="1:15">
      <c r="A243" s="58">
        <v>35</v>
      </c>
      <c r="B243" s="20" t="s">
        <v>415</v>
      </c>
      <c r="C243" s="15" t="s">
        <v>340</v>
      </c>
      <c r="D243" s="16">
        <v>56</v>
      </c>
      <c r="E243" s="29" t="s">
        <v>416</v>
      </c>
      <c r="F243" s="18" t="s">
        <v>417</v>
      </c>
      <c r="G243" s="36">
        <v>8524</v>
      </c>
      <c r="H243" s="127" t="s">
        <v>26</v>
      </c>
      <c r="I243" s="33">
        <v>1</v>
      </c>
      <c r="J243" s="128"/>
      <c r="K243" s="128"/>
      <c r="L243" s="128"/>
      <c r="M243" s="128"/>
      <c r="N243" s="128"/>
      <c r="O243" s="24" t="s">
        <v>65</v>
      </c>
    </row>
    <row r="244" spans="1:15">
      <c r="A244" s="58">
        <v>36</v>
      </c>
      <c r="B244" s="20" t="s">
        <v>418</v>
      </c>
      <c r="C244" s="15" t="s">
        <v>340</v>
      </c>
      <c r="D244" s="16">
        <v>59</v>
      </c>
      <c r="E244" s="29" t="s">
        <v>419</v>
      </c>
      <c r="F244" s="18" t="s">
        <v>420</v>
      </c>
      <c r="G244" s="36">
        <v>16000</v>
      </c>
      <c r="H244" s="127" t="s">
        <v>26</v>
      </c>
      <c r="J244" s="33">
        <v>1</v>
      </c>
      <c r="K244" s="22"/>
      <c r="L244" s="22"/>
      <c r="M244" s="22"/>
      <c r="N244" s="22"/>
      <c r="O244" s="167" t="s">
        <v>469</v>
      </c>
    </row>
    <row r="245" spans="1:15">
      <c r="A245" s="58">
        <v>37</v>
      </c>
      <c r="B245" s="20" t="s">
        <v>422</v>
      </c>
      <c r="C245" s="15" t="s">
        <v>340</v>
      </c>
      <c r="D245" s="16">
        <v>59</v>
      </c>
      <c r="E245" s="29" t="s">
        <v>423</v>
      </c>
      <c r="F245" s="18" t="s">
        <v>420</v>
      </c>
      <c r="G245" s="36">
        <v>6000</v>
      </c>
      <c r="H245" s="127" t="s">
        <v>26</v>
      </c>
      <c r="I245" s="33">
        <v>1</v>
      </c>
      <c r="J245" s="22"/>
      <c r="K245" s="22"/>
      <c r="L245" s="22"/>
      <c r="M245" s="22"/>
      <c r="N245" s="22"/>
      <c r="O245" s="24" t="s">
        <v>421</v>
      </c>
    </row>
    <row r="246" spans="1:15">
      <c r="A246" s="58">
        <v>38</v>
      </c>
      <c r="B246" s="129" t="s">
        <v>364</v>
      </c>
      <c r="C246" s="15" t="s">
        <v>340</v>
      </c>
      <c r="D246" s="16">
        <v>59</v>
      </c>
      <c r="E246" s="29" t="s">
        <v>424</v>
      </c>
      <c r="F246" s="18" t="s">
        <v>420</v>
      </c>
      <c r="G246" s="36">
        <v>3100</v>
      </c>
      <c r="H246" s="127" t="s">
        <v>26</v>
      </c>
      <c r="J246" s="33">
        <v>1</v>
      </c>
      <c r="K246" s="22"/>
      <c r="L246" s="22"/>
      <c r="M246" s="22"/>
      <c r="N246" s="22"/>
      <c r="O246" s="167" t="s">
        <v>469</v>
      </c>
    </row>
    <row r="247" spans="1:15">
      <c r="A247" s="58">
        <v>39</v>
      </c>
      <c r="B247" s="20" t="s">
        <v>425</v>
      </c>
      <c r="C247" s="15" t="s">
        <v>340</v>
      </c>
      <c r="D247" s="16">
        <v>61</v>
      </c>
      <c r="E247" s="29" t="s">
        <v>426</v>
      </c>
      <c r="F247" s="18" t="s">
        <v>427</v>
      </c>
      <c r="G247" s="38">
        <v>179000</v>
      </c>
      <c r="H247" s="127" t="s">
        <v>26</v>
      </c>
      <c r="I247" s="33">
        <v>1</v>
      </c>
      <c r="J247" s="22"/>
      <c r="K247" s="22"/>
      <c r="L247" s="22"/>
      <c r="M247" s="22"/>
      <c r="N247" s="22"/>
      <c r="O247" s="130" t="s">
        <v>409</v>
      </c>
    </row>
    <row r="248" spans="1:15">
      <c r="A248" s="58">
        <v>40</v>
      </c>
      <c r="B248" s="20" t="s">
        <v>428</v>
      </c>
      <c r="C248" s="15" t="s">
        <v>340</v>
      </c>
      <c r="D248" s="16">
        <v>63</v>
      </c>
      <c r="E248" s="29" t="s">
        <v>429</v>
      </c>
      <c r="F248" s="18" t="s">
        <v>430</v>
      </c>
      <c r="G248" s="36">
        <v>6600</v>
      </c>
      <c r="H248" s="127" t="s">
        <v>26</v>
      </c>
      <c r="I248" s="33">
        <v>1</v>
      </c>
      <c r="J248" s="22"/>
      <c r="K248" s="22"/>
      <c r="L248" s="22"/>
      <c r="M248" s="22"/>
      <c r="N248" s="22"/>
      <c r="O248" s="130" t="s">
        <v>421</v>
      </c>
    </row>
    <row r="249" spans="1:15">
      <c r="A249" s="58">
        <v>41</v>
      </c>
      <c r="B249" s="20" t="s">
        <v>432</v>
      </c>
      <c r="C249" s="15" t="s">
        <v>340</v>
      </c>
      <c r="D249" s="16">
        <v>63</v>
      </c>
      <c r="E249" s="29" t="s">
        <v>433</v>
      </c>
      <c r="F249" s="18" t="s">
        <v>434</v>
      </c>
      <c r="G249" s="36">
        <v>3800</v>
      </c>
      <c r="H249" s="127" t="s">
        <v>26</v>
      </c>
      <c r="I249" s="33">
        <v>1</v>
      </c>
      <c r="J249" s="22"/>
      <c r="K249" s="22"/>
      <c r="L249" s="22"/>
      <c r="M249" s="22"/>
      <c r="N249" s="22"/>
      <c r="O249" s="130" t="s">
        <v>345</v>
      </c>
    </row>
    <row r="250" spans="1:15">
      <c r="A250" s="58">
        <v>42</v>
      </c>
      <c r="B250" s="20" t="s">
        <v>435</v>
      </c>
      <c r="C250" s="15" t="s">
        <v>340</v>
      </c>
      <c r="D250" s="16">
        <v>65</v>
      </c>
      <c r="E250" s="29" t="s">
        <v>436</v>
      </c>
      <c r="F250" s="18" t="s">
        <v>437</v>
      </c>
      <c r="G250" s="36">
        <v>23810</v>
      </c>
      <c r="H250" s="127" t="s">
        <v>438</v>
      </c>
      <c r="I250" s="33">
        <v>1</v>
      </c>
      <c r="J250" s="22"/>
      <c r="K250" s="22"/>
      <c r="L250" s="22"/>
      <c r="M250" s="22"/>
      <c r="N250" s="22"/>
      <c r="O250" s="130" t="s">
        <v>431</v>
      </c>
    </row>
    <row r="251" spans="1:15">
      <c r="A251" s="58">
        <v>43</v>
      </c>
      <c r="B251" s="20" t="s">
        <v>439</v>
      </c>
      <c r="C251" s="15" t="s">
        <v>340</v>
      </c>
      <c r="D251" s="16">
        <v>65</v>
      </c>
      <c r="E251" s="29" t="s">
        <v>440</v>
      </c>
      <c r="F251" s="18" t="s">
        <v>437</v>
      </c>
      <c r="G251" s="36">
        <v>3790</v>
      </c>
      <c r="H251" s="127" t="s">
        <v>438</v>
      </c>
      <c r="I251" s="33">
        <v>1</v>
      </c>
      <c r="J251" s="22"/>
      <c r="K251" s="22"/>
      <c r="L251" s="22"/>
      <c r="M251" s="22"/>
      <c r="N251" s="22"/>
      <c r="O251" s="130" t="s">
        <v>431</v>
      </c>
    </row>
    <row r="252" spans="1:15">
      <c r="A252" s="58">
        <v>44</v>
      </c>
      <c r="B252" s="20" t="s">
        <v>435</v>
      </c>
      <c r="C252" s="15" t="s">
        <v>340</v>
      </c>
      <c r="D252" s="16">
        <v>65</v>
      </c>
      <c r="E252" s="29" t="s">
        <v>441</v>
      </c>
      <c r="F252" s="18" t="s">
        <v>437</v>
      </c>
      <c r="G252" s="36">
        <v>23810</v>
      </c>
      <c r="H252" s="127" t="s">
        <v>438</v>
      </c>
      <c r="I252" s="33">
        <v>1</v>
      </c>
      <c r="J252" s="22"/>
      <c r="K252" s="22"/>
      <c r="L252" s="22"/>
      <c r="M252" s="22"/>
      <c r="N252" s="22"/>
      <c r="O252" s="130" t="s">
        <v>472</v>
      </c>
    </row>
    <row r="253" spans="1:15">
      <c r="A253" s="58">
        <v>45</v>
      </c>
      <c r="B253" s="20" t="s">
        <v>439</v>
      </c>
      <c r="C253" s="15" t="s">
        <v>340</v>
      </c>
      <c r="D253" s="16">
        <v>65</v>
      </c>
      <c r="E253" s="29" t="s">
        <v>443</v>
      </c>
      <c r="F253" s="18" t="s">
        <v>437</v>
      </c>
      <c r="G253" s="36">
        <v>3790</v>
      </c>
      <c r="H253" s="127" t="s">
        <v>438</v>
      </c>
      <c r="I253" s="33">
        <v>1</v>
      </c>
      <c r="J253" s="22"/>
      <c r="K253" s="22"/>
      <c r="L253" s="22"/>
      <c r="M253" s="22"/>
      <c r="N253" s="22"/>
      <c r="O253" s="130" t="s">
        <v>473</v>
      </c>
    </row>
    <row r="254" spans="1:15">
      <c r="A254" s="58">
        <v>46</v>
      </c>
      <c r="B254" s="20" t="s">
        <v>435</v>
      </c>
      <c r="C254" s="15" t="s">
        <v>340</v>
      </c>
      <c r="D254" s="16">
        <v>65</v>
      </c>
      <c r="E254" s="29" t="s">
        <v>444</v>
      </c>
      <c r="F254" s="18" t="s">
        <v>437</v>
      </c>
      <c r="G254" s="36">
        <v>23810</v>
      </c>
      <c r="H254" s="127" t="s">
        <v>438</v>
      </c>
      <c r="I254" s="33">
        <v>1</v>
      </c>
      <c r="J254" s="22"/>
      <c r="K254" s="22"/>
      <c r="L254" s="22"/>
      <c r="M254" s="22"/>
      <c r="N254" s="22"/>
      <c r="O254" s="130" t="s">
        <v>473</v>
      </c>
    </row>
    <row r="255" spans="1:15">
      <c r="A255" s="58">
        <v>47</v>
      </c>
      <c r="B255" s="20" t="s">
        <v>439</v>
      </c>
      <c r="C255" s="15" t="s">
        <v>340</v>
      </c>
      <c r="D255" s="16">
        <v>65</v>
      </c>
      <c r="E255" s="29" t="s">
        <v>445</v>
      </c>
      <c r="F255" s="18" t="s">
        <v>437</v>
      </c>
      <c r="G255" s="36">
        <v>3790</v>
      </c>
      <c r="H255" s="127" t="s">
        <v>438</v>
      </c>
      <c r="I255" s="33">
        <v>1</v>
      </c>
      <c r="J255" s="22"/>
      <c r="K255" s="22"/>
      <c r="L255" s="22"/>
      <c r="M255" s="22"/>
      <c r="N255" s="22"/>
      <c r="O255" s="130" t="s">
        <v>468</v>
      </c>
    </row>
    <row r="256" spans="1:15">
      <c r="A256" s="58">
        <v>48</v>
      </c>
      <c r="B256" s="20" t="s">
        <v>435</v>
      </c>
      <c r="C256" s="15" t="s">
        <v>340</v>
      </c>
      <c r="D256" s="16">
        <v>65</v>
      </c>
      <c r="E256" s="29" t="s">
        <v>446</v>
      </c>
      <c r="F256" s="18" t="s">
        <v>437</v>
      </c>
      <c r="G256" s="36">
        <v>23810</v>
      </c>
      <c r="H256" s="127" t="s">
        <v>447</v>
      </c>
      <c r="I256" s="33">
        <v>1</v>
      </c>
      <c r="J256" s="22"/>
      <c r="K256" s="22"/>
      <c r="L256" s="22"/>
      <c r="M256" s="22"/>
      <c r="N256" s="22"/>
      <c r="O256" s="130" t="s">
        <v>351</v>
      </c>
    </row>
    <row r="257" spans="1:15">
      <c r="A257" s="58">
        <v>49</v>
      </c>
      <c r="B257" s="20" t="s">
        <v>439</v>
      </c>
      <c r="C257" s="15" t="s">
        <v>340</v>
      </c>
      <c r="D257" s="16">
        <v>65</v>
      </c>
      <c r="E257" s="29" t="s">
        <v>448</v>
      </c>
      <c r="F257" s="18" t="s">
        <v>437</v>
      </c>
      <c r="G257" s="36">
        <v>3790</v>
      </c>
      <c r="H257" s="127" t="s">
        <v>447</v>
      </c>
      <c r="I257" s="33">
        <v>1</v>
      </c>
      <c r="J257" s="22"/>
      <c r="K257" s="22"/>
      <c r="L257" s="22"/>
      <c r="M257" s="22"/>
      <c r="N257" s="22"/>
      <c r="O257" s="130" t="s">
        <v>351</v>
      </c>
    </row>
    <row r="258" spans="1:15">
      <c r="A258" s="58">
        <v>50</v>
      </c>
      <c r="B258" s="20" t="s">
        <v>435</v>
      </c>
      <c r="C258" s="15" t="s">
        <v>340</v>
      </c>
      <c r="D258" s="16">
        <v>65</v>
      </c>
      <c r="E258" s="29" t="s">
        <v>449</v>
      </c>
      <c r="F258" s="18" t="s">
        <v>437</v>
      </c>
      <c r="G258" s="36">
        <v>23810</v>
      </c>
      <c r="H258" s="127" t="s">
        <v>447</v>
      </c>
      <c r="I258" s="33">
        <v>1</v>
      </c>
      <c r="J258" s="22"/>
      <c r="K258" s="22"/>
      <c r="L258" s="22"/>
      <c r="M258" s="22"/>
      <c r="N258" s="22"/>
      <c r="O258" s="130" t="s">
        <v>450</v>
      </c>
    </row>
    <row r="259" spans="1:15">
      <c r="A259" s="58">
        <v>51</v>
      </c>
      <c r="B259" s="20" t="s">
        <v>439</v>
      </c>
      <c r="C259" s="15" t="s">
        <v>340</v>
      </c>
      <c r="D259" s="16">
        <v>65</v>
      </c>
      <c r="E259" s="29" t="s">
        <v>451</v>
      </c>
      <c r="F259" s="18" t="s">
        <v>437</v>
      </c>
      <c r="G259" s="36">
        <v>3790</v>
      </c>
      <c r="H259" s="127" t="s">
        <v>447</v>
      </c>
      <c r="I259" s="33">
        <v>1</v>
      </c>
      <c r="J259" s="128"/>
      <c r="K259" s="128"/>
      <c r="L259" s="128"/>
      <c r="M259" s="128"/>
      <c r="N259" s="128"/>
      <c r="O259" s="24" t="s">
        <v>450</v>
      </c>
    </row>
    <row r="260" spans="1:15" ht="31.5">
      <c r="A260" s="58">
        <v>52</v>
      </c>
      <c r="B260" s="125" t="s">
        <v>452</v>
      </c>
      <c r="C260" s="15" t="s">
        <v>340</v>
      </c>
      <c r="D260" s="16">
        <v>65</v>
      </c>
      <c r="E260" s="29" t="s">
        <v>453</v>
      </c>
      <c r="F260" s="18" t="s">
        <v>437</v>
      </c>
      <c r="G260" s="36">
        <v>5000</v>
      </c>
      <c r="H260" s="127" t="s">
        <v>447</v>
      </c>
      <c r="I260" s="33">
        <v>1</v>
      </c>
      <c r="J260" s="22"/>
      <c r="K260" s="22"/>
      <c r="L260" s="22"/>
      <c r="M260" s="22"/>
      <c r="N260" s="22"/>
      <c r="O260" s="130" t="s">
        <v>450</v>
      </c>
    </row>
    <row r="261" spans="1:15">
      <c r="A261" s="58">
        <v>53</v>
      </c>
      <c r="B261" s="129" t="s">
        <v>454</v>
      </c>
      <c r="C261" s="15" t="s">
        <v>340</v>
      </c>
      <c r="D261" s="16">
        <v>65</v>
      </c>
      <c r="E261" s="29" t="s">
        <v>455</v>
      </c>
      <c r="F261" s="18" t="s">
        <v>437</v>
      </c>
      <c r="G261" s="36">
        <v>3000</v>
      </c>
      <c r="H261" s="127" t="s">
        <v>447</v>
      </c>
      <c r="I261" s="33">
        <v>1</v>
      </c>
      <c r="J261" s="22"/>
      <c r="K261" s="22"/>
      <c r="L261" s="22"/>
      <c r="M261" s="22"/>
      <c r="N261" s="22"/>
      <c r="O261" s="130" t="s">
        <v>431</v>
      </c>
    </row>
    <row r="262" spans="1:15">
      <c r="A262" s="58">
        <v>54</v>
      </c>
      <c r="B262" s="129" t="s">
        <v>454</v>
      </c>
      <c r="C262" s="15" t="s">
        <v>340</v>
      </c>
      <c r="D262" s="16">
        <v>65</v>
      </c>
      <c r="E262" s="29" t="s">
        <v>456</v>
      </c>
      <c r="F262" s="18" t="s">
        <v>437</v>
      </c>
      <c r="G262" s="36">
        <v>3000</v>
      </c>
      <c r="H262" s="127" t="s">
        <v>447</v>
      </c>
      <c r="I262" s="33">
        <v>1</v>
      </c>
      <c r="J262" s="22"/>
      <c r="K262" s="22"/>
      <c r="L262" s="22"/>
      <c r="M262" s="22"/>
      <c r="N262" s="22"/>
      <c r="O262" s="130" t="s">
        <v>351</v>
      </c>
    </row>
    <row r="263" spans="1:15">
      <c r="A263" s="58">
        <v>55</v>
      </c>
      <c r="B263" s="129" t="s">
        <v>454</v>
      </c>
      <c r="C263" s="15" t="s">
        <v>340</v>
      </c>
      <c r="D263" s="16">
        <v>65</v>
      </c>
      <c r="E263" s="29" t="s">
        <v>457</v>
      </c>
      <c r="F263" s="18" t="s">
        <v>437</v>
      </c>
      <c r="G263" s="36">
        <v>3000</v>
      </c>
      <c r="H263" s="127" t="s">
        <v>447</v>
      </c>
      <c r="I263" s="33">
        <v>1</v>
      </c>
      <c r="J263" s="22"/>
      <c r="K263" s="22"/>
      <c r="L263" s="22"/>
      <c r="M263" s="22"/>
      <c r="N263" s="22"/>
      <c r="O263" s="130" t="s">
        <v>368</v>
      </c>
    </row>
    <row r="264" spans="1:15">
      <c r="A264" s="58">
        <v>56</v>
      </c>
      <c r="B264" s="129" t="s">
        <v>454</v>
      </c>
      <c r="C264" s="15" t="s">
        <v>340</v>
      </c>
      <c r="D264" s="16">
        <v>65</v>
      </c>
      <c r="E264" s="29" t="s">
        <v>458</v>
      </c>
      <c r="F264" s="18" t="s">
        <v>437</v>
      </c>
      <c r="G264" s="36">
        <v>3000</v>
      </c>
      <c r="H264" s="127" t="s">
        <v>447</v>
      </c>
      <c r="I264" s="33">
        <v>1</v>
      </c>
      <c r="J264" s="22"/>
      <c r="K264" s="22"/>
      <c r="L264" s="22"/>
      <c r="M264" s="22"/>
      <c r="N264" s="22"/>
      <c r="O264" s="130" t="s">
        <v>442</v>
      </c>
    </row>
    <row r="265" spans="1:15">
      <c r="A265" s="58">
        <v>57</v>
      </c>
      <c r="B265" s="129" t="s">
        <v>454</v>
      </c>
      <c r="C265" s="15" t="s">
        <v>340</v>
      </c>
      <c r="D265" s="16">
        <v>65</v>
      </c>
      <c r="E265" s="29" t="s">
        <v>459</v>
      </c>
      <c r="F265" s="18" t="s">
        <v>437</v>
      </c>
      <c r="G265" s="38">
        <v>3000</v>
      </c>
      <c r="H265" s="127" t="s">
        <v>447</v>
      </c>
      <c r="I265" s="33">
        <v>1</v>
      </c>
      <c r="J265" s="22"/>
      <c r="K265" s="22"/>
      <c r="L265" s="22"/>
      <c r="M265" s="22"/>
      <c r="N265" s="22"/>
      <c r="O265" s="130" t="s">
        <v>384</v>
      </c>
    </row>
    <row r="266" spans="1:15">
      <c r="A266" s="58">
        <v>58</v>
      </c>
      <c r="B266" s="131" t="s">
        <v>460</v>
      </c>
      <c r="C266" s="132" t="s">
        <v>340</v>
      </c>
      <c r="D266" s="133">
        <v>66</v>
      </c>
      <c r="E266" s="134" t="s">
        <v>461</v>
      </c>
      <c r="F266" s="135" t="s">
        <v>462</v>
      </c>
      <c r="G266" s="136">
        <v>15800</v>
      </c>
      <c r="H266" s="137" t="s">
        <v>447</v>
      </c>
      <c r="I266" s="138">
        <v>1</v>
      </c>
      <c r="J266" s="139"/>
      <c r="K266" s="139"/>
      <c r="L266" s="139"/>
      <c r="M266" s="139"/>
      <c r="N266" s="139"/>
      <c r="O266" s="140" t="s">
        <v>442</v>
      </c>
    </row>
    <row r="267" spans="1:15">
      <c r="A267" s="58">
        <v>59</v>
      </c>
      <c r="B267" s="131" t="s">
        <v>463</v>
      </c>
      <c r="C267" s="132" t="s">
        <v>340</v>
      </c>
      <c r="D267" s="133">
        <v>66</v>
      </c>
      <c r="E267" s="134" t="s">
        <v>464</v>
      </c>
      <c r="F267" s="135" t="s">
        <v>462</v>
      </c>
      <c r="G267" s="141">
        <v>109000</v>
      </c>
      <c r="H267" s="137" t="s">
        <v>447</v>
      </c>
      <c r="I267" s="138">
        <v>1</v>
      </c>
      <c r="J267" s="139"/>
      <c r="K267" s="139"/>
      <c r="L267" s="139"/>
      <c r="M267" s="139"/>
      <c r="N267" s="139"/>
      <c r="O267" s="140" t="s">
        <v>377</v>
      </c>
    </row>
    <row r="268" spans="1:15" s="162" customFormat="1">
      <c r="A268" s="58">
        <v>60</v>
      </c>
      <c r="B268" s="152" t="s">
        <v>474</v>
      </c>
      <c r="C268" s="153" t="s">
        <v>340</v>
      </c>
      <c r="D268" s="154">
        <v>66</v>
      </c>
      <c r="E268" s="155" t="s">
        <v>477</v>
      </c>
      <c r="F268" s="156" t="s">
        <v>490</v>
      </c>
      <c r="G268" s="157">
        <v>28200</v>
      </c>
      <c r="H268" s="158" t="s">
        <v>438</v>
      </c>
      <c r="I268" s="159">
        <v>1</v>
      </c>
      <c r="J268" s="160"/>
      <c r="K268" s="160"/>
      <c r="L268" s="160"/>
      <c r="M268" s="160"/>
      <c r="N268" s="160"/>
      <c r="O268" s="161" t="s">
        <v>384</v>
      </c>
    </row>
    <row r="269" spans="1:15" s="162" customFormat="1">
      <c r="A269" s="58">
        <v>61</v>
      </c>
      <c r="B269" s="152" t="s">
        <v>474</v>
      </c>
      <c r="C269" s="153" t="s">
        <v>340</v>
      </c>
      <c r="D269" s="154">
        <v>66</v>
      </c>
      <c r="E269" s="155" t="s">
        <v>478</v>
      </c>
      <c r="F269" s="156" t="s">
        <v>490</v>
      </c>
      <c r="G269" s="157">
        <v>28200</v>
      </c>
      <c r="H269" s="158" t="s">
        <v>447</v>
      </c>
      <c r="I269" s="159">
        <v>1</v>
      </c>
      <c r="J269" s="160"/>
      <c r="K269" s="160"/>
      <c r="L269" s="160"/>
      <c r="M269" s="160"/>
      <c r="N269" s="160"/>
      <c r="O269" s="161" t="s">
        <v>442</v>
      </c>
    </row>
    <row r="270" spans="1:15" s="162" customFormat="1">
      <c r="A270" s="58">
        <v>62</v>
      </c>
      <c r="B270" s="152" t="s">
        <v>474</v>
      </c>
      <c r="C270" s="153" t="s">
        <v>340</v>
      </c>
      <c r="D270" s="154">
        <v>66</v>
      </c>
      <c r="E270" s="155" t="s">
        <v>479</v>
      </c>
      <c r="F270" s="156" t="s">
        <v>490</v>
      </c>
      <c r="G270" s="157">
        <v>28200</v>
      </c>
      <c r="H270" s="158" t="s">
        <v>447</v>
      </c>
      <c r="I270" s="159">
        <v>1</v>
      </c>
      <c r="J270" s="160"/>
      <c r="K270" s="160"/>
      <c r="L270" s="160"/>
      <c r="M270" s="160"/>
      <c r="N270" s="160"/>
      <c r="O270" s="161" t="s">
        <v>368</v>
      </c>
    </row>
    <row r="271" spans="1:15" s="162" customFormat="1">
      <c r="A271" s="58">
        <v>63</v>
      </c>
      <c r="B271" s="152" t="s">
        <v>474</v>
      </c>
      <c r="C271" s="153" t="s">
        <v>340</v>
      </c>
      <c r="D271" s="154">
        <v>66</v>
      </c>
      <c r="E271" s="155" t="s">
        <v>480</v>
      </c>
      <c r="F271" s="156" t="s">
        <v>490</v>
      </c>
      <c r="G271" s="157">
        <v>28200</v>
      </c>
      <c r="H271" s="158" t="s">
        <v>447</v>
      </c>
      <c r="I271" s="159">
        <v>1</v>
      </c>
      <c r="J271" s="160"/>
      <c r="K271" s="160"/>
      <c r="L271" s="160"/>
      <c r="M271" s="160"/>
      <c r="N271" s="160"/>
      <c r="O271" s="161" t="s">
        <v>491</v>
      </c>
    </row>
    <row r="272" spans="1:15" s="162" customFormat="1">
      <c r="A272" s="58">
        <v>64</v>
      </c>
      <c r="B272" s="152" t="s">
        <v>475</v>
      </c>
      <c r="C272" s="153" t="s">
        <v>340</v>
      </c>
      <c r="D272" s="154">
        <v>66</v>
      </c>
      <c r="E272" s="155" t="s">
        <v>481</v>
      </c>
      <c r="F272" s="156" t="s">
        <v>490</v>
      </c>
      <c r="G272" s="157">
        <v>2800</v>
      </c>
      <c r="H272" s="158" t="s">
        <v>447</v>
      </c>
      <c r="I272" s="159">
        <v>1</v>
      </c>
      <c r="J272" s="163"/>
      <c r="K272" s="163"/>
      <c r="L272" s="163"/>
      <c r="M272" s="163"/>
      <c r="N272" s="163"/>
      <c r="O272" s="164" t="s">
        <v>442</v>
      </c>
    </row>
    <row r="273" spans="1:15" s="162" customFormat="1">
      <c r="A273" s="58">
        <v>65</v>
      </c>
      <c r="B273" s="152" t="s">
        <v>475</v>
      </c>
      <c r="C273" s="153" t="s">
        <v>340</v>
      </c>
      <c r="D273" s="154">
        <v>66</v>
      </c>
      <c r="E273" s="155" t="s">
        <v>482</v>
      </c>
      <c r="F273" s="156" t="s">
        <v>490</v>
      </c>
      <c r="G273" s="157">
        <v>2800</v>
      </c>
      <c r="H273" s="158" t="s">
        <v>447</v>
      </c>
      <c r="I273" s="159">
        <v>1</v>
      </c>
      <c r="J273" s="160"/>
      <c r="K273" s="160"/>
      <c r="L273" s="160"/>
      <c r="M273" s="160"/>
      <c r="N273" s="160"/>
      <c r="O273" s="166" t="s">
        <v>368</v>
      </c>
    </row>
    <row r="274" spans="1:15" s="162" customFormat="1">
      <c r="A274" s="58">
        <v>66</v>
      </c>
      <c r="B274" s="152" t="s">
        <v>475</v>
      </c>
      <c r="C274" s="153" t="s">
        <v>340</v>
      </c>
      <c r="D274" s="154">
        <v>66</v>
      </c>
      <c r="E274" s="155" t="s">
        <v>483</v>
      </c>
      <c r="F274" s="156" t="s">
        <v>490</v>
      </c>
      <c r="G274" s="157">
        <v>2800</v>
      </c>
      <c r="H274" s="158" t="s">
        <v>447</v>
      </c>
      <c r="I274" s="159">
        <v>1</v>
      </c>
      <c r="J274" s="160"/>
      <c r="K274" s="160"/>
      <c r="L274" s="160"/>
      <c r="M274" s="160"/>
      <c r="N274" s="160"/>
      <c r="O274" s="161" t="s">
        <v>384</v>
      </c>
    </row>
    <row r="275" spans="1:15" s="162" customFormat="1">
      <c r="A275" s="58">
        <v>67</v>
      </c>
      <c r="B275" s="152" t="s">
        <v>475</v>
      </c>
      <c r="C275" s="153" t="s">
        <v>340</v>
      </c>
      <c r="D275" s="154">
        <v>66</v>
      </c>
      <c r="E275" s="155" t="s">
        <v>484</v>
      </c>
      <c r="F275" s="156" t="s">
        <v>490</v>
      </c>
      <c r="G275" s="157">
        <v>2800</v>
      </c>
      <c r="H275" s="158" t="s">
        <v>447</v>
      </c>
      <c r="I275" s="159">
        <v>1</v>
      </c>
      <c r="J275" s="160"/>
      <c r="K275" s="160"/>
      <c r="L275" s="160"/>
      <c r="M275" s="160"/>
      <c r="N275" s="160"/>
      <c r="O275" s="161" t="s">
        <v>491</v>
      </c>
    </row>
    <row r="276" spans="1:15" s="162" customFormat="1">
      <c r="A276" s="58">
        <v>68</v>
      </c>
      <c r="B276" s="152" t="s">
        <v>476</v>
      </c>
      <c r="C276" s="153" t="s">
        <v>340</v>
      </c>
      <c r="D276" s="154">
        <v>66</v>
      </c>
      <c r="E276" s="155" t="s">
        <v>485</v>
      </c>
      <c r="F276" s="156" t="s">
        <v>490</v>
      </c>
      <c r="G276" s="157">
        <v>6900</v>
      </c>
      <c r="H276" s="158" t="s">
        <v>447</v>
      </c>
      <c r="I276" s="159">
        <v>1</v>
      </c>
      <c r="J276" s="160"/>
      <c r="K276" s="160"/>
      <c r="L276" s="160"/>
      <c r="M276" s="160"/>
      <c r="N276" s="160"/>
      <c r="O276" s="161" t="s">
        <v>358</v>
      </c>
    </row>
    <row r="277" spans="1:15" s="162" customFormat="1">
      <c r="A277" s="58">
        <v>69</v>
      </c>
      <c r="B277" s="152" t="s">
        <v>476</v>
      </c>
      <c r="C277" s="153" t="s">
        <v>340</v>
      </c>
      <c r="D277" s="154">
        <v>66</v>
      </c>
      <c r="E277" s="155" t="s">
        <v>486</v>
      </c>
      <c r="F277" s="156" t="s">
        <v>490</v>
      </c>
      <c r="G277" s="157">
        <v>6900</v>
      </c>
      <c r="H277" s="158" t="s">
        <v>447</v>
      </c>
      <c r="I277" s="159">
        <v>1</v>
      </c>
      <c r="J277" s="160"/>
      <c r="K277" s="160"/>
      <c r="L277" s="160"/>
      <c r="M277" s="160"/>
      <c r="N277" s="160"/>
      <c r="O277" s="161" t="s">
        <v>368</v>
      </c>
    </row>
    <row r="278" spans="1:15" s="162" customFormat="1">
      <c r="A278" s="58">
        <v>70</v>
      </c>
      <c r="B278" s="152" t="s">
        <v>476</v>
      </c>
      <c r="C278" s="153" t="s">
        <v>340</v>
      </c>
      <c r="D278" s="154">
        <v>66</v>
      </c>
      <c r="E278" s="155" t="s">
        <v>487</v>
      </c>
      <c r="F278" s="156" t="s">
        <v>490</v>
      </c>
      <c r="G278" s="165">
        <v>6900</v>
      </c>
      <c r="H278" s="158" t="s">
        <v>447</v>
      </c>
      <c r="I278" s="159">
        <v>1</v>
      </c>
      <c r="J278" s="160"/>
      <c r="K278" s="160"/>
      <c r="L278" s="160"/>
      <c r="M278" s="160"/>
      <c r="N278" s="160"/>
      <c r="O278" s="161" t="s">
        <v>351</v>
      </c>
    </row>
    <row r="279" spans="1:15" s="162" customFormat="1">
      <c r="A279" s="58">
        <v>71</v>
      </c>
      <c r="B279" s="152" t="s">
        <v>476</v>
      </c>
      <c r="C279" s="153" t="s">
        <v>340</v>
      </c>
      <c r="D279" s="154">
        <v>66</v>
      </c>
      <c r="E279" s="155" t="s">
        <v>488</v>
      </c>
      <c r="F279" s="156" t="s">
        <v>490</v>
      </c>
      <c r="G279" s="157">
        <v>6900</v>
      </c>
      <c r="H279" s="158" t="s">
        <v>447</v>
      </c>
      <c r="I279" s="159">
        <v>1</v>
      </c>
      <c r="J279" s="160"/>
      <c r="K279" s="160"/>
      <c r="L279" s="160"/>
      <c r="M279" s="160"/>
      <c r="N279" s="160"/>
      <c r="O279" s="161" t="s">
        <v>431</v>
      </c>
    </row>
    <row r="280" spans="1:15" s="162" customFormat="1">
      <c r="A280" s="58">
        <v>72</v>
      </c>
      <c r="B280" s="152" t="s">
        <v>475</v>
      </c>
      <c r="C280" s="153" t="s">
        <v>340</v>
      </c>
      <c r="D280" s="154">
        <v>66</v>
      </c>
      <c r="E280" s="155" t="s">
        <v>489</v>
      </c>
      <c r="F280" s="156" t="s">
        <v>490</v>
      </c>
      <c r="G280" s="165">
        <v>2800</v>
      </c>
      <c r="H280" s="158" t="s">
        <v>447</v>
      </c>
      <c r="I280" s="159">
        <v>1</v>
      </c>
      <c r="J280" s="160"/>
      <c r="K280" s="160"/>
      <c r="L280" s="160"/>
      <c r="M280" s="160"/>
      <c r="N280" s="160"/>
      <c r="O280" s="161" t="s">
        <v>358</v>
      </c>
    </row>
    <row r="281" spans="1:15" ht="16.5" thickBot="1">
      <c r="A281" s="30"/>
      <c r="B281" s="39" t="s">
        <v>465</v>
      </c>
      <c r="C281" s="15"/>
      <c r="D281" s="16"/>
      <c r="E281" s="29"/>
      <c r="F281" s="18"/>
      <c r="G281" s="142">
        <f>SUM(G209:G280)</f>
        <v>1847424</v>
      </c>
      <c r="H281" s="143"/>
      <c r="I281" s="41"/>
      <c r="J281" s="22"/>
      <c r="K281" s="22"/>
      <c r="L281" s="22"/>
      <c r="M281" s="22"/>
      <c r="N281" s="22"/>
      <c r="O281" s="161"/>
    </row>
    <row r="282" spans="1:15" ht="18.75" thickTop="1" thickBot="1">
      <c r="A282" s="144"/>
      <c r="B282" s="145" t="s">
        <v>466</v>
      </c>
      <c r="C282" s="146"/>
      <c r="D282" s="147"/>
      <c r="E282" s="148"/>
      <c r="F282" s="149"/>
      <c r="G282" s="150">
        <f>SUM(G58,G94,G135,G149,G164,G168,G178,G182,G187,G192,G199,G206,G281)</f>
        <v>3953510.43</v>
      </c>
      <c r="H282" s="144"/>
      <c r="I282" s="151">
        <f>SUM(I5:I281)</f>
        <v>172</v>
      </c>
      <c r="J282" s="151">
        <f>SUM(J5:J281)</f>
        <v>15</v>
      </c>
      <c r="K282" s="151">
        <f>SUM(K5:K281)</f>
        <v>6</v>
      </c>
      <c r="L282" s="151">
        <f t="shared" ref="L282:M282" si="0">SUM(L6:L281)</f>
        <v>0</v>
      </c>
      <c r="M282" s="151">
        <f t="shared" si="0"/>
        <v>0</v>
      </c>
      <c r="N282" s="151">
        <f>SUM(N5:N281)</f>
        <v>48</v>
      </c>
      <c r="O282" s="149"/>
    </row>
  </sheetData>
  <mergeCells count="11">
    <mergeCell ref="O108:O112"/>
    <mergeCell ref="A1:O1"/>
    <mergeCell ref="A2:O2"/>
    <mergeCell ref="A3:A4"/>
    <mergeCell ref="B3:B4"/>
    <mergeCell ref="C3:E4"/>
    <mergeCell ref="F3:F4"/>
    <mergeCell ref="G3:G4"/>
    <mergeCell ref="H3:H4"/>
    <mergeCell ref="I3:N3"/>
    <mergeCell ref="O3:O4"/>
  </mergeCells>
  <phoneticPr fontId="24" type="noConversion"/>
  <pageMargins left="0.39370078740157483" right="0.39370078740157483" top="0.59055118110236227" bottom="0.39370078740157483" header="0.31496062992125984" footer="0.31496062992125984"/>
  <pageSetup paperSize="9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7</vt:i4>
      </vt:variant>
      <vt:variant>
        <vt:lpstr>ช่วงที่มีชื่อ</vt:lpstr>
      </vt:variant>
      <vt:variant>
        <vt:i4>7</vt:i4>
      </vt:variant>
    </vt:vector>
  </HeadingPairs>
  <TitlesOfParts>
    <vt:vector size="14" baseType="lpstr">
      <vt:lpstr>ครุภัณฑ์67 (2)</vt:lpstr>
      <vt:lpstr>ซ่อมบำรุงครุภัณฑ์66 ต่ำเกณ</vt:lpstr>
      <vt:lpstr>ซ่อมบำรุงครุภัณฑ์68</vt:lpstr>
      <vt:lpstr>ซ่อมบำรุงต่ำเกณฑ์ 68</vt:lpstr>
      <vt:lpstr>งบทรัพย์สิน 67</vt:lpstr>
      <vt:lpstr>ต่ำกว่าเกณฑ์67</vt:lpstr>
      <vt:lpstr>ครุภัณฑ์67</vt:lpstr>
      <vt:lpstr>ครุภัณฑ์67!Print_Titles</vt:lpstr>
      <vt:lpstr>'ครุภัณฑ์67 (2)'!Print_Titles</vt:lpstr>
      <vt:lpstr>'งบทรัพย์สิน 67'!Print_Titles</vt:lpstr>
      <vt:lpstr>'ซ่อมบำรุงครุภัณฑ์66 ต่ำเกณ'!Print_Titles</vt:lpstr>
      <vt:lpstr>ซ่อมบำรุงครุภัณฑ์68!Print_Titles</vt:lpstr>
      <vt:lpstr>'ซ่อมบำรุงต่ำเกณฑ์ 68'!Print_Titles</vt:lpstr>
      <vt:lpstr>ต่ำกว่าเกณฑ์67!Print_Titles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Lampangcity034</cp:lastModifiedBy>
  <cp:lastPrinted>2024-11-25T02:55:20Z</cp:lastPrinted>
  <dcterms:created xsi:type="dcterms:W3CDTF">2024-06-06T06:51:04Z</dcterms:created>
  <dcterms:modified xsi:type="dcterms:W3CDTF">2024-11-25T02:57:12Z</dcterms:modified>
</cp:coreProperties>
</file>