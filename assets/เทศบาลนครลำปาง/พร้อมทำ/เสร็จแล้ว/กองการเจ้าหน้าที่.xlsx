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risara\งานธุรการ กองการเจ้าหน้าที่ 2568\4. คกก. ตรวจสอบพัสดุประจำปี 2567\"/>
    </mc:Choice>
  </mc:AlternateContent>
  <xr:revisionPtr revIDLastSave="0" documentId="13_ncr:1_{650F673D-4EE0-4B19-AE73-8EF386C2FD49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สำนักงาน" sheetId="4" r:id="rId1"/>
    <sheet name="คอมพิวเตอร์" sheetId="5" r:id="rId2"/>
    <sheet name="วิทยาศาสตร์และการแพทย์" sheetId="6" r:id="rId3"/>
    <sheet name="ต่ำกว่าเกณฑ์" sheetId="7" r:id="rId4"/>
  </sheets>
  <definedNames>
    <definedName name="_xlnm.Print_Titles" localSheetId="1">คอมพิวเตอร์!$4:$6</definedName>
    <definedName name="_xlnm.Print_Titles" localSheetId="3">ต่ำกว่าเกณฑ์!$4:$6</definedName>
    <definedName name="_xlnm.Print_Titles" localSheetId="0">สำนักงาน!$4:$6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5" i="5" l="1"/>
  <c r="E15" i="7"/>
  <c r="E93" i="4"/>
  <c r="E75" i="4" l="1"/>
  <c r="E40" i="4"/>
  <c r="E46" i="4"/>
  <c r="E26" i="4"/>
  <c r="E22" i="7" l="1"/>
  <c r="E25" i="7" s="1"/>
  <c r="E77" i="5"/>
  <c r="E82" i="4"/>
  <c r="E10" i="6"/>
  <c r="E12" i="6" s="1"/>
  <c r="E91" i="4"/>
  <c r="E86" i="4"/>
</calcChain>
</file>

<file path=xl/sharedStrings.xml><?xml version="1.0" encoding="utf-8"?>
<sst xmlns="http://schemas.openxmlformats.org/spreadsheetml/2006/main" count="647" uniqueCount="222">
  <si>
    <t>กองการเจ้าหน้าที่</t>
  </si>
  <si>
    <t>เครื่องทำลายเอกสาร</t>
  </si>
  <si>
    <t>รายการ</t>
  </si>
  <si>
    <t>รหัสครุภัณฑ์</t>
  </si>
  <si>
    <t>เครื่องไมโครคอมิวเตอร์ ยี่ห้อ Microchip</t>
  </si>
  <si>
    <t>ครุภัณฑ์คอมพิวเตอร์</t>
  </si>
  <si>
    <t>416-44-0078</t>
  </si>
  <si>
    <t>416-59-0886</t>
  </si>
  <si>
    <t>เครื่องสำรองไฟ ขนาด 1 KVA ยี่ห้อ Zircon รุ่น AI (Plus)</t>
  </si>
  <si>
    <t>416-63-1760</t>
  </si>
  <si>
    <t>คอมพิวเตอร์ (CPU)</t>
  </si>
  <si>
    <t>จอแสดงภาพ</t>
  </si>
  <si>
    <t>เครื่องพิมพ์ยี่ห้อ Epson L5190</t>
  </si>
  <si>
    <t>เครื่องพิมพ์ Multifunction</t>
  </si>
  <si>
    <t>สแกนเนอร์</t>
  </si>
  <si>
    <t>อุปกรณ์อ่านบัตรอเนกประสงค์</t>
  </si>
  <si>
    <t>เครื่องคอมพิวเตอร์ (CPU)</t>
  </si>
  <si>
    <t>จอคอมพิวเตอร์</t>
  </si>
  <si>
    <t>จอมอนิเตอร์ยี่ห้อ Samsung 18.5 นิ้ว</t>
  </si>
  <si>
    <t>เครื่องพิมพ์ ยี่ห้อ Canon MP287</t>
  </si>
  <si>
    <t>416-55-0071 (ต)</t>
  </si>
  <si>
    <t>416-56-0103 (ต)</t>
  </si>
  <si>
    <t>416-47-0212</t>
  </si>
  <si>
    <t>416-52-0539</t>
  </si>
  <si>
    <t>416-52-0551</t>
  </si>
  <si>
    <t>416-56-0747</t>
  </si>
  <si>
    <t>416-56-0748</t>
  </si>
  <si>
    <t>416-63-1723</t>
  </si>
  <si>
    <t>416-64-1817</t>
  </si>
  <si>
    <t>416-64-1818</t>
  </si>
  <si>
    <t>416-64-1819</t>
  </si>
  <si>
    <t>416-64-1820</t>
  </si>
  <si>
    <t>416-64-1821</t>
  </si>
  <si>
    <t>416-64-1822</t>
  </si>
  <si>
    <t>416-65-2058</t>
  </si>
  <si>
    <t>416-65-2059</t>
  </si>
  <si>
    <t>416-65-2060</t>
  </si>
  <si>
    <t>416-65-2061</t>
  </si>
  <si>
    <t>416-65-2062</t>
  </si>
  <si>
    <t>416-65-2063</t>
  </si>
  <si>
    <t>416-65-2064</t>
  </si>
  <si>
    <t>416-65-2065</t>
  </si>
  <si>
    <t>416-65-2096</t>
  </si>
  <si>
    <t>416-65-2097</t>
  </si>
  <si>
    <t>416-65-2098</t>
  </si>
  <si>
    <t>416-65-2099</t>
  </si>
  <si>
    <t>ครุภัณฑ์สำนักงาน</t>
  </si>
  <si>
    <t>รวม</t>
  </si>
  <si>
    <t>หมายเหตุ</t>
  </si>
  <si>
    <t>โต๊ะทำงาน</t>
  </si>
  <si>
    <t>ราคาที่ได้มา</t>
  </si>
  <si>
    <t>โต๊ะทำงาน (ห้องรองปลัดฯ)</t>
  </si>
  <si>
    <t>เก้าอี้นั่งทำงาน (ห้องรองปลัด)</t>
  </si>
  <si>
    <t>เก้าอี้พนักพิงสูงยี่ห้อไทโย รุ่น CA777A</t>
  </si>
  <si>
    <t>เก้าอี้นั่งทำงาน</t>
  </si>
  <si>
    <t>401-56-0480 (ต)</t>
  </si>
  <si>
    <t>401-56-0504 (ต)</t>
  </si>
  <si>
    <t>400-32-1871</t>
  </si>
  <si>
    <t>400-32-1873</t>
  </si>
  <si>
    <t>400-48-5671</t>
  </si>
  <si>
    <t>401-52-7635</t>
  </si>
  <si>
    <t>406-17-0495</t>
  </si>
  <si>
    <t>406-17-0496</t>
  </si>
  <si>
    <t>406-22-0167</t>
  </si>
  <si>
    <t>406-22-0168</t>
  </si>
  <si>
    <t>406-31-0417</t>
  </si>
  <si>
    <t>406-45-1036</t>
  </si>
  <si>
    <t>406-45-1037</t>
  </si>
  <si>
    <t>406-46-1118</t>
  </si>
  <si>
    <t>406-46-1119</t>
  </si>
  <si>
    <t>406-62-1292</t>
  </si>
  <si>
    <t>406-62-1293</t>
  </si>
  <si>
    <t>406-62-1294</t>
  </si>
  <si>
    <t>406-62-1295</t>
  </si>
  <si>
    <t>420-44-0127</t>
  </si>
  <si>
    <t>420-60-0279</t>
  </si>
  <si>
    <t>420-64-0394</t>
  </si>
  <si>
    <t>470-55-0001</t>
  </si>
  <si>
    <t>400-65-6855</t>
  </si>
  <si>
    <t>400-65-6856</t>
  </si>
  <si>
    <t>400-65-6857</t>
  </si>
  <si>
    <t>400-65-6862</t>
  </si>
  <si>
    <t>400-65-6863</t>
  </si>
  <si>
    <t>400-65-6864</t>
  </si>
  <si>
    <t>400-65-6865</t>
  </si>
  <si>
    <t>401-65-9822</t>
  </si>
  <si>
    <t>401-65-9826</t>
  </si>
  <si>
    <t>401-65-9827</t>
  </si>
  <si>
    <t>401-65-9828</t>
  </si>
  <si>
    <t>401-65-9829</t>
  </si>
  <si>
    <t>404-65-0326</t>
  </si>
  <si>
    <t>426-48-0007</t>
  </si>
  <si>
    <t>298-63-0021</t>
  </si>
  <si>
    <t>รายละเอียดครุภัณฑ์ กองการเจ้าหน้าที่</t>
  </si>
  <si>
    <t>ณ กันยายน 2566</t>
  </si>
  <si>
    <t>ลำดับ</t>
  </si>
  <si>
    <t>วัน เดือน ปี</t>
  </si>
  <si>
    <t>สภาพครุภัณฑ์</t>
  </si>
  <si>
    <t>ที่</t>
  </si>
  <si>
    <t>ที่ได้มา</t>
  </si>
  <si>
    <t>สถานที่ใช้งาน</t>
  </si>
  <si>
    <t>ใช้ได้</t>
  </si>
  <si>
    <t>ชำรุด</t>
  </si>
  <si>
    <t>เสื่อม</t>
  </si>
  <si>
    <t>สูญหาย</t>
  </si>
  <si>
    <t>เก็บ</t>
  </si>
  <si>
    <t>หมดความ</t>
  </si>
  <si>
    <t>สภาพ</t>
  </si>
  <si>
    <t>ไว้นาน</t>
  </si>
  <si>
    <t>จำเป็น</t>
  </si>
  <si>
    <t>โต๊ะ (400)</t>
  </si>
  <si>
    <t>/</t>
  </si>
  <si>
    <t>โต๊ะทำงาน ยี่ห้อ MONO</t>
  </si>
  <si>
    <t xml:space="preserve">โต๊ะวางคอมพิวเตอร์ </t>
  </si>
  <si>
    <t>โต๊ะทำงานผู้บริหาร Nano ขนาด180*89*76 เซนติเมตรพร้อมกระจก (หน้าโต๊ะลายไม้ พร้อมกระจกใสปูหน้าโต๊ะ มีตู้ 3 ลิ้นชัก พร้อมกุญแจ และตู้ข้างหน้าท็อป)</t>
  </si>
  <si>
    <t>400-66-6906</t>
  </si>
  <si>
    <t>เก้าอี้ (401)</t>
  </si>
  <si>
    <t>เก้าอี้ทำงาน ยี่ห้อ MONO</t>
  </si>
  <si>
    <t>ชั้นวางของ (404)</t>
  </si>
  <si>
    <t xml:space="preserve">ชั้นเก็บแฟ้มเอกสาร </t>
  </si>
  <si>
    <t>ตู้ (406)</t>
  </si>
  <si>
    <t>ตู้เหล็ก (2บาน)ยี่ห้อKunoki</t>
  </si>
  <si>
    <t>ตู้เหล็กเก็บแบบฟอร์ม</t>
  </si>
  <si>
    <t xml:space="preserve">ตู้เหล็กบานเลื่อนทึบ </t>
  </si>
  <si>
    <t xml:space="preserve">ตู้เหล็กบานเลื่อนกระจก </t>
  </si>
  <si>
    <t>ตู้เหล็กบานเลื่อนกระจก</t>
  </si>
  <si>
    <t>ตู้เหล็กเก็บเอกสาร 4 ลิ้นชัก</t>
  </si>
  <si>
    <t>เครื่องปรับอากาศ (420)</t>
  </si>
  <si>
    <t xml:space="preserve">เครื่องปรับอากาศ </t>
  </si>
  <si>
    <t>เครื่องปรับอากาศแบบแขวน</t>
  </si>
  <si>
    <t>ตู้เซฟ ตู้นิรภัย (426)</t>
  </si>
  <si>
    <t>ตู้เซฟนิรภัย ยี่ห้อ TAIYO</t>
  </si>
  <si>
    <t>เครื่องทำลายเอกสาร (470)</t>
  </si>
  <si>
    <t>รวมทั้งสิ้น</t>
  </si>
  <si>
    <t>เครื่องคอมพิวเตอร์ (416)</t>
  </si>
  <si>
    <t>เครื่องพิมพ์แบบชนิดเลเซอร์ยี่ห้อ Fujl xerox</t>
  </si>
  <si>
    <t>ครุภัณฑ์วิทยาศาสตร์หรือการแพทย์</t>
  </si>
  <si>
    <t>อุปกรณ์ตามและเคลื่อนย้ายผู้ป่วย,ชุดกระเป๋าฯ (298)</t>
  </si>
  <si>
    <t>เครื่องวัดอุณหภูมิอินฟราเรด</t>
  </si>
  <si>
    <t>รายละเอียดครุภัณฑ์ต่ำกว่าเกณฑ์ กองการเจ้าหน้าที่</t>
  </si>
  <si>
    <t>โต๊ะทำงานชนิดไม้ Partiele พร้อมกระจกปูหน้าโต๊ะ ขนาด 150*60*75 cm.</t>
  </si>
  <si>
    <t>400-66-6908</t>
  </si>
  <si>
    <t>400-66-6909</t>
  </si>
  <si>
    <t>โต๊ะวางเครื่องคอมพิวเตอร์ ขนาด (ก)120*(ล)60*(ส)75 ซม.</t>
  </si>
  <si>
    <t>400-66-6910</t>
  </si>
  <si>
    <t>400-66-6911</t>
  </si>
  <si>
    <t>400-66-6912</t>
  </si>
  <si>
    <t>400-66-6913</t>
  </si>
  <si>
    <t>เก้าอี้สำนักงาน ขนาดไม่น้อยกว่า (ก) 66*(ล)69*(ส)96-105 ซม. ชนิดเบาะหนัง มีวางแขนปรับสูงต่ำด้วยโช๊คไฮโดรลิค ขาเก้าอี้ทำจากอลูมิเนียมแบบ 5 แฉก พร้อมล้อเลื่อน</t>
  </si>
  <si>
    <t>401-66-9906</t>
  </si>
  <si>
    <t>401-66-9907</t>
  </si>
  <si>
    <t>401-66-9908</t>
  </si>
  <si>
    <t>เก้าอี้ทำงานผู้บริหาร ขนาด (ก)65* (ล)75* (ส)120-127 เซนติเมตร (ปรับระดับความสูงของเก้าอี้ได้ และสามารถปรับความยืดหยุ่นของพนักพิงได้ด้วยลูกบิดใต้ที่นั่ง</t>
  </si>
  <si>
    <t>401-66-9904</t>
  </si>
  <si>
    <t>ชั้นวางแฟ้มตั้งแบบ 20 ช่อง แบบ 2 ชั้น มีล้อเลื่อน</t>
  </si>
  <si>
    <t>404-66-0329</t>
  </si>
  <si>
    <t>ตู้เหล็กเก็บเอกสาร 4 ลิ้นชัก (ใส่แฟ้มประวัติ)</t>
  </si>
  <si>
    <t>406-14-0076</t>
  </si>
  <si>
    <t>406-46-1116</t>
  </si>
  <si>
    <t>406-46-1117</t>
  </si>
  <si>
    <t>406-66-1439</t>
  </si>
  <si>
    <t>406-66-1440</t>
  </si>
  <si>
    <t>อาคาร B ตลาดเทศบาล 4</t>
  </si>
  <si>
    <t>406-66-1441</t>
  </si>
  <si>
    <t>406-66-1442</t>
  </si>
  <si>
    <t>406-66-1443</t>
  </si>
  <si>
    <t>ตู้เหล็กแบบ 2 บาน TAIYO</t>
  </si>
  <si>
    <t>406-66-1444</t>
  </si>
  <si>
    <t>406-66-1445</t>
  </si>
  <si>
    <t>406-66-1446</t>
  </si>
  <si>
    <t>ตู้เก็บเอกสารสำนักงานชนิดรางเลื่อน</t>
  </si>
  <si>
    <t>406-66-1460</t>
  </si>
  <si>
    <t>คอมพิวเตอร์โน๊ตบุ๊ก ยี่ห้อ Acer</t>
  </si>
  <si>
    <t>เครื่องคอมพิวเตอร์สำหรับงานสำนักงาน ยี่ห้อ Acer</t>
  </si>
  <si>
    <t>416-66-2346</t>
  </si>
  <si>
    <t>416-66-2347</t>
  </si>
  <si>
    <t>416-66-2348</t>
  </si>
  <si>
    <t>416-66-2349</t>
  </si>
  <si>
    <t>จอแสดงภาพ ยี่ห้อ Acer</t>
  </si>
  <si>
    <t>416-66-2350</t>
  </si>
  <si>
    <t>416-66-2351</t>
  </si>
  <si>
    <t>416-66-2352</t>
  </si>
  <si>
    <t>416-66-2353</t>
  </si>
  <si>
    <t>416-66-2354</t>
  </si>
  <si>
    <t>416-66-2355</t>
  </si>
  <si>
    <t>เครื่องสำรองไฟ ยี่ห้อ ZIRCON ขนาด 800AV</t>
  </si>
  <si>
    <t>เครื่องพิมพ์ Multifunction ยี่ห้อ Brother</t>
  </si>
  <si>
    <t>เครื่องสแกนเนอร์ ยี่ห้อ Scanjet</t>
  </si>
  <si>
    <t>401-67-10108</t>
  </si>
  <si>
    <t>401-67-10109</t>
  </si>
  <si>
    <t>401-67-10110</t>
  </si>
  <si>
    <t>401-67-10111</t>
  </si>
  <si>
    <t>ณ กันยายน 2567</t>
  </si>
  <si>
    <t>ณ   กันยายน  2567</t>
  </si>
  <si>
    <t xml:space="preserve">คอมพิวเตอร์แท็บเล็ต ยี่ห้อ SAMSUNG </t>
  </si>
  <si>
    <t>416-67-2518</t>
  </si>
  <si>
    <t>416-66-2324</t>
  </si>
  <si>
    <t>416-66-2325</t>
  </si>
  <si>
    <t>416-66-2326</t>
  </si>
  <si>
    <t>416-66-2327</t>
  </si>
  <si>
    <t>416-66-2328</t>
  </si>
  <si>
    <t>416-66-2329</t>
  </si>
  <si>
    <t>416-66-2330</t>
  </si>
  <si>
    <t>416-66-2333</t>
  </si>
  <si>
    <t>416-66-2332</t>
  </si>
  <si>
    <t>416-66-2331</t>
  </si>
  <si>
    <t>416-66-2334</t>
  </si>
  <si>
    <t>416-66-2325/1</t>
  </si>
  <si>
    <t>416-66-2326/1</t>
  </si>
  <si>
    <t>416-66-2327/1</t>
  </si>
  <si>
    <t>416-66-2328/1</t>
  </si>
  <si>
    <t>416-66-2329/1</t>
  </si>
  <si>
    <t>416-66-2330/1</t>
  </si>
  <si>
    <t>416-66-2333/1</t>
  </si>
  <si>
    <t>416-66-2332/1</t>
  </si>
  <si>
    <t>416-66-2331/1</t>
  </si>
  <si>
    <t>416-66-2334/1</t>
  </si>
  <si>
    <t>416-66-2335</t>
  </si>
  <si>
    <t>416-66-2336</t>
  </si>
  <si>
    <t>416-66-2337</t>
  </si>
  <si>
    <t>416-66-2338</t>
  </si>
  <si>
    <t>416-66-2339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</si>
</sst>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5"/>
      <name val="TH SarabunPSK"/>
      <family val="2"/>
    </font>
    <font>
      <sz val="11"/>
      <name val="Tahoma"/>
      <family val="2"/>
      <charset val="222"/>
      <scheme val="minor"/>
    </font>
    <font>
      <sz val="11"/>
      <name val="TH SarabunPSK"/>
      <family val="2"/>
    </font>
    <font>
      <sz val="15"/>
      <name val="TH SarabunPSK"/>
      <family val="2"/>
    </font>
    <font>
      <b/>
      <u val="double"/>
      <sz val="15"/>
      <name val="TH SarabunPSK"/>
      <family val="2"/>
    </font>
    <font>
      <b/>
      <u val="doubleAccounting"/>
      <sz val="15"/>
      <name val="TH SarabunPSK"/>
      <family val="2"/>
    </font>
    <font>
      <sz val="10"/>
      <name val="Arial"/>
      <family val="2"/>
    </font>
    <font>
      <sz val="16"/>
      <color theme="1"/>
      <name val="TH SarabunPSK"/>
      <family val="2"/>
    </font>
    <font>
      <u val="double"/>
      <sz val="15"/>
      <name val="TH SarabunPSK"/>
      <family val="2"/>
    </font>
    <font>
      <b/>
      <sz val="16"/>
      <color theme="1"/>
      <name val="TH SarabunPSK"/>
      <family val="2"/>
    </font>
    <font>
      <b/>
      <sz val="16.5"/>
      <color theme="1"/>
      <name val="TH SarabunPSK"/>
      <family val="2"/>
    </font>
    <font>
      <b/>
      <sz val="16"/>
      <name val="TH SarabunPSK"/>
      <family val="2"/>
    </font>
    <font>
      <b/>
      <u val="singleAccounting"/>
      <sz val="15"/>
      <name val="TH SarabunPSK"/>
      <family val="2"/>
    </font>
    <font>
      <sz val="15"/>
      <color theme="1"/>
      <name val="TH SarabunPSK"/>
      <family val="2"/>
    </font>
    <font>
      <sz val="8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sz val="15"/>
      <color rgb="FFFF000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8" fillId="0" borderId="0"/>
    <xf numFmtId="0" fontId="8" fillId="0" borderId="0"/>
  </cellStyleXfs>
  <cellXfs count="77">
    <xf numFmtId="0" fontId="0" fillId="0" borderId="0" xfId="0"/>
    <xf numFmtId="0" fontId="2" fillId="0" borderId="5" xfId="0" applyFont="1" applyBorder="1" applyAlignment="1">
      <alignment horizontal="center"/>
    </xf>
    <xf numFmtId="43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43" fontId="2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1" xfId="0" applyFont="1" applyBorder="1" applyAlignment="1">
      <alignment horizontal="center"/>
    </xf>
    <xf numFmtId="43" fontId="7" fillId="0" borderId="1" xfId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15" fontId="5" fillId="0" borderId="1" xfId="2" applyNumberFormat="1" applyFont="1" applyBorder="1" applyAlignment="1">
      <alignment horizontal="center"/>
    </xf>
    <xf numFmtId="43" fontId="5" fillId="0" borderId="1" xfId="0" applyNumberFormat="1" applyFont="1" applyBorder="1"/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43" fontId="9" fillId="0" borderId="1" xfId="0" applyNumberFormat="1" applyFont="1" applyBorder="1" applyAlignment="1">
      <alignment horizontal="center"/>
    </xf>
    <xf numFmtId="0" fontId="5" fillId="0" borderId="1" xfId="3" applyFont="1" applyBorder="1" applyAlignment="1">
      <alignment horizontal="center"/>
    </xf>
    <xf numFmtId="15" fontId="2" fillId="0" borderId="1" xfId="2" applyNumberFormat="1" applyFont="1" applyBorder="1" applyAlignment="1">
      <alignment horizontal="center"/>
    </xf>
    <xf numFmtId="43" fontId="7" fillId="0" borderId="1" xfId="0" applyNumberFormat="1" applyFont="1" applyBorder="1"/>
    <xf numFmtId="0" fontId="5" fillId="0" borderId="8" xfId="0" applyFont="1" applyBorder="1"/>
    <xf numFmtId="15" fontId="5" fillId="0" borderId="4" xfId="2" applyNumberFormat="1" applyFont="1" applyBorder="1" applyAlignment="1">
      <alignment horizontal="center"/>
    </xf>
    <xf numFmtId="0" fontId="10" fillId="0" borderId="8" xfId="0" applyFont="1" applyBorder="1"/>
    <xf numFmtId="0" fontId="2" fillId="0" borderId="4" xfId="0" applyFont="1" applyBorder="1" applyAlignment="1">
      <alignment horizontal="center"/>
    </xf>
    <xf numFmtId="43" fontId="7" fillId="3" borderId="1" xfId="1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0" fillId="0" borderId="1" xfId="0" applyFont="1" applyBorder="1"/>
    <xf numFmtId="43" fontId="2" fillId="3" borderId="1" xfId="1" applyFont="1" applyFill="1" applyBorder="1" applyAlignment="1">
      <alignment horizontal="center"/>
    </xf>
    <xf numFmtId="43" fontId="5" fillId="3" borderId="1" xfId="1" applyFont="1" applyFill="1" applyBorder="1" applyAlignment="1">
      <alignment horizontal="center"/>
    </xf>
    <xf numFmtId="0" fontId="11" fillId="0" borderId="9" xfId="0" applyFont="1" applyBorder="1"/>
    <xf numFmtId="0" fontId="12" fillId="0" borderId="9" xfId="0" applyFont="1" applyBorder="1"/>
    <xf numFmtId="43" fontId="2" fillId="0" borderId="1" xfId="1" applyFont="1" applyFill="1" applyBorder="1" applyAlignment="1">
      <alignment horizontal="center"/>
    </xf>
    <xf numFmtId="43" fontId="5" fillId="0" borderId="1" xfId="1" applyFont="1" applyFill="1" applyBorder="1" applyAlignment="1">
      <alignment horizontal="center"/>
    </xf>
    <xf numFmtId="43" fontId="7" fillId="0" borderId="1" xfId="1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0" fontId="13" fillId="0" borderId="9" xfId="0" applyFont="1" applyBorder="1"/>
    <xf numFmtId="0" fontId="5" fillId="0" borderId="6" xfId="0" applyFont="1" applyBorder="1"/>
    <xf numFmtId="43" fontId="5" fillId="2" borderId="1" xfId="0" applyNumberFormat="1" applyFont="1" applyFill="1" applyBorder="1"/>
    <xf numFmtId="0" fontId="13" fillId="0" borderId="1" xfId="0" applyFont="1" applyBorder="1"/>
    <xf numFmtId="43" fontId="14" fillId="0" borderId="1" xfId="0" applyNumberFormat="1" applyFont="1" applyBorder="1"/>
    <xf numFmtId="15" fontId="5" fillId="0" borderId="6" xfId="2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43" fontId="2" fillId="2" borderId="1" xfId="0" applyNumberFormat="1" applyFont="1" applyFill="1" applyBorder="1"/>
    <xf numFmtId="0" fontId="15" fillId="0" borderId="1" xfId="0" applyFont="1" applyBorder="1"/>
    <xf numFmtId="0" fontId="15" fillId="0" borderId="1" xfId="0" applyFont="1" applyBorder="1" applyAlignment="1">
      <alignment horizontal="center"/>
    </xf>
    <xf numFmtId="43" fontId="15" fillId="0" borderId="1" xfId="0" applyNumberFormat="1" applyFont="1" applyBorder="1" applyAlignment="1">
      <alignment horizontal="center"/>
    </xf>
    <xf numFmtId="0" fontId="15" fillId="0" borderId="10" xfId="0" applyFont="1" applyBorder="1"/>
    <xf numFmtId="0" fontId="15" fillId="0" borderId="10" xfId="0" applyFont="1" applyBorder="1" applyAlignment="1">
      <alignment horizontal="center"/>
    </xf>
    <xf numFmtId="43" fontId="15" fillId="0" borderId="10" xfId="0" applyNumberFormat="1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5" fillId="0" borderId="7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" xfId="0" applyFont="1" applyBorder="1"/>
    <xf numFmtId="15" fontId="18" fillId="0" borderId="1" xfId="2" applyNumberFormat="1" applyFont="1" applyBorder="1" applyAlignment="1">
      <alignment horizontal="center"/>
    </xf>
    <xf numFmtId="43" fontId="18" fillId="0" borderId="1" xfId="0" applyNumberFormat="1" applyFont="1" applyBorder="1"/>
    <xf numFmtId="0" fontId="17" fillId="0" borderId="0" xfId="0" applyFont="1"/>
    <xf numFmtId="0" fontId="2" fillId="0" borderId="6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3" fontId="2" fillId="0" borderId="6" xfId="0" applyNumberFormat="1" applyFont="1" applyBorder="1" applyAlignment="1">
      <alignment horizontal="center" vertical="center"/>
    </xf>
    <xf numFmtId="43" fontId="2" fillId="0" borderId="7" xfId="0" applyNumberFormat="1" applyFont="1" applyBorder="1" applyAlignment="1">
      <alignment horizontal="center" vertical="center"/>
    </xf>
    <xf numFmtId="43" fontId="2" fillId="0" borderId="8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</cellXfs>
  <cellStyles count="4">
    <cellStyle name="Normal 2" xfId="3" xr:uid="{00000000-0005-0000-0000-000000000000}"/>
    <cellStyle name="Normal 3" xfId="2" xr:uid="{00000000-0005-0000-0000-000001000000}"/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999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93"/>
  <sheetViews>
    <sheetView zoomScaleNormal="100" workbookViewId="0">
      <selection activeCell="M93" sqref="A1:M93"/>
    </sheetView>
  </sheetViews>
  <sheetFormatPr defaultRowHeight="14.25" x14ac:dyDescent="0.2"/>
  <cols>
    <col min="2" max="2" width="19.875" customWidth="1"/>
    <col min="3" max="3" width="12.625" customWidth="1"/>
    <col min="5" max="5" width="11.625" customWidth="1"/>
    <col min="6" max="6" width="23.375" customWidth="1"/>
    <col min="13" max="13" width="9.875" customWidth="1"/>
  </cols>
  <sheetData>
    <row r="1" spans="1:13" ht="19.5" x14ac:dyDescent="0.3">
      <c r="A1" s="66" t="s">
        <v>93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</row>
    <row r="2" spans="1:13" ht="19.5" x14ac:dyDescent="0.3">
      <c r="A2" s="66" t="s">
        <v>192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</row>
    <row r="3" spans="1:13" ht="19.5" x14ac:dyDescent="0.3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3"/>
    </row>
    <row r="4" spans="1:13" ht="19.5" x14ac:dyDescent="0.3">
      <c r="A4" s="4" t="s">
        <v>95</v>
      </c>
      <c r="B4" s="67" t="s">
        <v>2</v>
      </c>
      <c r="C4" s="67" t="s">
        <v>3</v>
      </c>
      <c r="D4" s="5" t="s">
        <v>96</v>
      </c>
      <c r="E4" s="70" t="s">
        <v>50</v>
      </c>
      <c r="F4" s="73" t="s">
        <v>97</v>
      </c>
      <c r="G4" s="74"/>
      <c r="H4" s="74"/>
      <c r="I4" s="74"/>
      <c r="J4" s="74"/>
      <c r="K4" s="74"/>
      <c r="L4" s="74"/>
      <c r="M4" s="75"/>
    </row>
    <row r="5" spans="1:13" ht="19.5" x14ac:dyDescent="0.3">
      <c r="A5" s="6" t="s">
        <v>98</v>
      </c>
      <c r="B5" s="68"/>
      <c r="C5" s="68"/>
      <c r="D5" s="7" t="s">
        <v>99</v>
      </c>
      <c r="E5" s="71"/>
      <c r="F5" s="67" t="s">
        <v>100</v>
      </c>
      <c r="G5" s="67" t="s">
        <v>101</v>
      </c>
      <c r="H5" s="67" t="s">
        <v>102</v>
      </c>
      <c r="I5" s="4" t="s">
        <v>103</v>
      </c>
      <c r="J5" s="67" t="s">
        <v>104</v>
      </c>
      <c r="K5" s="4" t="s">
        <v>105</v>
      </c>
      <c r="L5" s="4" t="s">
        <v>106</v>
      </c>
      <c r="M5" s="64" t="s">
        <v>48</v>
      </c>
    </row>
    <row r="6" spans="1:13" ht="19.5" x14ac:dyDescent="0.3">
      <c r="A6" s="8"/>
      <c r="B6" s="69"/>
      <c r="C6" s="69"/>
      <c r="D6" s="9"/>
      <c r="E6" s="72"/>
      <c r="F6" s="76"/>
      <c r="G6" s="76"/>
      <c r="H6" s="76"/>
      <c r="I6" s="8" t="s">
        <v>107</v>
      </c>
      <c r="J6" s="76"/>
      <c r="K6" s="8" t="s">
        <v>108</v>
      </c>
      <c r="L6" s="8" t="s">
        <v>109</v>
      </c>
      <c r="M6" s="65"/>
    </row>
    <row r="7" spans="1:13" ht="19.5" x14ac:dyDescent="0.3">
      <c r="A7" s="8"/>
      <c r="B7" s="10" t="s">
        <v>46</v>
      </c>
      <c r="C7" s="8"/>
      <c r="D7" s="9"/>
      <c r="E7" s="11"/>
      <c r="F7" s="12"/>
      <c r="G7" s="12"/>
      <c r="H7" s="12"/>
      <c r="I7" s="8"/>
      <c r="J7" s="12"/>
      <c r="K7" s="8"/>
      <c r="L7" s="8"/>
      <c r="M7" s="13"/>
    </row>
    <row r="8" spans="1:13" ht="21.75" x14ac:dyDescent="0.45">
      <c r="A8" s="14"/>
      <c r="B8" s="15" t="s">
        <v>110</v>
      </c>
      <c r="C8" s="14"/>
      <c r="D8" s="16"/>
      <c r="E8" s="17"/>
      <c r="F8" s="14"/>
      <c r="G8" s="14"/>
      <c r="H8" s="14"/>
      <c r="I8" s="14"/>
      <c r="J8" s="14"/>
      <c r="K8" s="14"/>
      <c r="L8" s="14"/>
      <c r="M8" s="18"/>
    </row>
    <row r="9" spans="1:13" ht="19.5" x14ac:dyDescent="0.3">
      <c r="A9" s="14">
        <v>1</v>
      </c>
      <c r="B9" s="19" t="s">
        <v>49</v>
      </c>
      <c r="C9" s="14" t="s">
        <v>57</v>
      </c>
      <c r="D9" s="20">
        <v>230835</v>
      </c>
      <c r="E9" s="21">
        <v>1900</v>
      </c>
      <c r="F9" s="14" t="s">
        <v>0</v>
      </c>
      <c r="G9" s="14" t="s">
        <v>111</v>
      </c>
      <c r="H9" s="14"/>
      <c r="I9" s="14"/>
      <c r="J9" s="14"/>
      <c r="K9" s="14"/>
      <c r="L9" s="14"/>
      <c r="M9" s="14"/>
    </row>
    <row r="10" spans="1:13" ht="19.5" x14ac:dyDescent="0.3">
      <c r="A10" s="14">
        <v>2</v>
      </c>
      <c r="B10" s="19" t="s">
        <v>49</v>
      </c>
      <c r="C10" s="14" t="s">
        <v>58</v>
      </c>
      <c r="D10" s="20">
        <v>230842</v>
      </c>
      <c r="E10" s="21">
        <v>1900</v>
      </c>
      <c r="F10" s="14" t="s">
        <v>0</v>
      </c>
      <c r="G10" s="14" t="s">
        <v>111</v>
      </c>
      <c r="H10" s="14"/>
      <c r="I10" s="14"/>
      <c r="J10" s="14"/>
      <c r="K10" s="14"/>
      <c r="L10" s="14"/>
      <c r="M10" s="14"/>
    </row>
    <row r="11" spans="1:13" ht="19.5" x14ac:dyDescent="0.3">
      <c r="A11" s="14">
        <v>3</v>
      </c>
      <c r="B11" s="19" t="s">
        <v>51</v>
      </c>
      <c r="C11" s="14" t="s">
        <v>59</v>
      </c>
      <c r="D11" s="20">
        <v>236690</v>
      </c>
      <c r="E11" s="21">
        <v>4922</v>
      </c>
      <c r="F11" s="14" t="s">
        <v>0</v>
      </c>
      <c r="G11" s="14" t="s">
        <v>111</v>
      </c>
      <c r="H11" s="14"/>
      <c r="I11" s="14"/>
      <c r="J11" s="14"/>
      <c r="K11" s="14"/>
      <c r="L11" s="14"/>
      <c r="M11" s="14"/>
    </row>
    <row r="12" spans="1:13" ht="19.5" x14ac:dyDescent="0.3">
      <c r="A12" s="14">
        <v>4</v>
      </c>
      <c r="B12" s="19" t="s">
        <v>112</v>
      </c>
      <c r="C12" s="14" t="s">
        <v>78</v>
      </c>
      <c r="D12" s="20">
        <v>242546</v>
      </c>
      <c r="E12" s="21">
        <v>3400</v>
      </c>
      <c r="F12" s="14" t="s">
        <v>0</v>
      </c>
      <c r="G12" s="14" t="s">
        <v>111</v>
      </c>
      <c r="H12" s="14"/>
      <c r="I12" s="14"/>
      <c r="J12" s="14"/>
      <c r="K12" s="14"/>
      <c r="L12" s="14"/>
      <c r="M12" s="14"/>
    </row>
    <row r="13" spans="1:13" ht="19.5" x14ac:dyDescent="0.3">
      <c r="A13" s="14">
        <v>5</v>
      </c>
      <c r="B13" s="19" t="s">
        <v>112</v>
      </c>
      <c r="C13" s="14" t="s">
        <v>79</v>
      </c>
      <c r="D13" s="20">
        <v>242546</v>
      </c>
      <c r="E13" s="21">
        <v>3400</v>
      </c>
      <c r="F13" s="14" t="s">
        <v>0</v>
      </c>
      <c r="G13" s="14" t="s">
        <v>111</v>
      </c>
      <c r="H13" s="14"/>
      <c r="I13" s="14"/>
      <c r="J13" s="14"/>
      <c r="K13" s="14"/>
      <c r="L13" s="14"/>
      <c r="M13" s="14"/>
    </row>
    <row r="14" spans="1:13" ht="19.5" x14ac:dyDescent="0.3">
      <c r="A14" s="14">
        <v>6</v>
      </c>
      <c r="B14" s="19" t="s">
        <v>112</v>
      </c>
      <c r="C14" s="14" t="s">
        <v>80</v>
      </c>
      <c r="D14" s="20">
        <v>242546</v>
      </c>
      <c r="E14" s="21">
        <v>3400</v>
      </c>
      <c r="F14" s="14" t="s">
        <v>0</v>
      </c>
      <c r="G14" s="14" t="s">
        <v>111</v>
      </c>
      <c r="H14" s="14"/>
      <c r="I14" s="14"/>
      <c r="J14" s="14"/>
      <c r="K14" s="14"/>
      <c r="L14" s="14"/>
      <c r="M14" s="14"/>
    </row>
    <row r="15" spans="1:13" ht="19.5" x14ac:dyDescent="0.3">
      <c r="A15" s="14">
        <v>7</v>
      </c>
      <c r="B15" s="19" t="s">
        <v>113</v>
      </c>
      <c r="C15" s="14" t="s">
        <v>81</v>
      </c>
      <c r="D15" s="20">
        <v>242546</v>
      </c>
      <c r="E15" s="21">
        <v>3900</v>
      </c>
      <c r="F15" s="14" t="s">
        <v>0</v>
      </c>
      <c r="G15" s="14" t="s">
        <v>111</v>
      </c>
      <c r="H15" s="14"/>
      <c r="I15" s="14"/>
      <c r="J15" s="14"/>
      <c r="K15" s="14"/>
      <c r="L15" s="14"/>
      <c r="M15" s="14"/>
    </row>
    <row r="16" spans="1:13" ht="19.5" x14ac:dyDescent="0.3">
      <c r="A16" s="14">
        <v>8</v>
      </c>
      <c r="B16" s="19" t="s">
        <v>113</v>
      </c>
      <c r="C16" s="14" t="s">
        <v>82</v>
      </c>
      <c r="D16" s="20">
        <v>242546</v>
      </c>
      <c r="E16" s="21">
        <v>3900</v>
      </c>
      <c r="F16" s="14" t="s">
        <v>0</v>
      </c>
      <c r="G16" s="14" t="s">
        <v>111</v>
      </c>
      <c r="H16" s="14"/>
      <c r="I16" s="14"/>
      <c r="J16" s="14"/>
      <c r="K16" s="14"/>
      <c r="L16" s="14"/>
      <c r="M16" s="14"/>
    </row>
    <row r="17" spans="1:13" ht="19.5" x14ac:dyDescent="0.3">
      <c r="A17" s="14">
        <v>9</v>
      </c>
      <c r="B17" s="19" t="s">
        <v>113</v>
      </c>
      <c r="C17" s="14" t="s">
        <v>83</v>
      </c>
      <c r="D17" s="20">
        <v>242546</v>
      </c>
      <c r="E17" s="21">
        <v>3900</v>
      </c>
      <c r="F17" s="14" t="s">
        <v>0</v>
      </c>
      <c r="G17" s="14" t="s">
        <v>111</v>
      </c>
      <c r="H17" s="14"/>
      <c r="I17" s="14"/>
      <c r="J17" s="14"/>
      <c r="K17" s="14"/>
      <c r="L17" s="14"/>
      <c r="M17" s="14"/>
    </row>
    <row r="18" spans="1:13" ht="19.5" x14ac:dyDescent="0.3">
      <c r="A18" s="14">
        <v>10</v>
      </c>
      <c r="B18" s="19" t="s">
        <v>113</v>
      </c>
      <c r="C18" s="14" t="s">
        <v>84</v>
      </c>
      <c r="D18" s="20">
        <v>242546</v>
      </c>
      <c r="E18" s="21">
        <v>3900</v>
      </c>
      <c r="F18" s="14" t="s">
        <v>0</v>
      </c>
      <c r="G18" s="14" t="s">
        <v>111</v>
      </c>
      <c r="H18" s="14"/>
      <c r="I18" s="14"/>
      <c r="J18" s="14"/>
      <c r="K18" s="14"/>
      <c r="L18" s="14"/>
      <c r="M18" s="14"/>
    </row>
    <row r="19" spans="1:13" ht="19.5" x14ac:dyDescent="0.3">
      <c r="A19" s="14">
        <v>11</v>
      </c>
      <c r="B19" s="51" t="s">
        <v>140</v>
      </c>
      <c r="C19" s="52" t="s">
        <v>141</v>
      </c>
      <c r="D19" s="20">
        <v>243194</v>
      </c>
      <c r="E19" s="53">
        <v>5200</v>
      </c>
      <c r="F19" s="14" t="s">
        <v>0</v>
      </c>
      <c r="G19" s="14" t="s">
        <v>111</v>
      </c>
      <c r="H19" s="14"/>
      <c r="I19" s="14"/>
      <c r="J19" s="14"/>
      <c r="K19" s="14"/>
      <c r="L19" s="14"/>
      <c r="M19" s="14"/>
    </row>
    <row r="20" spans="1:13" ht="19.5" x14ac:dyDescent="0.3">
      <c r="A20" s="14">
        <v>12</v>
      </c>
      <c r="B20" s="51" t="s">
        <v>140</v>
      </c>
      <c r="C20" s="52" t="s">
        <v>142</v>
      </c>
      <c r="D20" s="20">
        <v>243194</v>
      </c>
      <c r="E20" s="53">
        <v>5200</v>
      </c>
      <c r="F20" s="14" t="s">
        <v>0</v>
      </c>
      <c r="G20" s="14" t="s">
        <v>111</v>
      </c>
      <c r="H20" s="14"/>
      <c r="I20" s="14"/>
      <c r="J20" s="14"/>
      <c r="K20" s="14"/>
      <c r="L20" s="14"/>
      <c r="M20" s="14"/>
    </row>
    <row r="21" spans="1:13" ht="19.5" x14ac:dyDescent="0.3">
      <c r="A21" s="14">
        <v>13</v>
      </c>
      <c r="B21" s="51" t="s">
        <v>143</v>
      </c>
      <c r="C21" s="52" t="s">
        <v>144</v>
      </c>
      <c r="D21" s="20">
        <v>243194</v>
      </c>
      <c r="E21" s="53">
        <v>4400</v>
      </c>
      <c r="F21" s="14" t="s">
        <v>0</v>
      </c>
      <c r="G21" s="14" t="s">
        <v>111</v>
      </c>
      <c r="H21" s="14"/>
      <c r="I21" s="14"/>
      <c r="J21" s="14"/>
      <c r="K21" s="14"/>
      <c r="L21" s="14"/>
      <c r="M21" s="14"/>
    </row>
    <row r="22" spans="1:13" ht="19.5" x14ac:dyDescent="0.3">
      <c r="A22" s="14">
        <v>14</v>
      </c>
      <c r="B22" s="51" t="s">
        <v>143</v>
      </c>
      <c r="C22" s="52" t="s">
        <v>145</v>
      </c>
      <c r="D22" s="20">
        <v>243194</v>
      </c>
      <c r="E22" s="53">
        <v>4400</v>
      </c>
      <c r="F22" s="14" t="s">
        <v>0</v>
      </c>
      <c r="G22" s="14" t="s">
        <v>111</v>
      </c>
      <c r="H22" s="14"/>
      <c r="I22" s="14"/>
      <c r="J22" s="14"/>
      <c r="K22" s="14"/>
      <c r="L22" s="14"/>
      <c r="M22" s="14"/>
    </row>
    <row r="23" spans="1:13" ht="19.5" x14ac:dyDescent="0.3">
      <c r="A23" s="14">
        <v>15</v>
      </c>
      <c r="B23" s="51" t="s">
        <v>143</v>
      </c>
      <c r="C23" s="52" t="s">
        <v>146</v>
      </c>
      <c r="D23" s="20">
        <v>243194</v>
      </c>
      <c r="E23" s="53">
        <v>4400</v>
      </c>
      <c r="F23" s="14" t="s">
        <v>0</v>
      </c>
      <c r="G23" s="14" t="s">
        <v>111</v>
      </c>
      <c r="H23" s="14"/>
      <c r="I23" s="14"/>
      <c r="J23" s="14"/>
      <c r="K23" s="14"/>
      <c r="L23" s="14"/>
      <c r="M23" s="14"/>
    </row>
    <row r="24" spans="1:13" ht="19.5" x14ac:dyDescent="0.3">
      <c r="A24" s="14">
        <v>16</v>
      </c>
      <c r="B24" s="51" t="s">
        <v>143</v>
      </c>
      <c r="C24" s="52" t="s">
        <v>147</v>
      </c>
      <c r="D24" s="20">
        <v>243194</v>
      </c>
      <c r="E24" s="53">
        <v>4400</v>
      </c>
      <c r="F24" s="14" t="s">
        <v>0</v>
      </c>
      <c r="G24" s="14" t="s">
        <v>111</v>
      </c>
      <c r="H24" s="14"/>
      <c r="I24" s="14"/>
      <c r="J24" s="14"/>
      <c r="K24" s="14"/>
      <c r="L24" s="14"/>
      <c r="M24" s="14"/>
    </row>
    <row r="25" spans="1:13" ht="21" x14ac:dyDescent="0.35">
      <c r="A25" s="14">
        <v>17</v>
      </c>
      <c r="B25" s="22" t="s">
        <v>114</v>
      </c>
      <c r="C25" s="23" t="s">
        <v>115</v>
      </c>
      <c r="D25" s="20">
        <v>243188</v>
      </c>
      <c r="E25" s="24">
        <v>20900</v>
      </c>
      <c r="F25" s="14" t="s">
        <v>0</v>
      </c>
      <c r="G25" s="14" t="s">
        <v>111</v>
      </c>
      <c r="H25" s="14"/>
      <c r="I25" s="14"/>
      <c r="J25" s="14"/>
      <c r="K25" s="14"/>
      <c r="L25" s="14"/>
      <c r="M25" s="14"/>
    </row>
    <row r="26" spans="1:13" ht="21.75" x14ac:dyDescent="0.45">
      <c r="A26" s="25"/>
      <c r="B26" s="19"/>
      <c r="C26" s="14"/>
      <c r="D26" s="26" t="s">
        <v>47</v>
      </c>
      <c r="E26" s="27">
        <f>SUM(E9:E25)</f>
        <v>83422</v>
      </c>
      <c r="F26" s="14"/>
      <c r="G26" s="14"/>
      <c r="H26" s="14"/>
      <c r="I26" s="14"/>
      <c r="J26" s="14"/>
      <c r="K26" s="14"/>
      <c r="L26" s="14"/>
      <c r="M26" s="18"/>
    </row>
    <row r="27" spans="1:13" ht="21.75" x14ac:dyDescent="0.45">
      <c r="A27" s="25"/>
      <c r="B27" s="19"/>
      <c r="C27" s="14"/>
      <c r="D27" s="26"/>
      <c r="E27" s="27"/>
      <c r="F27" s="14"/>
      <c r="G27" s="14"/>
      <c r="H27" s="14"/>
      <c r="I27" s="14"/>
      <c r="J27" s="14"/>
      <c r="K27" s="14"/>
      <c r="L27" s="14"/>
      <c r="M27" s="18"/>
    </row>
    <row r="28" spans="1:13" ht="19.5" x14ac:dyDescent="0.3">
      <c r="A28" s="25"/>
      <c r="B28" s="19"/>
      <c r="C28" s="14"/>
      <c r="D28" s="20"/>
      <c r="E28" s="21"/>
      <c r="F28" s="14"/>
      <c r="G28" s="14"/>
      <c r="H28" s="14"/>
      <c r="I28" s="14"/>
      <c r="J28" s="14"/>
      <c r="K28" s="14"/>
      <c r="L28" s="14"/>
      <c r="M28" s="18"/>
    </row>
    <row r="29" spans="1:13" ht="19.5" x14ac:dyDescent="0.3">
      <c r="A29" s="25"/>
      <c r="B29" s="15" t="s">
        <v>116</v>
      </c>
      <c r="C29" s="14"/>
      <c r="D29" s="20"/>
      <c r="E29" s="21"/>
      <c r="F29" s="14"/>
      <c r="G29" s="14"/>
      <c r="H29" s="14"/>
      <c r="I29" s="14"/>
      <c r="J29" s="14"/>
      <c r="K29" s="14"/>
      <c r="L29" s="14"/>
      <c r="M29" s="18"/>
    </row>
    <row r="30" spans="1:13" ht="19.5" x14ac:dyDescent="0.3">
      <c r="A30" s="25">
        <v>1</v>
      </c>
      <c r="B30" s="19" t="s">
        <v>117</v>
      </c>
      <c r="C30" s="14" t="s">
        <v>85</v>
      </c>
      <c r="D30" s="20">
        <v>242546</v>
      </c>
      <c r="E30" s="21">
        <v>2900</v>
      </c>
      <c r="F30" s="14" t="s">
        <v>0</v>
      </c>
      <c r="G30" s="14" t="s">
        <v>111</v>
      </c>
      <c r="H30" s="14"/>
      <c r="I30" s="14"/>
      <c r="J30" s="14"/>
      <c r="K30" s="14"/>
      <c r="L30" s="14"/>
      <c r="M30" s="14"/>
    </row>
    <row r="31" spans="1:13" ht="19.5" x14ac:dyDescent="0.3">
      <c r="A31" s="25">
        <v>2</v>
      </c>
      <c r="B31" s="19" t="s">
        <v>117</v>
      </c>
      <c r="C31" s="14" t="s">
        <v>86</v>
      </c>
      <c r="D31" s="20">
        <v>242546</v>
      </c>
      <c r="E31" s="21">
        <v>2900</v>
      </c>
      <c r="F31" s="14" t="s">
        <v>0</v>
      </c>
      <c r="G31" s="14" t="s">
        <v>111</v>
      </c>
      <c r="H31" s="14"/>
      <c r="I31" s="14"/>
      <c r="J31" s="14"/>
      <c r="K31" s="14"/>
      <c r="L31" s="14"/>
      <c r="M31" s="14"/>
    </row>
    <row r="32" spans="1:13" ht="19.5" x14ac:dyDescent="0.3">
      <c r="A32" s="25">
        <v>3</v>
      </c>
      <c r="B32" s="19" t="s">
        <v>117</v>
      </c>
      <c r="C32" s="14" t="s">
        <v>87</v>
      </c>
      <c r="D32" s="20">
        <v>242546</v>
      </c>
      <c r="E32" s="21">
        <v>2900</v>
      </c>
      <c r="F32" s="14" t="s">
        <v>0</v>
      </c>
      <c r="G32" s="14" t="s">
        <v>111</v>
      </c>
      <c r="H32" s="14"/>
      <c r="I32" s="14"/>
      <c r="J32" s="14"/>
      <c r="K32" s="14"/>
      <c r="L32" s="14"/>
      <c r="M32" s="14"/>
    </row>
    <row r="33" spans="1:13" ht="19.5" x14ac:dyDescent="0.3">
      <c r="A33" s="25">
        <v>4</v>
      </c>
      <c r="B33" s="19" t="s">
        <v>117</v>
      </c>
      <c r="C33" s="14" t="s">
        <v>88</v>
      </c>
      <c r="D33" s="20">
        <v>242546</v>
      </c>
      <c r="E33" s="21">
        <v>2900</v>
      </c>
      <c r="F33" s="14" t="s">
        <v>0</v>
      </c>
      <c r="G33" s="14" t="s">
        <v>111</v>
      </c>
      <c r="H33" s="14"/>
      <c r="I33" s="14"/>
      <c r="J33" s="14"/>
      <c r="K33" s="14"/>
      <c r="L33" s="14"/>
      <c r="M33" s="14"/>
    </row>
    <row r="34" spans="1:13" ht="19.5" x14ac:dyDescent="0.3">
      <c r="A34" s="25">
        <v>5</v>
      </c>
      <c r="B34" s="19" t="s">
        <v>117</v>
      </c>
      <c r="C34" s="14" t="s">
        <v>89</v>
      </c>
      <c r="D34" s="20">
        <v>242546</v>
      </c>
      <c r="E34" s="21">
        <v>2900</v>
      </c>
      <c r="F34" s="14" t="s">
        <v>0</v>
      </c>
      <c r="G34" s="14" t="s">
        <v>111</v>
      </c>
      <c r="H34" s="14"/>
      <c r="I34" s="14"/>
      <c r="J34" s="14"/>
      <c r="K34" s="14"/>
      <c r="L34" s="14"/>
      <c r="M34" s="14"/>
    </row>
    <row r="35" spans="1:13" ht="19.5" x14ac:dyDescent="0.3">
      <c r="A35" s="25">
        <v>6</v>
      </c>
      <c r="B35" s="28" t="s">
        <v>52</v>
      </c>
      <c r="C35" s="14" t="s">
        <v>60</v>
      </c>
      <c r="D35" s="29">
        <v>19132</v>
      </c>
      <c r="E35" s="21">
        <v>1200</v>
      </c>
      <c r="F35" s="14" t="s">
        <v>0</v>
      </c>
      <c r="G35" s="14" t="s">
        <v>111</v>
      </c>
      <c r="H35" s="14"/>
      <c r="I35" s="14"/>
      <c r="J35" s="14"/>
      <c r="K35" s="14"/>
      <c r="L35" s="14"/>
      <c r="M35" s="14"/>
    </row>
    <row r="36" spans="1:13" ht="19.5" x14ac:dyDescent="0.3">
      <c r="A36" s="25">
        <v>7</v>
      </c>
      <c r="B36" s="54" t="s">
        <v>148</v>
      </c>
      <c r="C36" s="55" t="s">
        <v>149</v>
      </c>
      <c r="D36" s="48">
        <v>243194</v>
      </c>
      <c r="E36" s="56">
        <v>4200</v>
      </c>
      <c r="F36" s="49" t="s">
        <v>0</v>
      </c>
      <c r="G36" s="49" t="s">
        <v>111</v>
      </c>
      <c r="H36" s="14"/>
      <c r="I36" s="14"/>
      <c r="J36" s="14"/>
      <c r="K36" s="14"/>
      <c r="L36" s="14"/>
      <c r="M36" s="14"/>
    </row>
    <row r="37" spans="1:13" ht="19.5" x14ac:dyDescent="0.3">
      <c r="A37" s="25">
        <v>8</v>
      </c>
      <c r="B37" s="51" t="s">
        <v>148</v>
      </c>
      <c r="C37" s="52" t="s">
        <v>150</v>
      </c>
      <c r="D37" s="20">
        <v>243194</v>
      </c>
      <c r="E37" s="53">
        <v>4200</v>
      </c>
      <c r="F37" s="14" t="s">
        <v>0</v>
      </c>
      <c r="G37" s="14" t="s">
        <v>111</v>
      </c>
      <c r="H37" s="14"/>
      <c r="I37" s="14"/>
      <c r="J37" s="14"/>
      <c r="K37" s="14"/>
      <c r="L37" s="14"/>
      <c r="M37" s="14"/>
    </row>
    <row r="38" spans="1:13" ht="19.5" x14ac:dyDescent="0.3">
      <c r="A38" s="25">
        <v>9</v>
      </c>
      <c r="B38" s="51" t="s">
        <v>148</v>
      </c>
      <c r="C38" s="52" t="s">
        <v>151</v>
      </c>
      <c r="D38" s="20">
        <v>243194</v>
      </c>
      <c r="E38" s="53">
        <v>4200</v>
      </c>
      <c r="F38" s="14" t="s">
        <v>0</v>
      </c>
      <c r="G38" s="14" t="s">
        <v>111</v>
      </c>
      <c r="H38" s="14"/>
      <c r="I38" s="14"/>
      <c r="J38" s="14"/>
      <c r="K38" s="14"/>
      <c r="L38" s="14"/>
      <c r="M38" s="14"/>
    </row>
    <row r="39" spans="1:13" ht="19.5" x14ac:dyDescent="0.3">
      <c r="A39" s="25">
        <v>10</v>
      </c>
      <c r="B39" s="51" t="s">
        <v>152</v>
      </c>
      <c r="C39" s="52" t="s">
        <v>153</v>
      </c>
      <c r="D39" s="20">
        <v>243188</v>
      </c>
      <c r="E39" s="53">
        <v>4990</v>
      </c>
      <c r="F39" s="14" t="s">
        <v>0</v>
      </c>
      <c r="G39" s="14" t="s">
        <v>111</v>
      </c>
      <c r="H39" s="14"/>
      <c r="I39" s="14"/>
      <c r="J39" s="14"/>
      <c r="K39" s="14"/>
      <c r="L39" s="14"/>
      <c r="M39" s="14"/>
    </row>
    <row r="40" spans="1:13" ht="21.75" x14ac:dyDescent="0.45">
      <c r="A40" s="14"/>
      <c r="B40" s="30"/>
      <c r="C40" s="14"/>
      <c r="D40" s="31" t="s">
        <v>47</v>
      </c>
      <c r="E40" s="32">
        <f>SUM(E30:E39)</f>
        <v>33290</v>
      </c>
      <c r="F40" s="33"/>
      <c r="G40" s="14"/>
      <c r="H40" s="14"/>
      <c r="I40" s="14"/>
      <c r="J40" s="14"/>
      <c r="K40" s="14"/>
      <c r="L40" s="14"/>
      <c r="M40" s="18"/>
    </row>
    <row r="41" spans="1:13" ht="21.75" x14ac:dyDescent="0.45">
      <c r="A41" s="14"/>
      <c r="B41" s="30"/>
      <c r="C41" s="14"/>
      <c r="D41" s="31"/>
      <c r="E41" s="32"/>
      <c r="F41" s="33"/>
      <c r="G41" s="14"/>
      <c r="H41" s="14"/>
      <c r="I41" s="14"/>
      <c r="J41" s="14"/>
      <c r="K41" s="14"/>
      <c r="L41" s="14"/>
      <c r="M41" s="18"/>
    </row>
    <row r="42" spans="1:13" ht="21.75" x14ac:dyDescent="0.45">
      <c r="A42" s="14"/>
      <c r="B42" s="30"/>
      <c r="C42" s="14"/>
      <c r="D42" s="31"/>
      <c r="E42" s="32"/>
      <c r="F42" s="33"/>
      <c r="G42" s="14"/>
      <c r="H42" s="14"/>
      <c r="I42" s="14"/>
      <c r="J42" s="14"/>
      <c r="K42" s="14"/>
      <c r="L42" s="14"/>
      <c r="M42" s="18"/>
    </row>
    <row r="43" spans="1:13" ht="19.5" x14ac:dyDescent="0.3">
      <c r="A43" s="14"/>
      <c r="B43" s="15" t="s">
        <v>118</v>
      </c>
      <c r="C43" s="14"/>
      <c r="D43" s="31"/>
      <c r="E43" s="35"/>
      <c r="F43" s="33"/>
      <c r="G43" s="14"/>
      <c r="H43" s="14"/>
      <c r="I43" s="14"/>
      <c r="J43" s="14"/>
      <c r="K43" s="14"/>
      <c r="L43" s="14"/>
      <c r="M43" s="18"/>
    </row>
    <row r="44" spans="1:13" ht="19.5" x14ac:dyDescent="0.3">
      <c r="A44" s="14">
        <v>1</v>
      </c>
      <c r="B44" s="19" t="s">
        <v>119</v>
      </c>
      <c r="C44" s="14" t="s">
        <v>90</v>
      </c>
      <c r="D44" s="29">
        <v>242881</v>
      </c>
      <c r="E44" s="36">
        <v>4800</v>
      </c>
      <c r="F44" s="14" t="s">
        <v>0</v>
      </c>
      <c r="G44" s="14" t="s">
        <v>111</v>
      </c>
      <c r="H44" s="14"/>
      <c r="I44" s="14"/>
      <c r="J44" s="14"/>
      <c r="K44" s="14"/>
      <c r="L44" s="14"/>
      <c r="M44" s="14"/>
    </row>
    <row r="45" spans="1:13" ht="19.5" x14ac:dyDescent="0.3">
      <c r="A45" s="14">
        <v>2</v>
      </c>
      <c r="B45" s="51" t="s">
        <v>154</v>
      </c>
      <c r="C45" s="52" t="s">
        <v>155</v>
      </c>
      <c r="D45" s="20">
        <v>243194</v>
      </c>
      <c r="E45" s="53">
        <v>3500</v>
      </c>
      <c r="F45" s="14" t="s">
        <v>0</v>
      </c>
      <c r="G45" s="14" t="s">
        <v>111</v>
      </c>
      <c r="H45" s="14"/>
      <c r="I45" s="14"/>
      <c r="J45" s="14"/>
      <c r="K45" s="14"/>
      <c r="L45" s="14"/>
      <c r="M45" s="14"/>
    </row>
    <row r="46" spans="1:13" ht="21.75" x14ac:dyDescent="0.45">
      <c r="A46" s="14"/>
      <c r="B46" s="34"/>
      <c r="C46" s="14"/>
      <c r="D46" s="31" t="s">
        <v>47</v>
      </c>
      <c r="E46" s="32">
        <f>SUM(E44:E45)</f>
        <v>8300</v>
      </c>
      <c r="F46" s="33"/>
      <c r="G46" s="14"/>
      <c r="H46" s="14"/>
      <c r="I46" s="14"/>
      <c r="J46" s="14"/>
      <c r="K46" s="14"/>
      <c r="L46" s="14"/>
      <c r="M46" s="18"/>
    </row>
    <row r="47" spans="1:13" ht="21.75" x14ac:dyDescent="0.45">
      <c r="A47" s="14"/>
      <c r="B47" s="34"/>
      <c r="C47" s="14"/>
      <c r="D47" s="31"/>
      <c r="E47" s="32"/>
      <c r="F47" s="33"/>
      <c r="G47" s="14"/>
      <c r="H47" s="14"/>
      <c r="I47" s="14"/>
      <c r="J47" s="14"/>
      <c r="K47" s="14"/>
      <c r="L47" s="14"/>
      <c r="M47" s="18"/>
    </row>
    <row r="48" spans="1:13" ht="21.75" x14ac:dyDescent="0.45">
      <c r="A48" s="14"/>
      <c r="B48" s="34"/>
      <c r="C48" s="14"/>
      <c r="D48" s="31"/>
      <c r="E48" s="32"/>
      <c r="F48" s="33"/>
      <c r="G48" s="14"/>
      <c r="H48" s="14"/>
      <c r="I48" s="14"/>
      <c r="J48" s="14"/>
      <c r="K48" s="14"/>
      <c r="L48" s="14"/>
      <c r="M48" s="18"/>
    </row>
    <row r="49" spans="1:13" ht="19.5" x14ac:dyDescent="0.3">
      <c r="A49" s="14"/>
      <c r="B49" s="15" t="s">
        <v>120</v>
      </c>
      <c r="C49" s="14"/>
      <c r="D49" s="31"/>
      <c r="E49" s="35"/>
      <c r="F49" s="33"/>
      <c r="G49" s="14"/>
      <c r="H49" s="14"/>
      <c r="I49" s="14"/>
      <c r="J49" s="14"/>
      <c r="K49" s="14"/>
      <c r="L49" s="14"/>
      <c r="M49" s="18"/>
    </row>
    <row r="50" spans="1:13" ht="19.5" x14ac:dyDescent="0.3">
      <c r="A50" s="14">
        <v>1</v>
      </c>
      <c r="B50" s="19" t="s">
        <v>121</v>
      </c>
      <c r="C50" s="14" t="s">
        <v>61</v>
      </c>
      <c r="D50" s="29">
        <v>225402</v>
      </c>
      <c r="E50" s="36">
        <v>1000</v>
      </c>
      <c r="F50" s="14" t="s">
        <v>0</v>
      </c>
      <c r="G50" s="14" t="s">
        <v>111</v>
      </c>
      <c r="H50" s="14"/>
      <c r="I50" s="14"/>
      <c r="J50" s="14"/>
      <c r="K50" s="14"/>
      <c r="L50" s="14"/>
      <c r="M50" s="14"/>
    </row>
    <row r="51" spans="1:13" ht="19.5" x14ac:dyDescent="0.3">
      <c r="A51" s="14">
        <v>2</v>
      </c>
      <c r="B51" s="19" t="s">
        <v>121</v>
      </c>
      <c r="C51" s="14" t="s">
        <v>62</v>
      </c>
      <c r="D51" s="29">
        <v>225658</v>
      </c>
      <c r="E51" s="36">
        <v>1200</v>
      </c>
      <c r="F51" s="14" t="s">
        <v>0</v>
      </c>
      <c r="G51" s="14" t="s">
        <v>111</v>
      </c>
      <c r="H51" s="14"/>
      <c r="I51" s="14"/>
      <c r="J51" s="14"/>
      <c r="K51" s="14"/>
      <c r="L51" s="14"/>
      <c r="M51" s="14"/>
    </row>
    <row r="52" spans="1:13" ht="19.5" x14ac:dyDescent="0.3">
      <c r="A52" s="14">
        <v>3</v>
      </c>
      <c r="B52" s="19" t="s">
        <v>121</v>
      </c>
      <c r="C52" s="14" t="s">
        <v>63</v>
      </c>
      <c r="D52" s="29">
        <v>227240</v>
      </c>
      <c r="E52" s="36">
        <v>1100</v>
      </c>
      <c r="F52" s="14" t="s">
        <v>0</v>
      </c>
      <c r="G52" s="14" t="s">
        <v>111</v>
      </c>
      <c r="H52" s="14"/>
      <c r="I52" s="14"/>
      <c r="J52" s="14"/>
      <c r="K52" s="14"/>
      <c r="L52" s="14"/>
      <c r="M52" s="14"/>
    </row>
    <row r="53" spans="1:13" ht="19.5" x14ac:dyDescent="0.3">
      <c r="A53" s="14">
        <v>4</v>
      </c>
      <c r="B53" s="19" t="s">
        <v>121</v>
      </c>
      <c r="C53" s="14" t="s">
        <v>64</v>
      </c>
      <c r="D53" s="29">
        <v>227240</v>
      </c>
      <c r="E53" s="36">
        <v>1100</v>
      </c>
      <c r="F53" s="14" t="s">
        <v>0</v>
      </c>
      <c r="G53" s="14" t="s">
        <v>111</v>
      </c>
      <c r="H53" s="14"/>
      <c r="I53" s="14"/>
      <c r="J53" s="14"/>
      <c r="K53" s="14"/>
      <c r="L53" s="14"/>
      <c r="M53" s="14"/>
    </row>
    <row r="54" spans="1:13" ht="19.5" x14ac:dyDescent="0.3">
      <c r="A54" s="14">
        <v>5</v>
      </c>
      <c r="B54" s="19" t="s">
        <v>122</v>
      </c>
      <c r="C54" s="14" t="s">
        <v>65</v>
      </c>
      <c r="D54" s="29">
        <v>230505</v>
      </c>
      <c r="E54" s="36">
        <v>1800</v>
      </c>
      <c r="F54" s="14" t="s">
        <v>0</v>
      </c>
      <c r="G54" s="14" t="s">
        <v>111</v>
      </c>
      <c r="H54" s="14"/>
      <c r="I54" s="14"/>
      <c r="J54" s="14"/>
      <c r="K54" s="14"/>
      <c r="L54" s="14"/>
      <c r="M54" s="14"/>
    </row>
    <row r="55" spans="1:13" ht="19.5" x14ac:dyDescent="0.3">
      <c r="A55" s="14">
        <v>6</v>
      </c>
      <c r="B55" s="19" t="s">
        <v>123</v>
      </c>
      <c r="C55" s="14" t="s">
        <v>66</v>
      </c>
      <c r="D55" s="29">
        <v>235683</v>
      </c>
      <c r="E55" s="36">
        <v>3200</v>
      </c>
      <c r="F55" s="14" t="s">
        <v>0</v>
      </c>
      <c r="G55" s="14" t="s">
        <v>111</v>
      </c>
      <c r="H55" s="14"/>
      <c r="I55" s="14"/>
      <c r="J55" s="14"/>
      <c r="K55" s="14"/>
      <c r="L55" s="14"/>
      <c r="M55" s="14"/>
    </row>
    <row r="56" spans="1:13" ht="19.5" x14ac:dyDescent="0.3">
      <c r="A56" s="14">
        <v>7</v>
      </c>
      <c r="B56" s="19" t="s">
        <v>124</v>
      </c>
      <c r="C56" s="14" t="s">
        <v>67</v>
      </c>
      <c r="D56" s="29">
        <v>235683</v>
      </c>
      <c r="E56" s="36">
        <v>3000</v>
      </c>
      <c r="F56" s="14" t="s">
        <v>0</v>
      </c>
      <c r="G56" s="14" t="s">
        <v>111</v>
      </c>
      <c r="H56" s="14"/>
      <c r="I56" s="14"/>
      <c r="J56" s="14"/>
      <c r="K56" s="14"/>
      <c r="L56" s="14"/>
      <c r="M56" s="14"/>
    </row>
    <row r="57" spans="1:13" ht="19.5" x14ac:dyDescent="0.3">
      <c r="A57" s="14">
        <v>8</v>
      </c>
      <c r="B57" s="19" t="s">
        <v>125</v>
      </c>
      <c r="C57" s="14" t="s">
        <v>68</v>
      </c>
      <c r="D57" s="29">
        <v>236138</v>
      </c>
      <c r="E57" s="36">
        <v>3200</v>
      </c>
      <c r="F57" s="14" t="s">
        <v>0</v>
      </c>
      <c r="G57" s="14" t="s">
        <v>111</v>
      </c>
      <c r="H57" s="14"/>
      <c r="I57" s="14"/>
      <c r="J57" s="14"/>
      <c r="K57" s="14"/>
      <c r="L57" s="14"/>
      <c r="M57" s="14"/>
    </row>
    <row r="58" spans="1:13" ht="19.5" x14ac:dyDescent="0.3">
      <c r="A58" s="14">
        <v>9</v>
      </c>
      <c r="B58" s="19" t="s">
        <v>123</v>
      </c>
      <c r="C58" s="14" t="s">
        <v>69</v>
      </c>
      <c r="D58" s="29">
        <v>236138</v>
      </c>
      <c r="E58" s="36">
        <v>3000</v>
      </c>
      <c r="F58" s="14" t="s">
        <v>0</v>
      </c>
      <c r="G58" s="14" t="s">
        <v>111</v>
      </c>
      <c r="H58" s="14"/>
      <c r="I58" s="14"/>
      <c r="J58" s="14"/>
      <c r="K58" s="14"/>
      <c r="L58" s="14"/>
      <c r="M58" s="14"/>
    </row>
    <row r="59" spans="1:13" ht="19.5" x14ac:dyDescent="0.3">
      <c r="A59" s="14">
        <v>10</v>
      </c>
      <c r="B59" s="19" t="s">
        <v>126</v>
      </c>
      <c r="C59" s="14" t="s">
        <v>70</v>
      </c>
      <c r="D59" s="29">
        <v>241864</v>
      </c>
      <c r="E59" s="36">
        <v>7900</v>
      </c>
      <c r="F59" s="14" t="s">
        <v>0</v>
      </c>
      <c r="G59" s="14" t="s">
        <v>111</v>
      </c>
      <c r="H59" s="14"/>
      <c r="I59" s="14"/>
      <c r="J59" s="14"/>
      <c r="K59" s="14"/>
      <c r="L59" s="14"/>
      <c r="M59" s="14"/>
    </row>
    <row r="60" spans="1:13" ht="19.5" x14ac:dyDescent="0.3">
      <c r="A60" s="14">
        <v>11</v>
      </c>
      <c r="B60" s="19" t="s">
        <v>126</v>
      </c>
      <c r="C60" s="14" t="s">
        <v>71</v>
      </c>
      <c r="D60" s="29">
        <v>241864</v>
      </c>
      <c r="E60" s="36">
        <v>7900</v>
      </c>
      <c r="F60" s="14" t="s">
        <v>0</v>
      </c>
      <c r="G60" s="14" t="s">
        <v>111</v>
      </c>
      <c r="H60" s="14"/>
      <c r="I60" s="14"/>
      <c r="J60" s="14"/>
      <c r="K60" s="14"/>
      <c r="L60" s="14"/>
      <c r="M60" s="14"/>
    </row>
    <row r="61" spans="1:13" ht="19.5" x14ac:dyDescent="0.3">
      <c r="A61" s="14">
        <v>12</v>
      </c>
      <c r="B61" s="19" t="s">
        <v>126</v>
      </c>
      <c r="C61" s="14" t="s">
        <v>72</v>
      </c>
      <c r="D61" s="29">
        <v>241864</v>
      </c>
      <c r="E61" s="36">
        <v>7900</v>
      </c>
      <c r="F61" s="14" t="s">
        <v>0</v>
      </c>
      <c r="G61" s="14" t="s">
        <v>111</v>
      </c>
      <c r="H61" s="14"/>
      <c r="I61" s="14"/>
      <c r="J61" s="14"/>
      <c r="K61" s="14"/>
      <c r="L61" s="14"/>
      <c r="M61" s="14"/>
    </row>
    <row r="62" spans="1:13" ht="19.5" x14ac:dyDescent="0.3">
      <c r="A62" s="14">
        <v>13</v>
      </c>
      <c r="B62" s="19" t="s">
        <v>126</v>
      </c>
      <c r="C62" s="14" t="s">
        <v>73</v>
      </c>
      <c r="D62" s="29">
        <v>241864</v>
      </c>
      <c r="E62" s="36">
        <v>7900</v>
      </c>
      <c r="F62" s="14" t="s">
        <v>0</v>
      </c>
      <c r="G62" s="14" t="s">
        <v>111</v>
      </c>
      <c r="H62" s="14"/>
      <c r="I62" s="14"/>
      <c r="J62" s="14"/>
      <c r="K62" s="14"/>
      <c r="L62" s="14"/>
      <c r="M62" s="14"/>
    </row>
    <row r="63" spans="1:13" ht="19.5" x14ac:dyDescent="0.3">
      <c r="A63" s="14">
        <v>14</v>
      </c>
      <c r="B63" s="51" t="s">
        <v>126</v>
      </c>
      <c r="C63" s="52" t="s">
        <v>157</v>
      </c>
      <c r="D63" s="29">
        <v>224293</v>
      </c>
      <c r="E63" s="36">
        <v>1980</v>
      </c>
      <c r="F63" s="14" t="s">
        <v>0</v>
      </c>
      <c r="G63" s="14" t="s">
        <v>111</v>
      </c>
      <c r="H63" s="14"/>
      <c r="I63" s="14"/>
      <c r="J63" s="14"/>
      <c r="K63" s="14"/>
      <c r="L63" s="14"/>
      <c r="M63" s="14"/>
    </row>
    <row r="64" spans="1:13" ht="19.5" x14ac:dyDescent="0.3">
      <c r="A64" s="14">
        <v>15</v>
      </c>
      <c r="B64" s="51" t="s">
        <v>156</v>
      </c>
      <c r="C64" s="52" t="s">
        <v>158</v>
      </c>
      <c r="D64" s="29">
        <v>235949</v>
      </c>
      <c r="E64" s="36">
        <v>2300</v>
      </c>
      <c r="F64" s="14" t="s">
        <v>0</v>
      </c>
      <c r="G64" s="14" t="s">
        <v>111</v>
      </c>
      <c r="H64" s="14"/>
      <c r="I64" s="14"/>
      <c r="J64" s="14"/>
      <c r="K64" s="14"/>
      <c r="L64" s="14"/>
      <c r="M64" s="14"/>
    </row>
    <row r="65" spans="1:13" ht="19.5" x14ac:dyDescent="0.3">
      <c r="A65" s="14">
        <v>16</v>
      </c>
      <c r="B65" s="51" t="s">
        <v>156</v>
      </c>
      <c r="C65" s="52" t="s">
        <v>159</v>
      </c>
      <c r="D65" s="29">
        <v>235949</v>
      </c>
      <c r="E65" s="36">
        <v>2300</v>
      </c>
      <c r="F65" s="14" t="s">
        <v>0</v>
      </c>
      <c r="G65" s="14" t="s">
        <v>111</v>
      </c>
      <c r="H65" s="14"/>
      <c r="I65" s="14"/>
      <c r="J65" s="14"/>
      <c r="K65" s="14"/>
      <c r="L65" s="14"/>
      <c r="M65" s="14"/>
    </row>
    <row r="66" spans="1:13" ht="19.5" x14ac:dyDescent="0.3">
      <c r="A66" s="14">
        <v>17</v>
      </c>
      <c r="B66" s="51" t="s">
        <v>166</v>
      </c>
      <c r="C66" s="52" t="s">
        <v>160</v>
      </c>
      <c r="D66" s="29">
        <v>24426</v>
      </c>
      <c r="E66" s="36">
        <v>5885</v>
      </c>
      <c r="F66" s="14" t="s">
        <v>162</v>
      </c>
      <c r="G66" s="14" t="s">
        <v>111</v>
      </c>
      <c r="H66" s="14"/>
      <c r="I66" s="14"/>
      <c r="J66" s="14"/>
      <c r="K66" s="14"/>
      <c r="L66" s="14"/>
      <c r="M66" s="14"/>
    </row>
    <row r="67" spans="1:13" ht="19.5" x14ac:dyDescent="0.3">
      <c r="A67" s="14">
        <v>18</v>
      </c>
      <c r="B67" s="51" t="s">
        <v>166</v>
      </c>
      <c r="C67" s="52" t="s">
        <v>161</v>
      </c>
      <c r="D67" s="29">
        <v>24426</v>
      </c>
      <c r="E67" s="36">
        <v>5885</v>
      </c>
      <c r="F67" s="14" t="s">
        <v>162</v>
      </c>
      <c r="G67" s="14" t="s">
        <v>111</v>
      </c>
      <c r="H67" s="14"/>
      <c r="I67" s="14"/>
      <c r="J67" s="14"/>
      <c r="K67" s="14"/>
      <c r="L67" s="14"/>
      <c r="M67" s="14"/>
    </row>
    <row r="68" spans="1:13" ht="19.5" x14ac:dyDescent="0.3">
      <c r="A68" s="14">
        <v>19</v>
      </c>
      <c r="B68" s="51" t="s">
        <v>166</v>
      </c>
      <c r="C68" s="52" t="s">
        <v>163</v>
      </c>
      <c r="D68" s="29">
        <v>24426</v>
      </c>
      <c r="E68" s="36">
        <v>5885</v>
      </c>
      <c r="F68" s="14" t="s">
        <v>162</v>
      </c>
      <c r="G68" s="14" t="s">
        <v>111</v>
      </c>
      <c r="H68" s="14"/>
      <c r="I68" s="14"/>
      <c r="J68" s="14"/>
      <c r="K68" s="14"/>
      <c r="L68" s="14"/>
      <c r="M68" s="14"/>
    </row>
    <row r="69" spans="1:13" ht="19.5" x14ac:dyDescent="0.3">
      <c r="A69" s="14">
        <v>20</v>
      </c>
      <c r="B69" s="51" t="s">
        <v>166</v>
      </c>
      <c r="C69" s="52" t="s">
        <v>164</v>
      </c>
      <c r="D69" s="29">
        <v>24426</v>
      </c>
      <c r="E69" s="36">
        <v>5885</v>
      </c>
      <c r="F69" s="14" t="s">
        <v>162</v>
      </c>
      <c r="G69" s="14" t="s">
        <v>111</v>
      </c>
      <c r="H69" s="14"/>
      <c r="I69" s="14"/>
      <c r="J69" s="14"/>
      <c r="K69" s="14"/>
      <c r="L69" s="14"/>
      <c r="M69" s="14"/>
    </row>
    <row r="70" spans="1:13" ht="19.5" x14ac:dyDescent="0.3">
      <c r="A70" s="14">
        <v>21</v>
      </c>
      <c r="B70" s="51" t="s">
        <v>166</v>
      </c>
      <c r="C70" s="52" t="s">
        <v>165</v>
      </c>
      <c r="D70" s="29">
        <v>24426</v>
      </c>
      <c r="E70" s="36">
        <v>5885</v>
      </c>
      <c r="F70" s="14" t="s">
        <v>162</v>
      </c>
      <c r="G70" s="14" t="s">
        <v>111</v>
      </c>
      <c r="H70" s="14"/>
      <c r="I70" s="14"/>
      <c r="J70" s="14"/>
      <c r="K70" s="14"/>
      <c r="L70" s="14"/>
      <c r="M70" s="14"/>
    </row>
    <row r="71" spans="1:13" ht="19.5" x14ac:dyDescent="0.3">
      <c r="A71" s="14">
        <v>22</v>
      </c>
      <c r="B71" s="51" t="s">
        <v>166</v>
      </c>
      <c r="C71" s="52" t="s">
        <v>167</v>
      </c>
      <c r="D71" s="29">
        <v>24426</v>
      </c>
      <c r="E71" s="36">
        <v>5885</v>
      </c>
      <c r="F71" s="14" t="s">
        <v>162</v>
      </c>
      <c r="G71" s="14" t="s">
        <v>111</v>
      </c>
      <c r="H71" s="14"/>
      <c r="I71" s="14"/>
      <c r="J71" s="14"/>
      <c r="K71" s="14"/>
      <c r="L71" s="14"/>
      <c r="M71" s="14"/>
    </row>
    <row r="72" spans="1:13" ht="19.5" x14ac:dyDescent="0.3">
      <c r="A72" s="14">
        <v>23</v>
      </c>
      <c r="B72" s="51" t="s">
        <v>166</v>
      </c>
      <c r="C72" s="52" t="s">
        <v>168</v>
      </c>
      <c r="D72" s="29">
        <v>24426</v>
      </c>
      <c r="E72" s="36">
        <v>5885</v>
      </c>
      <c r="F72" s="14" t="s">
        <v>162</v>
      </c>
      <c r="G72" s="14" t="s">
        <v>111</v>
      </c>
      <c r="H72" s="14"/>
      <c r="I72" s="14"/>
      <c r="J72" s="14"/>
      <c r="K72" s="14"/>
      <c r="L72" s="14"/>
      <c r="M72" s="14"/>
    </row>
    <row r="73" spans="1:13" ht="19.5" x14ac:dyDescent="0.3">
      <c r="A73" s="14">
        <v>24</v>
      </c>
      <c r="B73" s="51" t="s">
        <v>166</v>
      </c>
      <c r="C73" s="52" t="s">
        <v>169</v>
      </c>
      <c r="D73" s="29">
        <v>24426</v>
      </c>
      <c r="E73" s="36">
        <v>5885</v>
      </c>
      <c r="F73" s="14" t="s">
        <v>162</v>
      </c>
      <c r="G73" s="14" t="s">
        <v>111</v>
      </c>
      <c r="H73" s="14"/>
      <c r="I73" s="14"/>
      <c r="J73" s="14"/>
      <c r="K73" s="14"/>
      <c r="L73" s="14"/>
      <c r="M73" s="14"/>
    </row>
    <row r="74" spans="1:13" ht="19.5" x14ac:dyDescent="0.3">
      <c r="A74" s="14">
        <v>25</v>
      </c>
      <c r="B74" s="51" t="s">
        <v>170</v>
      </c>
      <c r="C74" s="52" t="s">
        <v>171</v>
      </c>
      <c r="D74" s="29">
        <v>24426</v>
      </c>
      <c r="E74" s="36">
        <v>101650</v>
      </c>
      <c r="F74" s="14" t="s">
        <v>162</v>
      </c>
      <c r="G74" s="14" t="s">
        <v>111</v>
      </c>
      <c r="H74" s="14"/>
      <c r="I74" s="14"/>
      <c r="J74" s="14"/>
      <c r="K74" s="14"/>
      <c r="L74" s="14"/>
      <c r="M74" s="14"/>
    </row>
    <row r="75" spans="1:13" ht="21.75" x14ac:dyDescent="0.45">
      <c r="A75" s="14"/>
      <c r="B75" s="34"/>
      <c r="C75" s="14"/>
      <c r="D75" s="31" t="s">
        <v>47</v>
      </c>
      <c r="E75" s="32">
        <f>SUM(E50:E74)</f>
        <v>205510</v>
      </c>
      <c r="F75" s="33"/>
      <c r="G75" s="14"/>
      <c r="H75" s="14"/>
      <c r="I75" s="14"/>
      <c r="J75" s="14"/>
      <c r="K75" s="14"/>
      <c r="L75" s="14"/>
      <c r="M75" s="18"/>
    </row>
    <row r="76" spans="1:13" ht="21.75" x14ac:dyDescent="0.45">
      <c r="A76" s="14"/>
      <c r="B76" s="34"/>
      <c r="C76" s="14"/>
      <c r="D76" s="31"/>
      <c r="E76" s="32"/>
      <c r="F76" s="33"/>
      <c r="G76" s="14"/>
      <c r="H76" s="14"/>
      <c r="I76" s="14"/>
      <c r="J76" s="14"/>
      <c r="K76" s="14"/>
      <c r="L76" s="14"/>
      <c r="M76" s="18"/>
    </row>
    <row r="77" spans="1:13" ht="21.75" x14ac:dyDescent="0.45">
      <c r="A77" s="14"/>
      <c r="B77" s="34"/>
      <c r="C77" s="14"/>
      <c r="D77" s="31"/>
      <c r="E77" s="32"/>
      <c r="F77" s="33"/>
      <c r="G77" s="14"/>
      <c r="H77" s="14"/>
      <c r="I77" s="14"/>
      <c r="J77" s="14"/>
      <c r="K77" s="14"/>
      <c r="L77" s="14"/>
      <c r="M77" s="18"/>
    </row>
    <row r="78" spans="1:13" ht="21" x14ac:dyDescent="0.35">
      <c r="A78" s="14"/>
      <c r="B78" s="57" t="s">
        <v>127</v>
      </c>
      <c r="C78" s="14"/>
      <c r="D78" s="31"/>
      <c r="E78" s="35"/>
      <c r="F78" s="33"/>
      <c r="G78" s="14"/>
      <c r="H78" s="14"/>
      <c r="I78" s="14"/>
      <c r="J78" s="14"/>
      <c r="K78" s="14"/>
      <c r="L78" s="14"/>
      <c r="M78" s="18"/>
    </row>
    <row r="79" spans="1:13" ht="19.5" x14ac:dyDescent="0.3">
      <c r="A79" s="14">
        <v>1</v>
      </c>
      <c r="B79" s="19" t="s">
        <v>128</v>
      </c>
      <c r="C79" s="14" t="s">
        <v>74</v>
      </c>
      <c r="D79" s="29">
        <v>235254</v>
      </c>
      <c r="E79" s="36">
        <v>32500</v>
      </c>
      <c r="F79" s="14" t="s">
        <v>0</v>
      </c>
      <c r="G79" s="14" t="s">
        <v>111</v>
      </c>
      <c r="H79" s="14"/>
      <c r="I79" s="14"/>
      <c r="J79" s="14"/>
      <c r="K79" s="14"/>
      <c r="L79" s="14"/>
      <c r="M79" s="14"/>
    </row>
    <row r="80" spans="1:13" ht="19.5" x14ac:dyDescent="0.3">
      <c r="A80" s="14">
        <v>2</v>
      </c>
      <c r="B80" s="19" t="s">
        <v>128</v>
      </c>
      <c r="C80" s="14" t="s">
        <v>75</v>
      </c>
      <c r="D80" s="29">
        <v>241152</v>
      </c>
      <c r="E80" s="36">
        <v>30000</v>
      </c>
      <c r="F80" s="14" t="s">
        <v>0</v>
      </c>
      <c r="G80" s="14" t="s">
        <v>111</v>
      </c>
      <c r="H80" s="14"/>
      <c r="I80" s="14"/>
      <c r="J80" s="14"/>
      <c r="K80" s="14"/>
      <c r="L80" s="14"/>
      <c r="M80" s="14"/>
    </row>
    <row r="81" spans="1:13" ht="19.5" x14ac:dyDescent="0.3">
      <c r="A81" s="14">
        <v>3</v>
      </c>
      <c r="B81" s="19" t="s">
        <v>129</v>
      </c>
      <c r="C81" s="14" t="s">
        <v>76</v>
      </c>
      <c r="D81" s="29">
        <v>242748</v>
      </c>
      <c r="E81" s="36">
        <v>46900</v>
      </c>
      <c r="F81" s="14" t="s">
        <v>0</v>
      </c>
      <c r="G81" s="14" t="s">
        <v>111</v>
      </c>
      <c r="H81" s="14"/>
      <c r="I81" s="14"/>
      <c r="J81" s="14"/>
      <c r="K81" s="14"/>
      <c r="L81" s="14"/>
      <c r="M81" s="14"/>
    </row>
    <row r="82" spans="1:13" ht="21.75" x14ac:dyDescent="0.45">
      <c r="A82" s="14"/>
      <c r="B82" s="34"/>
      <c r="C82" s="14"/>
      <c r="D82" s="31" t="s">
        <v>47</v>
      </c>
      <c r="E82" s="32">
        <f>SUM(E79:E81)</f>
        <v>109400</v>
      </c>
      <c r="F82" s="33"/>
      <c r="G82" s="14"/>
      <c r="H82" s="14"/>
      <c r="I82" s="14"/>
      <c r="J82" s="14"/>
      <c r="K82" s="14"/>
      <c r="L82" s="14"/>
      <c r="M82" s="18"/>
    </row>
    <row r="83" spans="1:13" ht="21.75" x14ac:dyDescent="0.45">
      <c r="A83" s="14"/>
      <c r="B83" s="34"/>
      <c r="C83" s="14"/>
      <c r="D83" s="31"/>
      <c r="E83" s="32"/>
      <c r="F83" s="33"/>
      <c r="G83" s="14"/>
      <c r="H83" s="14"/>
      <c r="I83" s="14"/>
      <c r="J83" s="14"/>
      <c r="K83" s="14"/>
      <c r="L83" s="14"/>
      <c r="M83" s="18"/>
    </row>
    <row r="84" spans="1:13" ht="21" x14ac:dyDescent="0.35">
      <c r="A84" s="14"/>
      <c r="B84" s="37" t="s">
        <v>130</v>
      </c>
      <c r="C84" s="14"/>
      <c r="D84" s="31"/>
      <c r="E84" s="35"/>
      <c r="F84" s="33"/>
      <c r="G84" s="14"/>
      <c r="H84" s="14"/>
      <c r="I84" s="14"/>
      <c r="J84" s="14"/>
      <c r="K84" s="14"/>
      <c r="L84" s="14"/>
      <c r="M84" s="18"/>
    </row>
    <row r="85" spans="1:13" ht="19.5" x14ac:dyDescent="0.3">
      <c r="A85" s="14">
        <v>1</v>
      </c>
      <c r="B85" s="19" t="s">
        <v>131</v>
      </c>
      <c r="C85" s="14" t="s">
        <v>91</v>
      </c>
      <c r="D85" s="29">
        <v>236936</v>
      </c>
      <c r="E85" s="36">
        <v>21000</v>
      </c>
      <c r="F85" s="14" t="s">
        <v>0</v>
      </c>
      <c r="G85" s="14" t="s">
        <v>111</v>
      </c>
      <c r="H85" s="14"/>
      <c r="I85" s="14"/>
      <c r="J85" s="14"/>
      <c r="K85" s="14"/>
      <c r="L85" s="14"/>
      <c r="M85" s="14"/>
    </row>
    <row r="86" spans="1:13" ht="21.75" x14ac:dyDescent="0.45">
      <c r="A86" s="14"/>
      <c r="B86" s="34"/>
      <c r="C86" s="14"/>
      <c r="D86" s="31" t="s">
        <v>47</v>
      </c>
      <c r="E86" s="32">
        <f>SUM(E85)</f>
        <v>21000</v>
      </c>
      <c r="F86" s="33"/>
      <c r="G86" s="14"/>
      <c r="H86" s="14"/>
      <c r="I86" s="14"/>
      <c r="J86" s="14"/>
      <c r="K86" s="14"/>
      <c r="L86" s="14"/>
      <c r="M86" s="18"/>
    </row>
    <row r="87" spans="1:13" ht="21.75" x14ac:dyDescent="0.45">
      <c r="A87" s="14"/>
      <c r="B87" s="34"/>
      <c r="C87" s="14"/>
      <c r="D87" s="31"/>
      <c r="E87" s="32"/>
      <c r="F87" s="33"/>
      <c r="G87" s="14"/>
      <c r="H87" s="14"/>
      <c r="I87" s="14"/>
      <c r="J87" s="14"/>
      <c r="K87" s="14"/>
      <c r="L87" s="14"/>
      <c r="M87" s="18"/>
    </row>
    <row r="88" spans="1:13" ht="19.5" x14ac:dyDescent="0.3">
      <c r="A88" s="14"/>
      <c r="B88" s="34"/>
      <c r="C88" s="14"/>
      <c r="D88" s="31"/>
      <c r="E88" s="35"/>
      <c r="F88" s="33"/>
      <c r="G88" s="14"/>
      <c r="H88" s="14"/>
      <c r="I88" s="14"/>
      <c r="J88" s="14"/>
      <c r="K88" s="14"/>
      <c r="L88" s="14"/>
      <c r="M88" s="18"/>
    </row>
    <row r="89" spans="1:13" ht="21.75" x14ac:dyDescent="0.35">
      <c r="A89" s="14"/>
      <c r="B89" s="38" t="s">
        <v>132</v>
      </c>
      <c r="C89" s="14"/>
      <c r="D89" s="31"/>
      <c r="E89" s="39"/>
      <c r="F89" s="33"/>
      <c r="G89" s="14"/>
      <c r="H89" s="14"/>
      <c r="I89" s="14"/>
      <c r="J89" s="14"/>
      <c r="K89" s="14"/>
      <c r="L89" s="14"/>
      <c r="M89" s="18"/>
    </row>
    <row r="90" spans="1:13" ht="19.5" x14ac:dyDescent="0.3">
      <c r="A90" s="14">
        <v>1</v>
      </c>
      <c r="B90" s="19" t="s">
        <v>1</v>
      </c>
      <c r="C90" s="14" t="s">
        <v>77</v>
      </c>
      <c r="D90" s="29">
        <v>239384</v>
      </c>
      <c r="E90" s="40">
        <v>20000</v>
      </c>
      <c r="F90" s="14" t="s">
        <v>0</v>
      </c>
      <c r="G90" s="14" t="s">
        <v>111</v>
      </c>
      <c r="H90" s="14"/>
      <c r="I90" s="14"/>
      <c r="J90" s="14"/>
      <c r="K90" s="14"/>
      <c r="L90" s="14"/>
      <c r="M90" s="14"/>
    </row>
    <row r="91" spans="1:13" ht="21.75" x14ac:dyDescent="0.45">
      <c r="A91" s="14"/>
      <c r="B91" s="34"/>
      <c r="C91" s="14"/>
      <c r="D91" s="31" t="s">
        <v>47</v>
      </c>
      <c r="E91" s="41">
        <f>SUM(E90)</f>
        <v>20000</v>
      </c>
      <c r="F91" s="33"/>
      <c r="G91" s="14"/>
      <c r="H91" s="14"/>
      <c r="I91" s="14"/>
      <c r="J91" s="14"/>
      <c r="K91" s="14"/>
      <c r="L91" s="14"/>
      <c r="M91" s="18"/>
    </row>
    <row r="92" spans="1:13" ht="19.5" x14ac:dyDescent="0.3">
      <c r="A92" s="14"/>
      <c r="B92" s="34"/>
      <c r="C92" s="14"/>
      <c r="D92" s="31"/>
      <c r="E92" s="39"/>
      <c r="F92" s="33"/>
      <c r="G92" s="14"/>
      <c r="H92" s="14"/>
      <c r="I92" s="14"/>
      <c r="J92" s="14"/>
      <c r="K92" s="14"/>
      <c r="L92" s="14"/>
      <c r="M92" s="18"/>
    </row>
    <row r="93" spans="1:13" ht="19.5" x14ac:dyDescent="0.3">
      <c r="A93" s="14"/>
      <c r="B93" s="34"/>
      <c r="C93" s="14"/>
      <c r="D93" s="31" t="s">
        <v>133</v>
      </c>
      <c r="E93" s="42">
        <f>SUM(E91,E86,E82,E75,E46,E40,E26)</f>
        <v>480922</v>
      </c>
      <c r="F93" s="33"/>
      <c r="G93" s="14"/>
      <c r="H93" s="14"/>
      <c r="I93" s="14"/>
      <c r="J93" s="14"/>
      <c r="K93" s="14"/>
      <c r="L93" s="14"/>
      <c r="M93" s="18"/>
    </row>
  </sheetData>
  <mergeCells count="11">
    <mergeCell ref="M5:M6"/>
    <mergeCell ref="A1:M1"/>
    <mergeCell ref="A2:M2"/>
    <mergeCell ref="B4:B6"/>
    <mergeCell ref="C4:C6"/>
    <mergeCell ref="E4:E6"/>
    <mergeCell ref="F4:M4"/>
    <mergeCell ref="F5:F6"/>
    <mergeCell ref="G5:G6"/>
    <mergeCell ref="H5:H6"/>
    <mergeCell ref="J5:J6"/>
  </mergeCells>
  <phoneticPr fontId="16" type="noConversion"/>
  <pageMargins left="0.27559055118110237" right="0.19685039370078741" top="0.74803149606299213" bottom="0.74803149606299213" header="0.31496062992125984" footer="0.31496062992125984"/>
  <pageSetup paperSize="9" scale="90" orientation="landscape" horizontalDpi="4294967292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M78"/>
  <sheetViews>
    <sheetView workbookViewId="0">
      <selection activeCell="P79" sqref="P79"/>
    </sheetView>
  </sheetViews>
  <sheetFormatPr defaultRowHeight="14.25" x14ac:dyDescent="0.2"/>
  <cols>
    <col min="2" max="2" width="37.5" customWidth="1"/>
    <col min="3" max="3" width="11.625" customWidth="1"/>
    <col min="5" max="5" width="12" customWidth="1"/>
    <col min="6" max="6" width="21.125" customWidth="1"/>
  </cols>
  <sheetData>
    <row r="1" spans="1:13" ht="19.5" x14ac:dyDescent="0.3">
      <c r="A1" s="66" t="s">
        <v>93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</row>
    <row r="2" spans="1:13" ht="19.5" x14ac:dyDescent="0.3">
      <c r="A2" s="66" t="s">
        <v>193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</row>
    <row r="3" spans="1:13" ht="19.5" x14ac:dyDescent="0.3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3"/>
    </row>
    <row r="4" spans="1:13" ht="19.5" x14ac:dyDescent="0.3">
      <c r="A4" s="4" t="s">
        <v>95</v>
      </c>
      <c r="B4" s="67" t="s">
        <v>2</v>
      </c>
      <c r="C4" s="67" t="s">
        <v>3</v>
      </c>
      <c r="D4" s="5" t="s">
        <v>96</v>
      </c>
      <c r="E4" s="70" t="s">
        <v>50</v>
      </c>
      <c r="F4" s="73" t="s">
        <v>97</v>
      </c>
      <c r="G4" s="74"/>
      <c r="H4" s="74"/>
      <c r="I4" s="74"/>
      <c r="J4" s="74"/>
      <c r="K4" s="74"/>
      <c r="L4" s="74"/>
      <c r="M4" s="75"/>
    </row>
    <row r="5" spans="1:13" ht="19.5" x14ac:dyDescent="0.3">
      <c r="A5" s="6" t="s">
        <v>98</v>
      </c>
      <c r="B5" s="68"/>
      <c r="C5" s="68"/>
      <c r="D5" s="7" t="s">
        <v>99</v>
      </c>
      <c r="E5" s="71"/>
      <c r="F5" s="67" t="s">
        <v>100</v>
      </c>
      <c r="G5" s="67" t="s">
        <v>101</v>
      </c>
      <c r="H5" s="67" t="s">
        <v>102</v>
      </c>
      <c r="I5" s="4" t="s">
        <v>103</v>
      </c>
      <c r="J5" s="67" t="s">
        <v>104</v>
      </c>
      <c r="K5" s="4" t="s">
        <v>105</v>
      </c>
      <c r="L5" s="4" t="s">
        <v>106</v>
      </c>
      <c r="M5" s="64" t="s">
        <v>48</v>
      </c>
    </row>
    <row r="6" spans="1:13" ht="19.5" x14ac:dyDescent="0.3">
      <c r="A6" s="8"/>
      <c r="B6" s="69"/>
      <c r="C6" s="69"/>
      <c r="D6" s="9"/>
      <c r="E6" s="72"/>
      <c r="F6" s="76"/>
      <c r="G6" s="76"/>
      <c r="H6" s="76"/>
      <c r="I6" s="8" t="s">
        <v>107</v>
      </c>
      <c r="J6" s="76"/>
      <c r="K6" s="8" t="s">
        <v>108</v>
      </c>
      <c r="L6" s="8" t="s">
        <v>109</v>
      </c>
      <c r="M6" s="65"/>
    </row>
    <row r="7" spans="1:13" ht="21" x14ac:dyDescent="0.35">
      <c r="A7" s="8"/>
      <c r="B7" s="43" t="s">
        <v>5</v>
      </c>
      <c r="C7" s="8"/>
      <c r="D7" s="9"/>
      <c r="E7" s="11"/>
      <c r="F7" s="12"/>
      <c r="G7" s="12"/>
      <c r="H7" s="12"/>
      <c r="I7" s="8"/>
      <c r="J7" s="12"/>
      <c r="K7" s="8"/>
      <c r="L7" s="8"/>
      <c r="M7" s="13"/>
    </row>
    <row r="8" spans="1:13" ht="21.75" x14ac:dyDescent="0.45">
      <c r="A8" s="14"/>
      <c r="B8" s="15" t="s">
        <v>134</v>
      </c>
      <c r="C8" s="14"/>
      <c r="D8" s="16"/>
      <c r="E8" s="17"/>
      <c r="F8" s="14"/>
      <c r="G8" s="14"/>
      <c r="H8" s="14"/>
      <c r="I8" s="14"/>
      <c r="J8" s="14"/>
      <c r="K8" s="14"/>
      <c r="L8" s="14"/>
      <c r="M8" s="18"/>
    </row>
    <row r="9" spans="1:13" ht="19.5" x14ac:dyDescent="0.3">
      <c r="A9" s="14">
        <v>1</v>
      </c>
      <c r="B9" s="19" t="s">
        <v>4</v>
      </c>
      <c r="C9" s="14" t="s">
        <v>6</v>
      </c>
      <c r="D9" s="20">
        <v>235452</v>
      </c>
      <c r="E9" s="21">
        <v>61546</v>
      </c>
      <c r="F9" s="14" t="s">
        <v>0</v>
      </c>
      <c r="G9" s="14" t="s">
        <v>111</v>
      </c>
      <c r="H9" s="14"/>
      <c r="I9" s="14"/>
      <c r="J9" s="14"/>
      <c r="K9" s="14"/>
      <c r="L9" s="14"/>
      <c r="M9" s="14"/>
    </row>
    <row r="10" spans="1:13" ht="19.5" x14ac:dyDescent="0.3">
      <c r="A10" s="14">
        <v>2</v>
      </c>
      <c r="B10" s="19" t="s">
        <v>135</v>
      </c>
      <c r="C10" s="14" t="s">
        <v>7</v>
      </c>
      <c r="D10" s="20">
        <v>240839</v>
      </c>
      <c r="E10" s="21">
        <v>3500</v>
      </c>
      <c r="F10" s="14" t="s">
        <v>0</v>
      </c>
      <c r="G10" s="14" t="s">
        <v>111</v>
      </c>
      <c r="H10" s="14"/>
      <c r="I10" s="14"/>
      <c r="J10" s="14"/>
      <c r="K10" s="14"/>
      <c r="L10" s="14"/>
      <c r="M10" s="14"/>
    </row>
    <row r="11" spans="1:13" s="63" customFormat="1" ht="19.5" x14ac:dyDescent="0.3">
      <c r="A11" s="14">
        <v>3</v>
      </c>
      <c r="B11" s="60" t="s">
        <v>8</v>
      </c>
      <c r="C11" s="59" t="s">
        <v>9</v>
      </c>
      <c r="D11" s="61">
        <v>242333</v>
      </c>
      <c r="E11" s="62">
        <v>2050</v>
      </c>
      <c r="F11" s="59" t="s">
        <v>0</v>
      </c>
      <c r="G11" s="59"/>
      <c r="H11" s="59" t="s">
        <v>111</v>
      </c>
      <c r="I11" s="59"/>
      <c r="J11" s="59"/>
      <c r="K11" s="59"/>
      <c r="L11" s="59"/>
      <c r="M11" s="59"/>
    </row>
    <row r="12" spans="1:13" ht="19.5" x14ac:dyDescent="0.3">
      <c r="A12" s="14">
        <v>4</v>
      </c>
      <c r="B12" s="19" t="s">
        <v>10</v>
      </c>
      <c r="C12" s="14" t="s">
        <v>22</v>
      </c>
      <c r="D12" s="20">
        <v>236454</v>
      </c>
      <c r="E12" s="21">
        <v>46564.26</v>
      </c>
      <c r="F12" s="14" t="s">
        <v>0</v>
      </c>
      <c r="G12" s="14" t="s">
        <v>111</v>
      </c>
      <c r="H12" s="14"/>
      <c r="I12" s="14"/>
      <c r="J12" s="14"/>
      <c r="K12" s="14"/>
      <c r="L12" s="14"/>
      <c r="M12" s="14"/>
    </row>
    <row r="13" spans="1:13" s="63" customFormat="1" ht="19.5" x14ac:dyDescent="0.3">
      <c r="A13" s="14">
        <v>5</v>
      </c>
      <c r="B13" s="60" t="s">
        <v>10</v>
      </c>
      <c r="C13" s="59" t="s">
        <v>23</v>
      </c>
      <c r="D13" s="61">
        <v>238322</v>
      </c>
      <c r="E13" s="62">
        <v>34600</v>
      </c>
      <c r="F13" s="59" t="s">
        <v>0</v>
      </c>
      <c r="G13" s="59"/>
      <c r="H13" s="59" t="s">
        <v>111</v>
      </c>
      <c r="I13" s="59"/>
      <c r="J13" s="59"/>
      <c r="K13" s="59"/>
      <c r="L13" s="59"/>
      <c r="M13" s="59"/>
    </row>
    <row r="14" spans="1:13" s="63" customFormat="1" ht="19.5" x14ac:dyDescent="0.3">
      <c r="A14" s="14">
        <v>6</v>
      </c>
      <c r="B14" s="60" t="s">
        <v>11</v>
      </c>
      <c r="C14" s="59" t="s">
        <v>24</v>
      </c>
      <c r="D14" s="61">
        <v>238322</v>
      </c>
      <c r="E14" s="62">
        <v>5300</v>
      </c>
      <c r="F14" s="59" t="s">
        <v>0</v>
      </c>
      <c r="H14" s="59" t="s">
        <v>111</v>
      </c>
      <c r="I14" s="59"/>
      <c r="J14" s="59"/>
      <c r="K14" s="59"/>
      <c r="L14" s="59"/>
      <c r="M14" s="59"/>
    </row>
    <row r="15" spans="1:13" ht="19.5" x14ac:dyDescent="0.3">
      <c r="A15" s="14">
        <v>7</v>
      </c>
      <c r="B15" s="19" t="s">
        <v>10</v>
      </c>
      <c r="C15" s="14" t="s">
        <v>25</v>
      </c>
      <c r="D15" s="20">
        <v>243099</v>
      </c>
      <c r="E15" s="21">
        <v>22000</v>
      </c>
      <c r="F15" s="14" t="s">
        <v>0</v>
      </c>
      <c r="G15" s="14" t="s">
        <v>111</v>
      </c>
      <c r="H15" s="14"/>
      <c r="I15" s="14"/>
      <c r="J15" s="14"/>
      <c r="K15" s="14"/>
      <c r="L15" s="14"/>
      <c r="M15" s="14"/>
    </row>
    <row r="16" spans="1:13" ht="19.5" x14ac:dyDescent="0.3">
      <c r="A16" s="14">
        <v>8</v>
      </c>
      <c r="B16" s="19" t="s">
        <v>11</v>
      </c>
      <c r="C16" s="14" t="s">
        <v>26</v>
      </c>
      <c r="D16" s="20">
        <v>30</v>
      </c>
      <c r="E16" s="21">
        <v>3900</v>
      </c>
      <c r="F16" s="14" t="s">
        <v>0</v>
      </c>
      <c r="G16" s="14" t="s">
        <v>111</v>
      </c>
      <c r="H16" s="14"/>
      <c r="I16" s="14"/>
      <c r="J16" s="14"/>
      <c r="K16" s="14"/>
      <c r="L16" s="14"/>
      <c r="M16" s="14"/>
    </row>
    <row r="17" spans="1:13" ht="19.5" x14ac:dyDescent="0.3">
      <c r="A17" s="14">
        <v>9</v>
      </c>
      <c r="B17" s="19" t="s">
        <v>12</v>
      </c>
      <c r="C17" s="14" t="s">
        <v>27</v>
      </c>
      <c r="D17" s="20">
        <v>242333</v>
      </c>
      <c r="E17" s="21">
        <v>6600</v>
      </c>
      <c r="F17" s="14" t="s">
        <v>0</v>
      </c>
      <c r="G17" s="14" t="s">
        <v>111</v>
      </c>
      <c r="H17" s="14"/>
      <c r="I17" s="14"/>
      <c r="J17" s="14"/>
      <c r="K17" s="14"/>
      <c r="L17" s="14"/>
      <c r="M17" s="14"/>
    </row>
    <row r="18" spans="1:13" ht="19.5" x14ac:dyDescent="0.3">
      <c r="A18" s="14">
        <v>10</v>
      </c>
      <c r="B18" s="19" t="s">
        <v>13</v>
      </c>
      <c r="C18" s="14" t="s">
        <v>28</v>
      </c>
      <c r="D18" s="20">
        <v>242648</v>
      </c>
      <c r="E18" s="21">
        <v>7500</v>
      </c>
      <c r="F18" s="14" t="s">
        <v>0</v>
      </c>
      <c r="G18" s="14" t="s">
        <v>111</v>
      </c>
      <c r="H18" s="14"/>
      <c r="I18" s="14"/>
      <c r="J18" s="14"/>
      <c r="K18" s="14"/>
      <c r="L18" s="14"/>
      <c r="M18" s="14"/>
    </row>
    <row r="19" spans="1:13" ht="19.5" x14ac:dyDescent="0.3">
      <c r="A19" s="14">
        <v>11</v>
      </c>
      <c r="B19" s="19" t="s">
        <v>14</v>
      </c>
      <c r="C19" s="14" t="s">
        <v>29</v>
      </c>
      <c r="D19" s="20">
        <v>242648</v>
      </c>
      <c r="E19" s="21">
        <v>17000</v>
      </c>
      <c r="F19" s="14" t="s">
        <v>0</v>
      </c>
      <c r="G19" s="14" t="s">
        <v>111</v>
      </c>
      <c r="H19" s="14"/>
      <c r="I19" s="14"/>
      <c r="J19" s="14"/>
      <c r="K19" s="14"/>
      <c r="L19" s="14"/>
      <c r="M19" s="14"/>
    </row>
    <row r="20" spans="1:13" ht="19.5" x14ac:dyDescent="0.3">
      <c r="A20" s="14">
        <v>12</v>
      </c>
      <c r="B20" s="19" t="s">
        <v>15</v>
      </c>
      <c r="C20" s="14" t="s">
        <v>30</v>
      </c>
      <c r="D20" s="20">
        <v>242648</v>
      </c>
      <c r="E20" s="21">
        <v>700</v>
      </c>
      <c r="F20" s="14" t="s">
        <v>0</v>
      </c>
      <c r="G20" s="14" t="s">
        <v>111</v>
      </c>
      <c r="H20" s="14"/>
      <c r="I20" s="14"/>
      <c r="J20" s="14"/>
      <c r="K20" s="14"/>
      <c r="L20" s="14"/>
      <c r="M20" s="14"/>
    </row>
    <row r="21" spans="1:13" ht="19.5" x14ac:dyDescent="0.3">
      <c r="A21" s="14">
        <v>13</v>
      </c>
      <c r="B21" s="19" t="s">
        <v>15</v>
      </c>
      <c r="C21" s="14" t="s">
        <v>31</v>
      </c>
      <c r="D21" s="20">
        <v>242648</v>
      </c>
      <c r="E21" s="21">
        <v>700</v>
      </c>
      <c r="F21" s="14" t="s">
        <v>0</v>
      </c>
      <c r="G21" s="14" t="s">
        <v>111</v>
      </c>
      <c r="H21" s="14"/>
      <c r="I21" s="14"/>
      <c r="J21" s="14"/>
      <c r="K21" s="14"/>
      <c r="L21" s="14"/>
      <c r="M21" s="14"/>
    </row>
    <row r="22" spans="1:13" ht="19.5" x14ac:dyDescent="0.3">
      <c r="A22" s="14">
        <v>14</v>
      </c>
      <c r="B22" s="19" t="s">
        <v>15</v>
      </c>
      <c r="C22" s="14" t="s">
        <v>32</v>
      </c>
      <c r="D22" s="20">
        <v>242648</v>
      </c>
      <c r="E22" s="21">
        <v>700</v>
      </c>
      <c r="F22" s="14" t="s">
        <v>0</v>
      </c>
      <c r="G22" s="14" t="s">
        <v>111</v>
      </c>
      <c r="H22" s="14"/>
      <c r="I22" s="14"/>
      <c r="J22" s="14"/>
      <c r="K22" s="14"/>
      <c r="L22" s="14"/>
      <c r="M22" s="14"/>
    </row>
    <row r="23" spans="1:13" ht="19.5" x14ac:dyDescent="0.3">
      <c r="A23" s="14">
        <v>15</v>
      </c>
      <c r="B23" s="19" t="s">
        <v>15</v>
      </c>
      <c r="C23" s="14" t="s">
        <v>33</v>
      </c>
      <c r="D23" s="20">
        <v>242648</v>
      </c>
      <c r="E23" s="21">
        <v>700</v>
      </c>
      <c r="F23" s="14" t="s">
        <v>0</v>
      </c>
      <c r="G23" s="14" t="s">
        <v>111</v>
      </c>
      <c r="H23" s="14"/>
      <c r="I23" s="14"/>
      <c r="J23" s="14"/>
      <c r="K23" s="14"/>
      <c r="L23" s="14"/>
      <c r="M23" s="14"/>
    </row>
    <row r="24" spans="1:13" ht="19.5" x14ac:dyDescent="0.3">
      <c r="A24" s="14">
        <v>16</v>
      </c>
      <c r="B24" s="19" t="s">
        <v>16</v>
      </c>
      <c r="C24" s="14" t="s">
        <v>34</v>
      </c>
      <c r="D24" s="20">
        <v>243045</v>
      </c>
      <c r="E24" s="21">
        <v>17710</v>
      </c>
      <c r="F24" s="14" t="s">
        <v>0</v>
      </c>
      <c r="G24" s="14" t="s">
        <v>111</v>
      </c>
      <c r="H24" s="14"/>
      <c r="I24" s="14"/>
      <c r="J24" s="14"/>
      <c r="K24" s="14"/>
      <c r="L24" s="14"/>
      <c r="M24" s="14"/>
    </row>
    <row r="25" spans="1:13" ht="19.5" x14ac:dyDescent="0.3">
      <c r="A25" s="14">
        <v>17</v>
      </c>
      <c r="B25" s="19" t="s">
        <v>17</v>
      </c>
      <c r="C25" s="14" t="s">
        <v>35</v>
      </c>
      <c r="D25" s="20">
        <v>243045</v>
      </c>
      <c r="E25" s="21">
        <v>3790</v>
      </c>
      <c r="F25" s="14" t="s">
        <v>0</v>
      </c>
      <c r="G25" s="14" t="s">
        <v>111</v>
      </c>
      <c r="H25" s="14"/>
      <c r="I25" s="14"/>
      <c r="J25" s="14"/>
      <c r="K25" s="14"/>
      <c r="L25" s="14"/>
      <c r="M25" s="14"/>
    </row>
    <row r="26" spans="1:13" ht="19.5" x14ac:dyDescent="0.3">
      <c r="A26" s="14">
        <v>18</v>
      </c>
      <c r="B26" s="19" t="s">
        <v>16</v>
      </c>
      <c r="C26" s="14" t="s">
        <v>36</v>
      </c>
      <c r="D26" s="20">
        <v>243045</v>
      </c>
      <c r="E26" s="21">
        <v>17710</v>
      </c>
      <c r="F26" s="14" t="s">
        <v>0</v>
      </c>
      <c r="G26" s="14" t="s">
        <v>111</v>
      </c>
      <c r="H26" s="14"/>
      <c r="I26" s="14"/>
      <c r="J26" s="14"/>
      <c r="K26" s="14"/>
      <c r="L26" s="14"/>
      <c r="M26" s="14"/>
    </row>
    <row r="27" spans="1:13" ht="19.5" x14ac:dyDescent="0.3">
      <c r="A27" s="14">
        <v>19</v>
      </c>
      <c r="B27" s="19" t="s">
        <v>17</v>
      </c>
      <c r="C27" s="14" t="s">
        <v>37</v>
      </c>
      <c r="D27" s="20">
        <v>243045</v>
      </c>
      <c r="E27" s="21">
        <v>3790</v>
      </c>
      <c r="F27" s="14" t="s">
        <v>0</v>
      </c>
      <c r="G27" s="14" t="s">
        <v>111</v>
      </c>
      <c r="H27" s="14"/>
      <c r="I27" s="14"/>
      <c r="J27" s="14"/>
      <c r="K27" s="14"/>
      <c r="L27" s="14"/>
      <c r="M27" s="14"/>
    </row>
    <row r="28" spans="1:13" ht="19.5" x14ac:dyDescent="0.3">
      <c r="A28" s="14">
        <v>20</v>
      </c>
      <c r="B28" s="19" t="s">
        <v>16</v>
      </c>
      <c r="C28" s="14" t="s">
        <v>38</v>
      </c>
      <c r="D28" s="20">
        <v>243045</v>
      </c>
      <c r="E28" s="21">
        <v>17710</v>
      </c>
      <c r="F28" s="14" t="s">
        <v>0</v>
      </c>
      <c r="G28" s="14" t="s">
        <v>111</v>
      </c>
      <c r="H28" s="14"/>
      <c r="I28" s="14"/>
      <c r="J28" s="14"/>
      <c r="K28" s="14"/>
      <c r="L28" s="14"/>
      <c r="M28" s="14"/>
    </row>
    <row r="29" spans="1:13" ht="19.5" x14ac:dyDescent="0.3">
      <c r="A29" s="14">
        <v>21</v>
      </c>
      <c r="B29" s="19" t="s">
        <v>17</v>
      </c>
      <c r="C29" s="14" t="s">
        <v>39</v>
      </c>
      <c r="D29" s="20">
        <v>243045</v>
      </c>
      <c r="E29" s="21">
        <v>3790</v>
      </c>
      <c r="F29" s="14" t="s">
        <v>0</v>
      </c>
      <c r="G29" s="14" t="s">
        <v>111</v>
      </c>
      <c r="H29" s="14"/>
      <c r="I29" s="14"/>
      <c r="J29" s="14"/>
      <c r="K29" s="14"/>
      <c r="L29" s="14"/>
      <c r="M29" s="14"/>
    </row>
    <row r="30" spans="1:13" ht="19.5" x14ac:dyDescent="0.3">
      <c r="A30" s="14">
        <v>22</v>
      </c>
      <c r="B30" s="19" t="s">
        <v>16</v>
      </c>
      <c r="C30" s="14" t="s">
        <v>40</v>
      </c>
      <c r="D30" s="20">
        <v>243045</v>
      </c>
      <c r="E30" s="21">
        <v>17710</v>
      </c>
      <c r="F30" s="14" t="s">
        <v>0</v>
      </c>
      <c r="G30" s="14" t="s">
        <v>111</v>
      </c>
      <c r="H30" s="14"/>
      <c r="I30" s="14"/>
      <c r="J30" s="14"/>
      <c r="K30" s="14"/>
      <c r="L30" s="14"/>
      <c r="M30" s="14"/>
    </row>
    <row r="31" spans="1:13" ht="19.5" x14ac:dyDescent="0.3">
      <c r="A31" s="14">
        <v>23</v>
      </c>
      <c r="B31" s="19" t="s">
        <v>17</v>
      </c>
      <c r="C31" s="14" t="s">
        <v>41</v>
      </c>
      <c r="D31" s="20">
        <v>243045</v>
      </c>
      <c r="E31" s="21">
        <v>3790</v>
      </c>
      <c r="F31" s="14" t="s">
        <v>0</v>
      </c>
      <c r="G31" s="14" t="s">
        <v>111</v>
      </c>
      <c r="H31" s="14"/>
      <c r="I31" s="14"/>
      <c r="J31" s="14"/>
      <c r="K31" s="14"/>
      <c r="L31" s="14"/>
      <c r="M31" s="14"/>
    </row>
    <row r="32" spans="1:13" ht="19.5" x14ac:dyDescent="0.3">
      <c r="A32" s="14">
        <v>24</v>
      </c>
      <c r="B32" s="19" t="s">
        <v>13</v>
      </c>
      <c r="C32" s="14" t="s">
        <v>42</v>
      </c>
      <c r="D32" s="20">
        <v>243045</v>
      </c>
      <c r="E32" s="21">
        <v>7000</v>
      </c>
      <c r="F32" s="14" t="s">
        <v>0</v>
      </c>
      <c r="G32" s="14" t="s">
        <v>111</v>
      </c>
      <c r="H32" s="14"/>
      <c r="I32" s="14"/>
      <c r="J32" s="14"/>
      <c r="K32" s="14"/>
      <c r="L32" s="14"/>
      <c r="M32" s="14"/>
    </row>
    <row r="33" spans="1:13" ht="19.5" x14ac:dyDescent="0.3">
      <c r="A33" s="14">
        <v>25</v>
      </c>
      <c r="B33" s="19" t="s">
        <v>13</v>
      </c>
      <c r="C33" s="14" t="s">
        <v>43</v>
      </c>
      <c r="D33" s="20">
        <v>243045</v>
      </c>
      <c r="E33" s="21">
        <v>7000</v>
      </c>
      <c r="F33" s="14" t="s">
        <v>0</v>
      </c>
      <c r="G33" s="14" t="s">
        <v>111</v>
      </c>
      <c r="H33" s="14"/>
      <c r="I33" s="14"/>
      <c r="J33" s="14"/>
      <c r="K33" s="14"/>
      <c r="L33" s="14"/>
      <c r="M33" s="14"/>
    </row>
    <row r="34" spans="1:13" ht="19.5" x14ac:dyDescent="0.3">
      <c r="A34" s="14">
        <v>26</v>
      </c>
      <c r="B34" s="19" t="s">
        <v>13</v>
      </c>
      <c r="C34" s="14" t="s">
        <v>44</v>
      </c>
      <c r="D34" s="20">
        <v>243045</v>
      </c>
      <c r="E34" s="21">
        <v>7000</v>
      </c>
      <c r="F34" s="14" t="s">
        <v>0</v>
      </c>
      <c r="G34" s="14" t="s">
        <v>111</v>
      </c>
      <c r="H34" s="14"/>
      <c r="I34" s="14"/>
      <c r="J34" s="14"/>
      <c r="K34" s="14"/>
      <c r="L34" s="14"/>
      <c r="M34" s="14"/>
    </row>
    <row r="35" spans="1:13" ht="19.5" x14ac:dyDescent="0.3">
      <c r="A35" s="14">
        <v>27</v>
      </c>
      <c r="B35" s="44" t="s">
        <v>13</v>
      </c>
      <c r="C35" s="14" t="s">
        <v>45</v>
      </c>
      <c r="D35" s="20">
        <v>243045</v>
      </c>
      <c r="E35" s="21">
        <v>7000</v>
      </c>
      <c r="F35" s="14" t="s">
        <v>0</v>
      </c>
      <c r="G35" s="14" t="s">
        <v>111</v>
      </c>
      <c r="H35" s="14"/>
      <c r="I35" s="14"/>
      <c r="J35" s="14"/>
      <c r="K35" s="14"/>
      <c r="L35" s="14"/>
      <c r="M35" s="14"/>
    </row>
    <row r="36" spans="1:13" ht="19.5" x14ac:dyDescent="0.3">
      <c r="A36" s="14">
        <v>28</v>
      </c>
      <c r="B36" s="44" t="s">
        <v>172</v>
      </c>
      <c r="C36" s="14" t="s">
        <v>196</v>
      </c>
      <c r="D36" s="20">
        <v>243572</v>
      </c>
      <c r="E36" s="21">
        <v>22500</v>
      </c>
      <c r="F36" s="14" t="s">
        <v>0</v>
      </c>
      <c r="G36" s="14" t="s">
        <v>111</v>
      </c>
      <c r="H36" s="14"/>
      <c r="I36" s="14"/>
      <c r="J36" s="14"/>
      <c r="K36" s="14"/>
      <c r="L36" s="14"/>
      <c r="M36" s="14"/>
    </row>
    <row r="37" spans="1:13" ht="19.5" x14ac:dyDescent="0.3">
      <c r="A37" s="14">
        <v>29</v>
      </c>
      <c r="B37" s="44" t="s">
        <v>173</v>
      </c>
      <c r="C37" s="14" t="s">
        <v>197</v>
      </c>
      <c r="D37" s="20">
        <v>243572</v>
      </c>
      <c r="E37" s="21">
        <v>16200</v>
      </c>
      <c r="F37" s="14" t="s">
        <v>0</v>
      </c>
      <c r="G37" s="14" t="s">
        <v>111</v>
      </c>
      <c r="H37" s="14"/>
      <c r="I37" s="14"/>
      <c r="J37" s="14"/>
      <c r="K37" s="14"/>
      <c r="L37" s="14"/>
      <c r="M37" s="14"/>
    </row>
    <row r="38" spans="1:13" ht="19.5" x14ac:dyDescent="0.3">
      <c r="A38" s="14">
        <v>30</v>
      </c>
      <c r="B38" s="44" t="s">
        <v>173</v>
      </c>
      <c r="C38" s="14" t="s">
        <v>198</v>
      </c>
      <c r="D38" s="20">
        <v>243572</v>
      </c>
      <c r="E38" s="21">
        <v>16200</v>
      </c>
      <c r="F38" s="14" t="s">
        <v>0</v>
      </c>
      <c r="G38" s="14" t="s">
        <v>111</v>
      </c>
      <c r="H38" s="14"/>
      <c r="I38" s="14"/>
      <c r="J38" s="14"/>
      <c r="K38" s="14"/>
      <c r="L38" s="14"/>
      <c r="M38" s="14"/>
    </row>
    <row r="39" spans="1:13" ht="19.5" x14ac:dyDescent="0.3">
      <c r="A39" s="14">
        <v>31</v>
      </c>
      <c r="B39" s="44" t="s">
        <v>173</v>
      </c>
      <c r="C39" s="14" t="s">
        <v>199</v>
      </c>
      <c r="D39" s="20">
        <v>243572</v>
      </c>
      <c r="E39" s="21">
        <v>16200</v>
      </c>
      <c r="F39" s="14" t="s">
        <v>0</v>
      </c>
      <c r="G39" s="14" t="s">
        <v>111</v>
      </c>
      <c r="H39" s="14"/>
      <c r="I39" s="14"/>
      <c r="J39" s="14"/>
      <c r="K39" s="14"/>
      <c r="L39" s="14"/>
      <c r="M39" s="14"/>
    </row>
    <row r="40" spans="1:13" ht="19.5" x14ac:dyDescent="0.3">
      <c r="A40" s="14">
        <v>32</v>
      </c>
      <c r="B40" s="44" t="s">
        <v>173</v>
      </c>
      <c r="C40" s="14" t="s">
        <v>201</v>
      </c>
      <c r="D40" s="20">
        <v>243572</v>
      </c>
      <c r="E40" s="21">
        <v>16200</v>
      </c>
      <c r="F40" s="14" t="s">
        <v>0</v>
      </c>
      <c r="G40" s="14" t="s">
        <v>111</v>
      </c>
      <c r="H40" s="14"/>
      <c r="I40" s="14"/>
      <c r="J40" s="14"/>
      <c r="K40" s="14"/>
      <c r="L40" s="14"/>
      <c r="M40" s="14"/>
    </row>
    <row r="41" spans="1:13" ht="19.5" x14ac:dyDescent="0.3">
      <c r="A41" s="14">
        <v>33</v>
      </c>
      <c r="B41" s="44" t="s">
        <v>173</v>
      </c>
      <c r="C41" s="14" t="s">
        <v>200</v>
      </c>
      <c r="D41" s="20">
        <v>243572</v>
      </c>
      <c r="E41" s="21">
        <v>16200</v>
      </c>
      <c r="F41" s="14" t="s">
        <v>0</v>
      </c>
      <c r="G41" s="14" t="s">
        <v>111</v>
      </c>
      <c r="H41" s="14"/>
      <c r="I41" s="14"/>
      <c r="J41" s="14"/>
      <c r="K41" s="14"/>
      <c r="L41" s="14"/>
      <c r="M41" s="58"/>
    </row>
    <row r="42" spans="1:13" ht="19.5" x14ac:dyDescent="0.3">
      <c r="A42" s="14">
        <v>34</v>
      </c>
      <c r="B42" s="44" t="s">
        <v>173</v>
      </c>
      <c r="C42" s="14" t="s">
        <v>202</v>
      </c>
      <c r="D42" s="20">
        <v>243572</v>
      </c>
      <c r="E42" s="21">
        <v>16200</v>
      </c>
      <c r="F42" s="14" t="s">
        <v>0</v>
      </c>
      <c r="G42" s="14" t="s">
        <v>111</v>
      </c>
      <c r="H42" s="14"/>
      <c r="I42" s="14"/>
      <c r="J42" s="14"/>
      <c r="K42" s="14"/>
      <c r="L42" s="14"/>
      <c r="M42" s="14"/>
    </row>
    <row r="43" spans="1:13" ht="19.5" x14ac:dyDescent="0.3">
      <c r="A43" s="14">
        <v>35</v>
      </c>
      <c r="B43" s="44" t="s">
        <v>173</v>
      </c>
      <c r="C43" s="14" t="s">
        <v>203</v>
      </c>
      <c r="D43" s="20">
        <v>243572</v>
      </c>
      <c r="E43" s="21">
        <v>16200</v>
      </c>
      <c r="F43" s="14" t="s">
        <v>0</v>
      </c>
      <c r="G43" s="14" t="s">
        <v>111</v>
      </c>
      <c r="H43" s="14"/>
      <c r="I43" s="14"/>
      <c r="J43" s="14"/>
      <c r="K43" s="14"/>
      <c r="L43" s="14"/>
      <c r="M43" s="14"/>
    </row>
    <row r="44" spans="1:13" ht="19.5" x14ac:dyDescent="0.3">
      <c r="A44" s="14">
        <v>36</v>
      </c>
      <c r="B44" s="44" t="s">
        <v>173</v>
      </c>
      <c r="C44" s="14" t="s">
        <v>204</v>
      </c>
      <c r="D44" s="20">
        <v>243572</v>
      </c>
      <c r="E44" s="21">
        <v>16200</v>
      </c>
      <c r="F44" s="14" t="s">
        <v>0</v>
      </c>
      <c r="G44" s="14" t="s">
        <v>111</v>
      </c>
      <c r="H44" s="14"/>
      <c r="I44" s="14"/>
      <c r="J44" s="14"/>
      <c r="K44" s="14"/>
      <c r="L44" s="14"/>
      <c r="M44" s="14"/>
    </row>
    <row r="45" spans="1:13" ht="19.5" x14ac:dyDescent="0.3">
      <c r="A45" s="14">
        <v>37</v>
      </c>
      <c r="B45" s="44" t="s">
        <v>173</v>
      </c>
      <c r="C45" s="14" t="s">
        <v>205</v>
      </c>
      <c r="D45" s="20">
        <v>243572</v>
      </c>
      <c r="E45" s="21">
        <v>16200</v>
      </c>
      <c r="F45" s="14" t="s">
        <v>0</v>
      </c>
      <c r="G45" s="14" t="s">
        <v>111</v>
      </c>
      <c r="H45" s="14"/>
      <c r="I45" s="14"/>
      <c r="J45" s="14"/>
      <c r="K45" s="14"/>
      <c r="L45" s="14"/>
      <c r="M45" s="14"/>
    </row>
    <row r="46" spans="1:13" ht="19.5" x14ac:dyDescent="0.3">
      <c r="A46" s="14">
        <v>38</v>
      </c>
      <c r="B46" s="44" t="s">
        <v>173</v>
      </c>
      <c r="C46" s="14" t="s">
        <v>206</v>
      </c>
      <c r="D46" s="20">
        <v>243572</v>
      </c>
      <c r="E46" s="21">
        <v>16200</v>
      </c>
      <c r="F46" s="14" t="s">
        <v>0</v>
      </c>
      <c r="G46" s="14" t="s">
        <v>111</v>
      </c>
      <c r="H46" s="14"/>
      <c r="I46" s="14"/>
      <c r="J46" s="14"/>
      <c r="K46" s="14"/>
      <c r="L46" s="14"/>
      <c r="M46" s="14"/>
    </row>
    <row r="47" spans="1:13" ht="19.5" x14ac:dyDescent="0.3">
      <c r="A47" s="14">
        <v>39</v>
      </c>
      <c r="B47" s="44" t="s">
        <v>178</v>
      </c>
      <c r="C47" s="14" t="s">
        <v>207</v>
      </c>
      <c r="D47" s="20">
        <v>243572</v>
      </c>
      <c r="E47" s="21">
        <v>2800</v>
      </c>
      <c r="F47" s="14" t="s">
        <v>0</v>
      </c>
      <c r="G47" s="14" t="s">
        <v>111</v>
      </c>
      <c r="H47" s="14"/>
      <c r="I47" s="14"/>
      <c r="J47" s="14"/>
      <c r="K47" s="14"/>
      <c r="L47" s="14"/>
      <c r="M47" s="14"/>
    </row>
    <row r="48" spans="1:13" ht="19.5" x14ac:dyDescent="0.3">
      <c r="A48" s="14">
        <v>40</v>
      </c>
      <c r="B48" s="44" t="s">
        <v>178</v>
      </c>
      <c r="C48" s="14" t="s">
        <v>208</v>
      </c>
      <c r="D48" s="20">
        <v>243572</v>
      </c>
      <c r="E48" s="21">
        <v>2800</v>
      </c>
      <c r="F48" s="14" t="s">
        <v>0</v>
      </c>
      <c r="G48" s="14" t="s">
        <v>111</v>
      </c>
      <c r="H48" s="14"/>
      <c r="I48" s="14"/>
      <c r="J48" s="14"/>
      <c r="K48" s="14"/>
      <c r="L48" s="14"/>
      <c r="M48" s="14"/>
    </row>
    <row r="49" spans="1:13" ht="19.5" x14ac:dyDescent="0.3">
      <c r="A49" s="14">
        <v>41</v>
      </c>
      <c r="B49" s="44" t="s">
        <v>178</v>
      </c>
      <c r="C49" s="14" t="s">
        <v>209</v>
      </c>
      <c r="D49" s="20">
        <v>243572</v>
      </c>
      <c r="E49" s="21">
        <v>2800</v>
      </c>
      <c r="F49" s="14" t="s">
        <v>0</v>
      </c>
      <c r="G49" s="14" t="s">
        <v>111</v>
      </c>
      <c r="H49" s="14"/>
      <c r="I49" s="14"/>
      <c r="J49" s="14"/>
      <c r="K49" s="14"/>
      <c r="L49" s="14"/>
      <c r="M49" s="14"/>
    </row>
    <row r="50" spans="1:13" ht="19.5" x14ac:dyDescent="0.3">
      <c r="A50" s="14">
        <v>42</v>
      </c>
      <c r="B50" s="44" t="s">
        <v>178</v>
      </c>
      <c r="C50" s="14" t="s">
        <v>210</v>
      </c>
      <c r="D50" s="20">
        <v>243572</v>
      </c>
      <c r="E50" s="21">
        <v>2800</v>
      </c>
      <c r="F50" s="14" t="s">
        <v>0</v>
      </c>
      <c r="G50" s="14" t="s">
        <v>111</v>
      </c>
      <c r="H50" s="14"/>
      <c r="I50" s="14"/>
      <c r="J50" s="14"/>
      <c r="K50" s="14"/>
      <c r="L50" s="14"/>
      <c r="M50" s="14"/>
    </row>
    <row r="51" spans="1:13" ht="19.5" x14ac:dyDescent="0.3">
      <c r="A51" s="14">
        <v>43</v>
      </c>
      <c r="B51" s="44" t="s">
        <v>178</v>
      </c>
      <c r="C51" s="14" t="s">
        <v>211</v>
      </c>
      <c r="D51" s="20">
        <v>243572</v>
      </c>
      <c r="E51" s="21">
        <v>2800</v>
      </c>
      <c r="F51" s="14" t="s">
        <v>0</v>
      </c>
      <c r="G51" s="14" t="s">
        <v>111</v>
      </c>
      <c r="H51" s="14"/>
      <c r="I51" s="14"/>
      <c r="J51" s="14"/>
      <c r="K51" s="14"/>
      <c r="L51" s="14"/>
      <c r="M51" s="14"/>
    </row>
    <row r="52" spans="1:13" ht="19.5" x14ac:dyDescent="0.3">
      <c r="A52" s="14">
        <v>44</v>
      </c>
      <c r="B52" s="44" t="s">
        <v>178</v>
      </c>
      <c r="C52" s="14" t="s">
        <v>212</v>
      </c>
      <c r="D52" s="20">
        <v>243572</v>
      </c>
      <c r="E52" s="21">
        <v>2800</v>
      </c>
      <c r="F52" s="14" t="s">
        <v>0</v>
      </c>
      <c r="G52" s="14" t="s">
        <v>111</v>
      </c>
      <c r="H52" s="14"/>
      <c r="I52" s="14"/>
      <c r="J52" s="14"/>
      <c r="K52" s="14"/>
      <c r="L52" s="14"/>
      <c r="M52" s="14"/>
    </row>
    <row r="53" spans="1:13" ht="19.5" x14ac:dyDescent="0.3">
      <c r="A53" s="14">
        <v>45</v>
      </c>
      <c r="B53" s="44" t="s">
        <v>178</v>
      </c>
      <c r="C53" s="14" t="s">
        <v>213</v>
      </c>
      <c r="D53" s="20">
        <v>243572</v>
      </c>
      <c r="E53" s="21">
        <v>2800</v>
      </c>
      <c r="F53" s="14" t="s">
        <v>0</v>
      </c>
      <c r="G53" s="14" t="s">
        <v>111</v>
      </c>
      <c r="H53" s="14"/>
      <c r="I53" s="14"/>
      <c r="J53" s="14"/>
      <c r="K53" s="14"/>
      <c r="L53" s="14"/>
      <c r="M53" s="14"/>
    </row>
    <row r="54" spans="1:13" ht="19.5" x14ac:dyDescent="0.3">
      <c r="A54" s="14">
        <v>46</v>
      </c>
      <c r="B54" s="44" t="s">
        <v>178</v>
      </c>
      <c r="C54" s="14" t="s">
        <v>214</v>
      </c>
      <c r="D54" s="20">
        <v>243572</v>
      </c>
      <c r="E54" s="21">
        <v>2800</v>
      </c>
      <c r="F54" s="14" t="s">
        <v>0</v>
      </c>
      <c r="G54" s="14" t="s">
        <v>111</v>
      </c>
      <c r="H54" s="14"/>
      <c r="I54" s="14"/>
      <c r="J54" s="14"/>
      <c r="K54" s="14"/>
      <c r="L54" s="14"/>
      <c r="M54" s="14"/>
    </row>
    <row r="55" spans="1:13" ht="19.5" x14ac:dyDescent="0.3">
      <c r="A55" s="14">
        <v>47</v>
      </c>
      <c r="B55" s="44" t="s">
        <v>178</v>
      </c>
      <c r="C55" s="14" t="s">
        <v>215</v>
      </c>
      <c r="D55" s="20">
        <v>243572</v>
      </c>
      <c r="E55" s="21">
        <v>2800</v>
      </c>
      <c r="F55" s="14" t="s">
        <v>0</v>
      </c>
      <c r="G55" s="14" t="s">
        <v>111</v>
      </c>
      <c r="H55" s="14"/>
      <c r="I55" s="14"/>
      <c r="J55" s="14"/>
      <c r="K55" s="14"/>
      <c r="L55" s="14"/>
      <c r="M55" s="14"/>
    </row>
    <row r="56" spans="1:13" ht="19.5" x14ac:dyDescent="0.3">
      <c r="A56" s="14">
        <v>48</v>
      </c>
      <c r="B56" s="44" t="s">
        <v>178</v>
      </c>
      <c r="C56" s="14" t="s">
        <v>216</v>
      </c>
      <c r="D56" s="20">
        <v>243572</v>
      </c>
      <c r="E56" s="21">
        <v>2800</v>
      </c>
      <c r="F56" s="14" t="s">
        <v>0</v>
      </c>
      <c r="G56" s="14" t="s">
        <v>111</v>
      </c>
      <c r="H56" s="14"/>
      <c r="I56" s="14"/>
      <c r="J56" s="14"/>
      <c r="K56" s="14"/>
      <c r="L56" s="14"/>
      <c r="M56" s="14"/>
    </row>
    <row r="57" spans="1:13" ht="19.5" x14ac:dyDescent="0.3">
      <c r="A57" s="14">
        <v>49</v>
      </c>
      <c r="B57" s="44" t="s">
        <v>185</v>
      </c>
      <c r="C57" s="14" t="s">
        <v>217</v>
      </c>
      <c r="D57" s="20">
        <v>243572</v>
      </c>
      <c r="E57" s="21">
        <v>1190</v>
      </c>
      <c r="F57" s="14" t="s">
        <v>0</v>
      </c>
      <c r="G57" s="14" t="s">
        <v>111</v>
      </c>
      <c r="H57" s="14"/>
      <c r="I57" s="14"/>
      <c r="J57" s="14"/>
      <c r="K57" s="14"/>
      <c r="L57" s="14"/>
      <c r="M57" s="14"/>
    </row>
    <row r="58" spans="1:13" ht="19.5" x14ac:dyDescent="0.3">
      <c r="A58" s="14">
        <v>50</v>
      </c>
      <c r="B58" s="44" t="s">
        <v>185</v>
      </c>
      <c r="C58" s="14" t="s">
        <v>218</v>
      </c>
      <c r="D58" s="20">
        <v>243572</v>
      </c>
      <c r="E58" s="21">
        <v>1190</v>
      </c>
      <c r="F58" s="14" t="s">
        <v>0</v>
      </c>
      <c r="G58" s="14" t="s">
        <v>111</v>
      </c>
      <c r="H58" s="14"/>
      <c r="I58" s="14"/>
      <c r="J58" s="14"/>
      <c r="K58" s="14"/>
      <c r="L58" s="14"/>
      <c r="M58" s="14"/>
    </row>
    <row r="59" spans="1:13" ht="19.5" x14ac:dyDescent="0.3">
      <c r="A59" s="14">
        <v>51</v>
      </c>
      <c r="B59" s="44" t="s">
        <v>185</v>
      </c>
      <c r="C59" s="14" t="s">
        <v>219</v>
      </c>
      <c r="D59" s="20">
        <v>243572</v>
      </c>
      <c r="E59" s="21">
        <v>1190</v>
      </c>
      <c r="F59" s="14" t="s">
        <v>0</v>
      </c>
      <c r="G59" s="14" t="s">
        <v>111</v>
      </c>
      <c r="H59" s="14"/>
      <c r="I59" s="14"/>
      <c r="J59" s="14"/>
      <c r="K59" s="14"/>
      <c r="L59" s="14"/>
      <c r="M59" s="14"/>
    </row>
    <row r="60" spans="1:13" ht="19.5" x14ac:dyDescent="0.3">
      <c r="A60" s="14">
        <v>52</v>
      </c>
      <c r="B60" s="44" t="s">
        <v>185</v>
      </c>
      <c r="C60" s="14" t="s">
        <v>220</v>
      </c>
      <c r="D60" s="20">
        <v>243572</v>
      </c>
      <c r="E60" s="21">
        <v>1190</v>
      </c>
      <c r="F60" s="14" t="s">
        <v>0</v>
      </c>
      <c r="G60" s="14" t="s">
        <v>111</v>
      </c>
      <c r="H60" s="14"/>
      <c r="I60" s="14"/>
      <c r="J60" s="14"/>
      <c r="K60" s="14"/>
      <c r="L60" s="14"/>
      <c r="M60" s="14"/>
    </row>
    <row r="61" spans="1:13" ht="19.5" x14ac:dyDescent="0.3">
      <c r="A61" s="14">
        <v>53</v>
      </c>
      <c r="B61" s="44" t="s">
        <v>185</v>
      </c>
      <c r="C61" s="14" t="s">
        <v>221</v>
      </c>
      <c r="D61" s="20">
        <v>243572</v>
      </c>
      <c r="E61" s="21">
        <v>1190</v>
      </c>
      <c r="F61" s="14" t="s">
        <v>0</v>
      </c>
      <c r="G61" s="14" t="s">
        <v>111</v>
      </c>
      <c r="H61" s="14"/>
      <c r="I61" s="14"/>
      <c r="J61" s="14"/>
      <c r="K61" s="14"/>
      <c r="L61" s="14"/>
      <c r="M61" s="14"/>
    </row>
    <row r="62" spans="1:13" ht="19.5" x14ac:dyDescent="0.3">
      <c r="A62" s="14">
        <v>54</v>
      </c>
      <c r="B62" s="19" t="s">
        <v>186</v>
      </c>
      <c r="C62" s="14" t="s">
        <v>174</v>
      </c>
      <c r="D62" s="20">
        <v>243572</v>
      </c>
      <c r="E62" s="21">
        <v>6900</v>
      </c>
      <c r="F62" s="14" t="s">
        <v>0</v>
      </c>
      <c r="G62" s="14" t="s">
        <v>111</v>
      </c>
      <c r="H62" s="14"/>
      <c r="I62" s="14"/>
      <c r="J62" s="14"/>
      <c r="K62" s="14"/>
      <c r="L62" s="14"/>
      <c r="M62" s="14"/>
    </row>
    <row r="63" spans="1:13" ht="19.5" x14ac:dyDescent="0.3">
      <c r="A63" s="14">
        <v>55</v>
      </c>
      <c r="B63" s="19" t="s">
        <v>186</v>
      </c>
      <c r="C63" s="14" t="s">
        <v>175</v>
      </c>
      <c r="D63" s="20">
        <v>243572</v>
      </c>
      <c r="E63" s="21">
        <v>6900</v>
      </c>
      <c r="F63" s="14" t="s">
        <v>0</v>
      </c>
      <c r="G63" s="14" t="s">
        <v>111</v>
      </c>
      <c r="H63" s="14"/>
      <c r="I63" s="14"/>
      <c r="J63" s="14"/>
      <c r="K63" s="14"/>
      <c r="L63" s="14"/>
      <c r="M63" s="14"/>
    </row>
    <row r="64" spans="1:13" ht="19.5" x14ac:dyDescent="0.3">
      <c r="A64" s="14">
        <v>56</v>
      </c>
      <c r="B64" s="19" t="s">
        <v>186</v>
      </c>
      <c r="C64" s="14" t="s">
        <v>176</v>
      </c>
      <c r="D64" s="20">
        <v>243572</v>
      </c>
      <c r="E64" s="21">
        <v>6900</v>
      </c>
      <c r="F64" s="14" t="s">
        <v>0</v>
      </c>
      <c r="G64" s="14" t="s">
        <v>111</v>
      </c>
      <c r="H64" s="14"/>
      <c r="I64" s="14"/>
      <c r="J64" s="14"/>
      <c r="K64" s="14"/>
      <c r="L64" s="14"/>
      <c r="M64" s="14"/>
    </row>
    <row r="65" spans="1:13" ht="19.5" x14ac:dyDescent="0.3">
      <c r="A65" s="14">
        <v>57</v>
      </c>
      <c r="B65" s="19" t="s">
        <v>186</v>
      </c>
      <c r="C65" s="14" t="s">
        <v>177</v>
      </c>
      <c r="D65" s="20">
        <v>243572</v>
      </c>
      <c r="E65" s="21">
        <v>6900</v>
      </c>
      <c r="F65" s="14" t="s">
        <v>0</v>
      </c>
      <c r="G65" s="14" t="s">
        <v>111</v>
      </c>
      <c r="H65" s="14"/>
      <c r="I65" s="14"/>
      <c r="J65" s="14"/>
      <c r="K65" s="14"/>
      <c r="L65" s="14"/>
      <c r="M65" s="14"/>
    </row>
    <row r="66" spans="1:13" ht="19.5" x14ac:dyDescent="0.3">
      <c r="A66" s="14">
        <v>58</v>
      </c>
      <c r="B66" s="19" t="s">
        <v>186</v>
      </c>
      <c r="C66" s="14" t="s">
        <v>179</v>
      </c>
      <c r="D66" s="20">
        <v>243572</v>
      </c>
      <c r="E66" s="21">
        <v>6900</v>
      </c>
      <c r="F66" s="14" t="s">
        <v>0</v>
      </c>
      <c r="G66" s="14" t="s">
        <v>111</v>
      </c>
      <c r="H66" s="14"/>
      <c r="I66" s="14"/>
      <c r="J66" s="14"/>
      <c r="K66" s="14"/>
      <c r="L66" s="14"/>
      <c r="M66" s="14"/>
    </row>
    <row r="67" spans="1:13" ht="19.5" x14ac:dyDescent="0.3">
      <c r="A67" s="14">
        <v>59</v>
      </c>
      <c r="B67" s="19" t="s">
        <v>186</v>
      </c>
      <c r="C67" s="14" t="s">
        <v>180</v>
      </c>
      <c r="D67" s="20">
        <v>243572</v>
      </c>
      <c r="E67" s="21">
        <v>6900</v>
      </c>
      <c r="F67" s="14" t="s">
        <v>0</v>
      </c>
      <c r="G67" s="14" t="s">
        <v>111</v>
      </c>
      <c r="H67" s="14"/>
      <c r="I67" s="14"/>
      <c r="J67" s="14"/>
      <c r="K67" s="14"/>
      <c r="L67" s="14"/>
      <c r="M67" s="14"/>
    </row>
    <row r="68" spans="1:13" ht="19.5" x14ac:dyDescent="0.3">
      <c r="A68" s="14">
        <v>60</v>
      </c>
      <c r="B68" s="19" t="s">
        <v>186</v>
      </c>
      <c r="C68" s="14" t="s">
        <v>181</v>
      </c>
      <c r="D68" s="20">
        <v>243572</v>
      </c>
      <c r="E68" s="21">
        <v>6900</v>
      </c>
      <c r="F68" s="14" t="s">
        <v>0</v>
      </c>
      <c r="G68" s="14" t="s">
        <v>111</v>
      </c>
      <c r="H68" s="14"/>
      <c r="I68" s="14"/>
      <c r="J68" s="14"/>
      <c r="K68" s="14"/>
      <c r="L68" s="14"/>
      <c r="M68" s="14"/>
    </row>
    <row r="69" spans="1:13" ht="19.5" x14ac:dyDescent="0.3">
      <c r="A69" s="14">
        <v>61</v>
      </c>
      <c r="B69" s="19" t="s">
        <v>186</v>
      </c>
      <c r="C69" s="14" t="s">
        <v>182</v>
      </c>
      <c r="D69" s="20">
        <v>243572</v>
      </c>
      <c r="E69" s="21">
        <v>6900</v>
      </c>
      <c r="F69" s="14" t="s">
        <v>0</v>
      </c>
      <c r="G69" s="14" t="s">
        <v>111</v>
      </c>
      <c r="H69" s="14"/>
      <c r="I69" s="14"/>
      <c r="J69" s="14"/>
      <c r="K69" s="14"/>
      <c r="L69" s="14"/>
      <c r="M69" s="14"/>
    </row>
    <row r="70" spans="1:13" ht="19.5" x14ac:dyDescent="0.3">
      <c r="A70" s="14">
        <v>62</v>
      </c>
      <c r="B70" s="19" t="s">
        <v>186</v>
      </c>
      <c r="C70" s="14" t="s">
        <v>183</v>
      </c>
      <c r="D70" s="20">
        <v>243572</v>
      </c>
      <c r="E70" s="21">
        <v>6900</v>
      </c>
      <c r="F70" s="14" t="s">
        <v>0</v>
      </c>
      <c r="G70" s="14" t="s">
        <v>111</v>
      </c>
      <c r="H70" s="14"/>
      <c r="I70" s="14"/>
      <c r="J70" s="14"/>
      <c r="K70" s="14"/>
      <c r="L70" s="14"/>
      <c r="M70" s="14"/>
    </row>
    <row r="71" spans="1:13" ht="19.5" x14ac:dyDescent="0.3">
      <c r="A71" s="14">
        <v>63</v>
      </c>
      <c r="B71" s="19" t="s">
        <v>186</v>
      </c>
      <c r="C71" s="14" t="s">
        <v>184</v>
      </c>
      <c r="D71" s="20">
        <v>243572</v>
      </c>
      <c r="E71" s="21">
        <v>6900</v>
      </c>
      <c r="F71" s="14" t="s">
        <v>0</v>
      </c>
      <c r="G71" s="14" t="s">
        <v>111</v>
      </c>
      <c r="H71" s="14"/>
      <c r="I71" s="14"/>
      <c r="J71" s="14"/>
      <c r="K71" s="14"/>
      <c r="L71" s="14"/>
      <c r="M71" s="14"/>
    </row>
    <row r="72" spans="1:13" ht="19.5" x14ac:dyDescent="0.3">
      <c r="A72" s="14">
        <v>64</v>
      </c>
      <c r="B72" s="44" t="s">
        <v>187</v>
      </c>
      <c r="C72" s="14" t="s">
        <v>179</v>
      </c>
      <c r="D72" s="20">
        <v>243572</v>
      </c>
      <c r="E72" s="21">
        <v>8200</v>
      </c>
      <c r="F72" s="14" t="s">
        <v>0</v>
      </c>
      <c r="G72" s="14" t="s">
        <v>111</v>
      </c>
      <c r="H72" s="14"/>
      <c r="I72" s="14"/>
      <c r="J72" s="14"/>
      <c r="K72" s="14"/>
      <c r="L72" s="14"/>
      <c r="M72" s="14"/>
    </row>
    <row r="73" spans="1:13" ht="19.5" x14ac:dyDescent="0.3">
      <c r="A73" s="14">
        <v>65</v>
      </c>
      <c r="B73" s="44" t="s">
        <v>194</v>
      </c>
      <c r="C73" s="14" t="s">
        <v>195</v>
      </c>
      <c r="D73" s="20">
        <v>243907</v>
      </c>
      <c r="E73" s="21">
        <v>22900</v>
      </c>
      <c r="F73" s="14" t="s">
        <v>0</v>
      </c>
      <c r="G73" s="14" t="s">
        <v>111</v>
      </c>
      <c r="H73" s="14"/>
      <c r="I73" s="14"/>
      <c r="J73" s="14"/>
      <c r="K73" s="14"/>
      <c r="L73" s="14"/>
      <c r="M73" s="14"/>
    </row>
    <row r="74" spans="1:13" ht="19.5" x14ac:dyDescent="0.3">
      <c r="A74" s="25"/>
      <c r="B74" s="44"/>
      <c r="C74" s="14"/>
      <c r="D74" s="20"/>
      <c r="E74" s="21"/>
      <c r="F74" s="14"/>
      <c r="G74" s="14"/>
      <c r="H74" s="14"/>
      <c r="I74" s="14"/>
      <c r="J74" s="14"/>
      <c r="K74" s="14"/>
      <c r="L74" s="14"/>
      <c r="M74" s="14"/>
    </row>
    <row r="75" spans="1:13" ht="21.75" x14ac:dyDescent="0.45">
      <c r="A75" s="25"/>
      <c r="B75" s="19"/>
      <c r="C75" s="14"/>
      <c r="D75" s="26" t="s">
        <v>47</v>
      </c>
      <c r="E75" s="27">
        <f>SUM(E9:E73)</f>
        <v>645910.26</v>
      </c>
      <c r="F75" s="14"/>
      <c r="G75" s="14"/>
      <c r="H75" s="14"/>
      <c r="I75" s="14"/>
      <c r="J75" s="14"/>
      <c r="K75" s="14"/>
      <c r="L75" s="14"/>
      <c r="M75" s="18"/>
    </row>
    <row r="76" spans="1:13" ht="19.5" x14ac:dyDescent="0.3">
      <c r="A76" s="25"/>
      <c r="B76" s="19"/>
      <c r="C76" s="14"/>
      <c r="D76" s="20"/>
      <c r="E76" s="21"/>
      <c r="F76" s="14"/>
      <c r="G76" s="14"/>
      <c r="H76" s="14"/>
      <c r="I76" s="14"/>
      <c r="J76" s="14"/>
      <c r="K76" s="14"/>
      <c r="L76" s="14"/>
      <c r="M76" s="18"/>
    </row>
    <row r="77" spans="1:13" ht="19.5" x14ac:dyDescent="0.3">
      <c r="A77" s="25"/>
      <c r="B77" s="19"/>
      <c r="C77" s="14"/>
      <c r="D77" s="26" t="s">
        <v>133</v>
      </c>
      <c r="E77" s="50">
        <f>SUM(E75)</f>
        <v>645910.26</v>
      </c>
      <c r="F77" s="14"/>
      <c r="G77" s="14"/>
      <c r="H77" s="14"/>
      <c r="I77" s="14"/>
      <c r="J77" s="14"/>
      <c r="K77" s="14"/>
      <c r="L77" s="14"/>
      <c r="M77" s="18"/>
    </row>
    <row r="78" spans="1:13" ht="19.5" x14ac:dyDescent="0.3">
      <c r="A78" s="25"/>
      <c r="B78" s="19"/>
      <c r="C78" s="14"/>
      <c r="D78" s="20"/>
      <c r="E78" s="21"/>
      <c r="F78" s="14"/>
      <c r="G78" s="14"/>
      <c r="H78" s="14"/>
      <c r="I78" s="14"/>
      <c r="J78" s="14"/>
      <c r="K78" s="14"/>
      <c r="L78" s="14"/>
      <c r="M78" s="18"/>
    </row>
  </sheetData>
  <mergeCells count="11">
    <mergeCell ref="M5:M6"/>
    <mergeCell ref="A1:M1"/>
    <mergeCell ref="A2:M2"/>
    <mergeCell ref="B4:B6"/>
    <mergeCell ref="C4:C6"/>
    <mergeCell ref="E4:E6"/>
    <mergeCell ref="F4:M4"/>
    <mergeCell ref="F5:F6"/>
    <mergeCell ref="G5:G6"/>
    <mergeCell ref="H5:H6"/>
    <mergeCell ref="J5:J6"/>
  </mergeCells>
  <phoneticPr fontId="16" type="noConversion"/>
  <pageMargins left="0.31496062992125984" right="0.19685039370078741" top="0.74803149606299213" bottom="0.74803149606299213" header="0.31496062992125984" footer="0.31496062992125984"/>
  <pageSetup paperSize="9" scale="80" orientation="landscape" horizontalDpi="4294967292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M12"/>
  <sheetViews>
    <sheetView workbookViewId="0">
      <selection activeCell="D26" sqref="D26"/>
    </sheetView>
  </sheetViews>
  <sheetFormatPr defaultRowHeight="14.25" x14ac:dyDescent="0.2"/>
  <cols>
    <col min="2" max="2" width="37.5" customWidth="1"/>
    <col min="3" max="3" width="12.375" customWidth="1"/>
    <col min="6" max="6" width="15.25" customWidth="1"/>
  </cols>
  <sheetData>
    <row r="1" spans="1:13" ht="19.5" x14ac:dyDescent="0.3">
      <c r="A1" s="66" t="s">
        <v>93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</row>
    <row r="2" spans="1:13" ht="19.5" x14ac:dyDescent="0.3">
      <c r="A2" s="66" t="s">
        <v>94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</row>
    <row r="3" spans="1:13" ht="19.5" x14ac:dyDescent="0.3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3"/>
    </row>
    <row r="4" spans="1:13" ht="19.5" x14ac:dyDescent="0.3">
      <c r="A4" s="4" t="s">
        <v>95</v>
      </c>
      <c r="B4" s="67" t="s">
        <v>2</v>
      </c>
      <c r="C4" s="67" t="s">
        <v>3</v>
      </c>
      <c r="D4" s="5" t="s">
        <v>96</v>
      </c>
      <c r="E4" s="70" t="s">
        <v>50</v>
      </c>
      <c r="F4" s="73" t="s">
        <v>97</v>
      </c>
      <c r="G4" s="74"/>
      <c r="H4" s="74"/>
      <c r="I4" s="74"/>
      <c r="J4" s="74"/>
      <c r="K4" s="74"/>
      <c r="L4" s="74"/>
      <c r="M4" s="75"/>
    </row>
    <row r="5" spans="1:13" ht="19.5" x14ac:dyDescent="0.3">
      <c r="A5" s="6" t="s">
        <v>98</v>
      </c>
      <c r="B5" s="68"/>
      <c r="C5" s="68"/>
      <c r="D5" s="7" t="s">
        <v>99</v>
      </c>
      <c r="E5" s="71"/>
      <c r="F5" s="67" t="s">
        <v>100</v>
      </c>
      <c r="G5" s="67" t="s">
        <v>101</v>
      </c>
      <c r="H5" s="67" t="s">
        <v>102</v>
      </c>
      <c r="I5" s="4" t="s">
        <v>103</v>
      </c>
      <c r="J5" s="67" t="s">
        <v>104</v>
      </c>
      <c r="K5" s="4" t="s">
        <v>105</v>
      </c>
      <c r="L5" s="4" t="s">
        <v>106</v>
      </c>
      <c r="M5" s="64" t="s">
        <v>48</v>
      </c>
    </row>
    <row r="6" spans="1:13" ht="19.5" x14ac:dyDescent="0.3">
      <c r="A6" s="8"/>
      <c r="B6" s="69"/>
      <c r="C6" s="69"/>
      <c r="D6" s="9"/>
      <c r="E6" s="72"/>
      <c r="F6" s="76"/>
      <c r="G6" s="76"/>
      <c r="H6" s="76"/>
      <c r="I6" s="8" t="s">
        <v>107</v>
      </c>
      <c r="J6" s="76"/>
      <c r="K6" s="8" t="s">
        <v>108</v>
      </c>
      <c r="L6" s="8" t="s">
        <v>109</v>
      </c>
      <c r="M6" s="65"/>
    </row>
    <row r="7" spans="1:13" ht="21" x14ac:dyDescent="0.35">
      <c r="A7" s="8"/>
      <c r="B7" s="43" t="s">
        <v>136</v>
      </c>
      <c r="C7" s="8"/>
      <c r="D7" s="9"/>
      <c r="E7" s="11"/>
      <c r="F7" s="12"/>
      <c r="G7" s="12"/>
      <c r="H7" s="12"/>
      <c r="I7" s="8"/>
      <c r="J7" s="12"/>
      <c r="K7" s="8"/>
      <c r="L7" s="8"/>
      <c r="M7" s="13"/>
    </row>
    <row r="8" spans="1:13" ht="21.75" x14ac:dyDescent="0.45">
      <c r="A8" s="14"/>
      <c r="B8" s="15" t="s">
        <v>137</v>
      </c>
      <c r="C8" s="14"/>
      <c r="D8" s="16"/>
      <c r="E8" s="17"/>
      <c r="F8" s="14"/>
      <c r="G8" s="14"/>
      <c r="H8" s="14"/>
      <c r="I8" s="14"/>
      <c r="J8" s="14"/>
      <c r="K8" s="14"/>
      <c r="L8" s="14"/>
      <c r="M8" s="18"/>
    </row>
    <row r="9" spans="1:13" ht="19.5" x14ac:dyDescent="0.3">
      <c r="A9" s="14">
        <v>1</v>
      </c>
      <c r="B9" s="19" t="s">
        <v>138</v>
      </c>
      <c r="C9" s="14" t="s">
        <v>92</v>
      </c>
      <c r="D9" s="20">
        <v>242317</v>
      </c>
      <c r="E9" s="21">
        <v>2500</v>
      </c>
      <c r="F9" s="14" t="s">
        <v>0</v>
      </c>
      <c r="G9" s="14" t="s">
        <v>111</v>
      </c>
      <c r="H9" s="14"/>
      <c r="I9" s="14"/>
      <c r="J9" s="14"/>
      <c r="K9" s="14"/>
      <c r="L9" s="14"/>
      <c r="M9" s="14"/>
    </row>
    <row r="10" spans="1:13" ht="21.75" x14ac:dyDescent="0.45">
      <c r="A10" s="14"/>
      <c r="B10" s="19"/>
      <c r="C10" s="14"/>
      <c r="D10" s="26" t="s">
        <v>47</v>
      </c>
      <c r="E10" s="27">
        <f>SUM(E9)</f>
        <v>2500</v>
      </c>
      <c r="F10" s="14"/>
      <c r="G10" s="14"/>
      <c r="H10" s="14"/>
      <c r="I10" s="14"/>
      <c r="J10" s="14"/>
      <c r="K10" s="14"/>
      <c r="L10" s="14"/>
      <c r="M10" s="18"/>
    </row>
    <row r="11" spans="1:13" ht="19.5" x14ac:dyDescent="0.3">
      <c r="A11" s="14"/>
      <c r="B11" s="19"/>
      <c r="C11" s="14"/>
      <c r="D11" s="20"/>
      <c r="E11" s="21"/>
      <c r="F11" s="14"/>
      <c r="G11" s="14"/>
      <c r="H11" s="14"/>
      <c r="I11" s="14"/>
      <c r="J11" s="14"/>
      <c r="K11" s="14"/>
      <c r="L11" s="14"/>
      <c r="M11" s="18"/>
    </row>
    <row r="12" spans="1:13" ht="19.5" x14ac:dyDescent="0.3">
      <c r="A12" s="14"/>
      <c r="B12" s="19"/>
      <c r="C12" s="14"/>
      <c r="D12" s="26" t="s">
        <v>133</v>
      </c>
      <c r="E12" s="45">
        <f>SUM(E10)</f>
        <v>2500</v>
      </c>
      <c r="F12" s="14"/>
      <c r="G12" s="14"/>
      <c r="H12" s="14"/>
      <c r="I12" s="14"/>
      <c r="J12" s="14"/>
      <c r="K12" s="14"/>
      <c r="L12" s="14"/>
      <c r="M12" s="18"/>
    </row>
  </sheetData>
  <mergeCells count="11">
    <mergeCell ref="M5:M6"/>
    <mergeCell ref="A1:M1"/>
    <mergeCell ref="A2:M2"/>
    <mergeCell ref="B4:B6"/>
    <mergeCell ref="C4:C6"/>
    <mergeCell ref="E4:E6"/>
    <mergeCell ref="F4:M4"/>
    <mergeCell ref="F5:F6"/>
    <mergeCell ref="G5:G6"/>
    <mergeCell ref="H5:H6"/>
    <mergeCell ref="J5:J6"/>
  </mergeCells>
  <pageMargins left="0.24" right="0.2" top="0.74803149606299213" bottom="0.74803149606299213" header="0.31496062992125984" footer="0.31496062992125984"/>
  <pageSetup paperSize="9" scale="85" orientation="landscape" horizontalDpi="4294967292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M25"/>
  <sheetViews>
    <sheetView tabSelected="1" workbookViewId="0">
      <selection activeCell="T8" sqref="T8"/>
    </sheetView>
  </sheetViews>
  <sheetFormatPr defaultRowHeight="14.25" x14ac:dyDescent="0.2"/>
  <cols>
    <col min="2" max="2" width="26.25" customWidth="1"/>
    <col min="3" max="3" width="12.75" customWidth="1"/>
    <col min="5" max="5" width="9.625" customWidth="1"/>
    <col min="6" max="6" width="20.375" customWidth="1"/>
  </cols>
  <sheetData>
    <row r="1" spans="1:13" ht="19.5" x14ac:dyDescent="0.3">
      <c r="A1" s="66" t="s">
        <v>139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</row>
    <row r="2" spans="1:13" ht="19.5" x14ac:dyDescent="0.3">
      <c r="A2" s="66" t="s">
        <v>192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</row>
    <row r="3" spans="1:13" ht="19.5" x14ac:dyDescent="0.3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3"/>
    </row>
    <row r="4" spans="1:13" ht="19.5" x14ac:dyDescent="0.3">
      <c r="A4" s="4" t="s">
        <v>95</v>
      </c>
      <c r="B4" s="67" t="s">
        <v>2</v>
      </c>
      <c r="C4" s="67" t="s">
        <v>3</v>
      </c>
      <c r="D4" s="5" t="s">
        <v>96</v>
      </c>
      <c r="E4" s="70" t="s">
        <v>50</v>
      </c>
      <c r="F4" s="73" t="s">
        <v>97</v>
      </c>
      <c r="G4" s="74"/>
      <c r="H4" s="74"/>
      <c r="I4" s="74"/>
      <c r="J4" s="74"/>
      <c r="K4" s="74"/>
      <c r="L4" s="74"/>
      <c r="M4" s="75"/>
    </row>
    <row r="5" spans="1:13" ht="19.5" x14ac:dyDescent="0.3">
      <c r="A5" s="6" t="s">
        <v>98</v>
      </c>
      <c r="B5" s="68"/>
      <c r="C5" s="68"/>
      <c r="D5" s="7" t="s">
        <v>99</v>
      </c>
      <c r="E5" s="71"/>
      <c r="F5" s="67" t="s">
        <v>100</v>
      </c>
      <c r="G5" s="67" t="s">
        <v>101</v>
      </c>
      <c r="H5" s="67" t="s">
        <v>102</v>
      </c>
      <c r="I5" s="4" t="s">
        <v>103</v>
      </c>
      <c r="J5" s="67" t="s">
        <v>104</v>
      </c>
      <c r="K5" s="4" t="s">
        <v>105</v>
      </c>
      <c r="L5" s="4" t="s">
        <v>106</v>
      </c>
      <c r="M5" s="64" t="s">
        <v>48</v>
      </c>
    </row>
    <row r="6" spans="1:13" ht="19.5" x14ac:dyDescent="0.3">
      <c r="A6" s="8"/>
      <c r="B6" s="69"/>
      <c r="C6" s="69"/>
      <c r="D6" s="9"/>
      <c r="E6" s="72"/>
      <c r="F6" s="76"/>
      <c r="G6" s="76"/>
      <c r="H6" s="76"/>
      <c r="I6" s="8" t="s">
        <v>107</v>
      </c>
      <c r="J6" s="76"/>
      <c r="K6" s="8" t="s">
        <v>108</v>
      </c>
      <c r="L6" s="8" t="s">
        <v>109</v>
      </c>
      <c r="M6" s="65"/>
    </row>
    <row r="7" spans="1:13" ht="21" x14ac:dyDescent="0.35">
      <c r="A7" s="8"/>
      <c r="B7" s="46" t="s">
        <v>46</v>
      </c>
      <c r="C7" s="8"/>
      <c r="D7" s="9"/>
      <c r="E7" s="11"/>
      <c r="F7" s="12"/>
      <c r="G7" s="12"/>
      <c r="H7" s="12"/>
      <c r="I7" s="8"/>
      <c r="J7" s="12"/>
      <c r="K7" s="8"/>
      <c r="L7" s="8"/>
      <c r="M7" s="13"/>
    </row>
    <row r="8" spans="1:13" ht="21.75" x14ac:dyDescent="0.45">
      <c r="A8" s="14"/>
      <c r="B8" s="15" t="s">
        <v>116</v>
      </c>
      <c r="C8" s="14"/>
      <c r="D8" s="16"/>
      <c r="E8" s="17"/>
      <c r="F8" s="14"/>
      <c r="G8" s="14"/>
      <c r="H8" s="14"/>
      <c r="I8" s="14"/>
      <c r="J8" s="14"/>
      <c r="K8" s="14"/>
      <c r="L8" s="14"/>
      <c r="M8" s="18"/>
    </row>
    <row r="9" spans="1:13" ht="19.5" x14ac:dyDescent="0.3">
      <c r="A9" s="14">
        <v>1</v>
      </c>
      <c r="B9" s="19" t="s">
        <v>53</v>
      </c>
      <c r="C9" s="14" t="s">
        <v>56</v>
      </c>
      <c r="D9" s="20">
        <v>239834</v>
      </c>
      <c r="E9" s="21">
        <v>4900</v>
      </c>
      <c r="F9" s="14" t="s">
        <v>0</v>
      </c>
      <c r="G9" s="14" t="s">
        <v>111</v>
      </c>
      <c r="H9" s="14"/>
      <c r="I9" s="14"/>
      <c r="J9" s="14"/>
      <c r="K9" s="14"/>
      <c r="L9" s="14"/>
      <c r="M9" s="14"/>
    </row>
    <row r="10" spans="1:13" s="63" customFormat="1" ht="19.5" x14ac:dyDescent="0.3">
      <c r="A10" s="59">
        <v>2</v>
      </c>
      <c r="B10" s="60" t="s">
        <v>54</v>
      </c>
      <c r="C10" s="59" t="s">
        <v>55</v>
      </c>
      <c r="D10" s="61">
        <v>239631</v>
      </c>
      <c r="E10" s="62">
        <v>1900</v>
      </c>
      <c r="F10" s="59" t="s">
        <v>0</v>
      </c>
      <c r="H10" s="59" t="s">
        <v>111</v>
      </c>
      <c r="I10" s="59"/>
      <c r="J10" s="59"/>
      <c r="K10" s="59"/>
      <c r="L10" s="59"/>
      <c r="M10" s="59"/>
    </row>
    <row r="11" spans="1:13" ht="19.5" x14ac:dyDescent="0.3">
      <c r="A11" s="14">
        <v>3</v>
      </c>
      <c r="B11" s="19" t="s">
        <v>54</v>
      </c>
      <c r="C11" s="14" t="s">
        <v>188</v>
      </c>
      <c r="D11" s="20">
        <v>243745</v>
      </c>
      <c r="E11" s="21">
        <v>4500</v>
      </c>
      <c r="F11" s="14" t="s">
        <v>0</v>
      </c>
      <c r="G11" s="14" t="s">
        <v>111</v>
      </c>
      <c r="H11" s="14"/>
      <c r="I11" s="14"/>
      <c r="J11" s="14"/>
      <c r="K11" s="14"/>
      <c r="L11" s="14"/>
      <c r="M11" s="14"/>
    </row>
    <row r="12" spans="1:13" ht="19.5" x14ac:dyDescent="0.3">
      <c r="A12" s="14">
        <v>4</v>
      </c>
      <c r="B12" s="19" t="s">
        <v>54</v>
      </c>
      <c r="C12" s="14" t="s">
        <v>189</v>
      </c>
      <c r="D12" s="20">
        <v>243745</v>
      </c>
      <c r="E12" s="21">
        <v>4500</v>
      </c>
      <c r="F12" s="14" t="s">
        <v>0</v>
      </c>
      <c r="G12" s="14" t="s">
        <v>111</v>
      </c>
      <c r="H12" s="14"/>
      <c r="I12" s="14"/>
      <c r="J12" s="14"/>
      <c r="K12" s="14"/>
      <c r="L12" s="14"/>
      <c r="M12" s="14"/>
    </row>
    <row r="13" spans="1:13" ht="19.5" x14ac:dyDescent="0.3">
      <c r="A13" s="14">
        <v>5</v>
      </c>
      <c r="B13" s="19" t="s">
        <v>54</v>
      </c>
      <c r="C13" s="14" t="s">
        <v>190</v>
      </c>
      <c r="D13" s="20">
        <v>243745</v>
      </c>
      <c r="E13" s="21">
        <v>4500</v>
      </c>
      <c r="F13" s="14" t="s">
        <v>0</v>
      </c>
      <c r="G13" s="14" t="s">
        <v>111</v>
      </c>
      <c r="H13" s="14"/>
      <c r="I13" s="14"/>
      <c r="J13" s="14"/>
      <c r="K13" s="14"/>
      <c r="L13" s="14"/>
      <c r="M13" s="14"/>
    </row>
    <row r="14" spans="1:13" ht="19.5" x14ac:dyDescent="0.3">
      <c r="A14" s="14">
        <v>6</v>
      </c>
      <c r="B14" s="19" t="s">
        <v>54</v>
      </c>
      <c r="C14" s="14" t="s">
        <v>191</v>
      </c>
      <c r="D14" s="20">
        <v>243745</v>
      </c>
      <c r="E14" s="21">
        <v>4500</v>
      </c>
      <c r="F14" s="14" t="s">
        <v>0</v>
      </c>
      <c r="G14" s="14" t="s">
        <v>111</v>
      </c>
      <c r="H14" s="14"/>
      <c r="I14" s="14"/>
      <c r="J14" s="14"/>
      <c r="K14" s="14"/>
      <c r="L14" s="14"/>
      <c r="M14" s="14"/>
    </row>
    <row r="15" spans="1:13" ht="21.75" x14ac:dyDescent="0.45">
      <c r="A15" s="14"/>
      <c r="B15" s="19"/>
      <c r="C15" s="14"/>
      <c r="D15" s="26" t="s">
        <v>47</v>
      </c>
      <c r="E15" s="47">
        <f>SUM(E9:E14)</f>
        <v>24800</v>
      </c>
      <c r="F15" s="14"/>
      <c r="G15" s="14"/>
      <c r="H15" s="14"/>
      <c r="I15" s="14"/>
      <c r="J15" s="14"/>
      <c r="K15" s="14"/>
      <c r="L15" s="14"/>
      <c r="M15" s="18"/>
    </row>
    <row r="16" spans="1:13" ht="19.5" x14ac:dyDescent="0.3">
      <c r="A16" s="14"/>
      <c r="B16" s="19"/>
      <c r="C16" s="14"/>
      <c r="D16" s="26"/>
      <c r="E16" s="21"/>
      <c r="F16" s="14"/>
      <c r="G16" s="14"/>
      <c r="H16" s="14"/>
      <c r="I16" s="14"/>
      <c r="J16" s="14"/>
      <c r="K16" s="14"/>
      <c r="L16" s="14"/>
      <c r="M16" s="18"/>
    </row>
    <row r="17" spans="1:13" ht="19.5" x14ac:dyDescent="0.3">
      <c r="A17" s="14"/>
      <c r="B17" s="19"/>
      <c r="C17" s="14"/>
      <c r="D17" s="26"/>
      <c r="E17" s="21"/>
      <c r="F17" s="14"/>
      <c r="G17" s="14"/>
      <c r="H17" s="14"/>
      <c r="I17" s="14"/>
      <c r="J17" s="14"/>
      <c r="K17" s="14"/>
      <c r="L17" s="14"/>
      <c r="M17" s="18"/>
    </row>
    <row r="18" spans="1:13" ht="19.5" x14ac:dyDescent="0.3">
      <c r="A18" s="14"/>
      <c r="B18" s="15" t="s">
        <v>5</v>
      </c>
      <c r="C18" s="14"/>
      <c r="D18" s="26"/>
      <c r="E18" s="21"/>
      <c r="F18" s="14"/>
      <c r="G18" s="14"/>
      <c r="H18" s="14"/>
      <c r="I18" s="14"/>
      <c r="J18" s="14"/>
      <c r="K18" s="14"/>
      <c r="L18" s="14"/>
      <c r="M18" s="18"/>
    </row>
    <row r="19" spans="1:13" ht="19.5" x14ac:dyDescent="0.3">
      <c r="A19" s="14"/>
      <c r="B19" s="15" t="s">
        <v>134</v>
      </c>
      <c r="C19" s="14"/>
      <c r="D19" s="26"/>
      <c r="E19" s="21"/>
      <c r="F19" s="14"/>
      <c r="G19" s="14"/>
      <c r="H19" s="14"/>
      <c r="I19" s="14"/>
      <c r="J19" s="14"/>
      <c r="K19" s="14"/>
      <c r="L19" s="14"/>
      <c r="M19" s="18"/>
    </row>
    <row r="20" spans="1:13" ht="19.5" x14ac:dyDescent="0.3">
      <c r="A20" s="14">
        <v>1</v>
      </c>
      <c r="B20" s="19" t="s">
        <v>18</v>
      </c>
      <c r="C20" s="14" t="s">
        <v>21</v>
      </c>
      <c r="D20" s="20">
        <v>239604</v>
      </c>
      <c r="E20" s="21">
        <v>3290</v>
      </c>
      <c r="F20" s="14" t="s">
        <v>0</v>
      </c>
      <c r="G20" s="14" t="s">
        <v>111</v>
      </c>
      <c r="H20" s="14"/>
      <c r="I20" s="14"/>
      <c r="J20" s="14"/>
      <c r="K20" s="14"/>
      <c r="L20" s="14"/>
      <c r="M20" s="14"/>
    </row>
    <row r="21" spans="1:13" s="63" customFormat="1" ht="19.5" x14ac:dyDescent="0.3">
      <c r="A21" s="59">
        <v>2</v>
      </c>
      <c r="B21" s="60" t="s">
        <v>19</v>
      </c>
      <c r="C21" s="59" t="s">
        <v>20</v>
      </c>
      <c r="D21" s="61">
        <v>239483</v>
      </c>
      <c r="E21" s="62">
        <v>2800</v>
      </c>
      <c r="F21" s="59" t="s">
        <v>0</v>
      </c>
      <c r="G21" s="59"/>
      <c r="H21" s="59" t="s">
        <v>111</v>
      </c>
      <c r="I21" s="59"/>
      <c r="J21" s="59"/>
      <c r="K21" s="59"/>
      <c r="L21" s="59"/>
      <c r="M21" s="59"/>
    </row>
    <row r="22" spans="1:13" ht="21.75" x14ac:dyDescent="0.45">
      <c r="A22" s="14"/>
      <c r="B22" s="19"/>
      <c r="C22" s="14"/>
      <c r="D22" s="26" t="s">
        <v>47</v>
      </c>
      <c r="E22" s="47">
        <f>SUM(E20:E21)</f>
        <v>6090</v>
      </c>
      <c r="F22" s="14"/>
      <c r="G22" s="14"/>
      <c r="H22" s="14"/>
      <c r="I22" s="14"/>
      <c r="J22" s="14"/>
      <c r="K22" s="14"/>
      <c r="L22" s="14"/>
      <c r="M22" s="18"/>
    </row>
    <row r="23" spans="1:13" ht="19.5" x14ac:dyDescent="0.3">
      <c r="A23" s="14"/>
      <c r="B23" s="19"/>
      <c r="C23" s="14"/>
      <c r="D23" s="26"/>
      <c r="E23" s="21"/>
      <c r="F23" s="14"/>
      <c r="G23" s="14"/>
      <c r="H23" s="14"/>
      <c r="I23" s="14"/>
      <c r="J23" s="14"/>
      <c r="K23" s="14"/>
      <c r="L23" s="14"/>
      <c r="M23" s="18"/>
    </row>
    <row r="24" spans="1:13" ht="19.5" x14ac:dyDescent="0.3">
      <c r="A24" s="14"/>
      <c r="B24" s="19"/>
      <c r="C24" s="14"/>
      <c r="D24" s="26"/>
      <c r="E24" s="21"/>
      <c r="F24" s="14"/>
      <c r="G24" s="14"/>
      <c r="H24" s="14"/>
      <c r="I24" s="14"/>
      <c r="J24" s="14"/>
      <c r="K24" s="14"/>
      <c r="L24" s="14"/>
      <c r="M24" s="18"/>
    </row>
    <row r="25" spans="1:13" ht="19.5" x14ac:dyDescent="0.3">
      <c r="A25" s="14"/>
      <c r="B25" s="19"/>
      <c r="C25" s="14"/>
      <c r="D25" s="26" t="s">
        <v>133</v>
      </c>
      <c r="E25" s="50">
        <f>SUM(E15,E22)</f>
        <v>30890</v>
      </c>
      <c r="F25" s="14"/>
      <c r="G25" s="14"/>
      <c r="H25" s="14"/>
      <c r="I25" s="14"/>
      <c r="J25" s="14"/>
      <c r="K25" s="14"/>
      <c r="L25" s="14"/>
      <c r="M25" s="18"/>
    </row>
  </sheetData>
  <mergeCells count="11">
    <mergeCell ref="M5:M6"/>
    <mergeCell ref="A1:M1"/>
    <mergeCell ref="A2:M2"/>
    <mergeCell ref="B4:B6"/>
    <mergeCell ref="C4:C6"/>
    <mergeCell ref="E4:E6"/>
    <mergeCell ref="F4:M4"/>
    <mergeCell ref="F5:F6"/>
    <mergeCell ref="G5:G6"/>
    <mergeCell ref="H5:H6"/>
    <mergeCell ref="J5:J6"/>
  </mergeCells>
  <pageMargins left="0.47244094488188981" right="0.39370078740157483" top="0.74803149606299213" bottom="0.74803149606299213" header="0.31496062992125984" footer="0.31496062992125984"/>
  <pageSetup paperSize="9" scale="85" orientation="landscape" horizontalDpi="4294967292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4</vt:i4>
      </vt:variant>
      <vt:variant>
        <vt:lpstr>ช่วงที่มีชื่อ</vt:lpstr>
      </vt:variant>
      <vt:variant>
        <vt:i4>3</vt:i4>
      </vt:variant>
    </vt:vector>
  </HeadingPairs>
  <TitlesOfParts>
    <vt:vector size="7" baseType="lpstr">
      <vt:lpstr>สำนักงาน</vt:lpstr>
      <vt:lpstr>คอมพิวเตอร์</vt:lpstr>
      <vt:lpstr>วิทยาศาสตร์และการแพทย์</vt:lpstr>
      <vt:lpstr>ต่ำกว่าเกณฑ์</vt:lpstr>
      <vt:lpstr>คอมพิวเตอร์!Print_Titles</vt:lpstr>
      <vt:lpstr>ต่ำกว่าเกณฑ์!Print_Titles</vt:lpstr>
      <vt:lpstr>สำนักงาน!Print_Titles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idea_com</dc:creator>
  <cp:lastModifiedBy>Lampangcity029</cp:lastModifiedBy>
  <cp:lastPrinted>2025-01-13T08:06:29Z</cp:lastPrinted>
  <dcterms:created xsi:type="dcterms:W3CDTF">2022-10-18T02:19:31Z</dcterms:created>
  <dcterms:modified xsi:type="dcterms:W3CDTF">2025-07-07T07:36:51Z</dcterms:modified>
</cp:coreProperties>
</file>