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อ๋\ครุภัณฑ์รวม\ครุภัณฑ์รวม\"/>
    </mc:Choice>
  </mc:AlternateContent>
  <xr:revisionPtr revIDLastSave="0" documentId="13_ncr:1_{AE4D1799-730D-4F77-8CAD-C23CDD81DD64}" xr6:coauthVersionLast="47" xr6:coauthVersionMax="47" xr10:uidLastSave="{00000000-0000-0000-0000-000000000000}"/>
  <bookViews>
    <workbookView xWindow="-120" yWindow="-120" windowWidth="20730" windowHeight="11160" tabRatio="848" firstSheet="2" activeTab="8" xr2:uid="{00000000-000D-0000-FFFF-FFFF00000000}"/>
  </bookViews>
  <sheets>
    <sheet name="ครุภัณฑ์ใหม่2567" sheetId="40" r:id="rId1"/>
    <sheet name="ตัดจำหน่าย2567" sheetId="39" r:id="rId2"/>
    <sheet name="โอน2567" sheetId="42" r:id="rId3"/>
    <sheet name="ครุภัณฑ์ใหม่2567 ต่ำกว่าเกณฑ์" sheetId="43" r:id="rId4"/>
    <sheet name="โอนอาคาร2567" sheetId="41" r:id="rId5"/>
    <sheet name="แบบกข." sheetId="22" r:id="rId6"/>
    <sheet name="อาคาร" sheetId="34" r:id="rId7"/>
    <sheet name="สิ่งปลูกสร้าง" sheetId="31" r:id="rId8"/>
    <sheet name="สำนักงาน" sheetId="16" r:id="rId9"/>
    <sheet name="ยานพาหนะฯ" sheetId="12" r:id="rId10"/>
    <sheet name="การเกษตร" sheetId="13" r:id="rId11"/>
    <sheet name="ไฟฟ้าและวิทยุ" sheetId="18" r:id="rId12"/>
    <sheet name="โฆษณา" sheetId="20" r:id="rId13"/>
    <sheet name="วิทยาศาสตร์" sheetId="15" r:id="rId14"/>
    <sheet name="งานบ้านงานครัว" sheetId="19" r:id="rId15"/>
    <sheet name="โรงงาน" sheetId="14" r:id="rId16"/>
    <sheet name="อื่นๆ" sheetId="21" r:id="rId17"/>
    <sheet name="กีฬา" sheetId="24" r:id="rId18"/>
    <sheet name="ศึกษา" sheetId="30" r:id="rId19"/>
    <sheet name="คอมพิวเตอร์" sheetId="23" r:id="rId20"/>
    <sheet name="ส่งคลัง (ต)" sheetId="8" r:id="rId21"/>
  </sheets>
  <definedNames>
    <definedName name="_xlnm._FilterDatabase" localSheetId="19" hidden="1">คอมพิวเตอร์!$F$1:$F$225</definedName>
    <definedName name="_xlnm._FilterDatabase" localSheetId="8" hidden="1">สำนักงาน!$F$1:$F$1300</definedName>
    <definedName name="_xlnm.Print_Area" localSheetId="19">คอมพิวเตอร์!$A$1:$M$224</definedName>
    <definedName name="_xlnm.Print_Area" localSheetId="12">โฆษณา!$A$1:$M$82</definedName>
    <definedName name="_xlnm.Print_Area" localSheetId="14">งานบ้านงานครัว!$A$1:$M$100</definedName>
    <definedName name="_xlnm.Print_Area" localSheetId="11">ไฟฟ้าและวิทยุ!$A$1:$M$196</definedName>
    <definedName name="_xlnm.Print_Area" localSheetId="9">ยานพาหนะฯ!$A$1:$M$140</definedName>
    <definedName name="_xlnm.Print_Area" localSheetId="13">วิทยาศาสตร์!$A$1:$M$36</definedName>
    <definedName name="_xlnm.Print_Area" localSheetId="18">ศึกษา!$A$1:$M$20</definedName>
    <definedName name="_xlnm.Print_Area" localSheetId="20">'ส่งคลัง (ต)'!$A$1:$M$273</definedName>
    <definedName name="_xlnm.Print_Area" localSheetId="8">สำนักงาน!$A$1:$M$1316</definedName>
    <definedName name="_xlnm.Print_Area" localSheetId="6">อาคาร!$A$1:$M$17</definedName>
    <definedName name="_xlnm.Print_Area" localSheetId="16">อื่นๆ!$A$1:$M$31</definedName>
    <definedName name="_xlnm.Print_Titles" localSheetId="10">การเกษตร!$4:$6</definedName>
    <definedName name="_xlnm.Print_Titles" localSheetId="17">กีฬา!$4:$6</definedName>
    <definedName name="_xlnm.Print_Titles" localSheetId="19">คอมพิวเตอร์!$4:$6</definedName>
    <definedName name="_xlnm.Print_Titles" localSheetId="12">โฆษณา!$4:$6</definedName>
    <definedName name="_xlnm.Print_Titles" localSheetId="14">งานบ้านงานครัว!$4:$6</definedName>
    <definedName name="_xlnm.Print_Titles" localSheetId="1">ตัดจำหน่าย2567!$4:$6</definedName>
    <definedName name="_xlnm.Print_Titles" localSheetId="5">แบบกข.!$4:$5</definedName>
    <definedName name="_xlnm.Print_Titles" localSheetId="11">ไฟฟ้าและวิทยุ!$4:$6</definedName>
    <definedName name="_xlnm.Print_Titles" localSheetId="9">ยานพาหนะฯ!$4:$6</definedName>
    <definedName name="_xlnm.Print_Titles" localSheetId="15">โรงงาน!$4:$6</definedName>
    <definedName name="_xlnm.Print_Titles" localSheetId="13">วิทยาศาสตร์!$4:$6</definedName>
    <definedName name="_xlnm.Print_Titles" localSheetId="18">ศึกษา!$4:$6</definedName>
    <definedName name="_xlnm.Print_Titles" localSheetId="20">'ส่งคลัง (ต)'!$4:$6</definedName>
    <definedName name="_xlnm.Print_Titles" localSheetId="8">สำนักงาน!$4:$6</definedName>
    <definedName name="_xlnm.Print_Titles" localSheetId="7">สิ่งปลูกสร้าง!$4:$6</definedName>
    <definedName name="_xlnm.Print_Titles" localSheetId="6">อาคาร!$4:$6</definedName>
    <definedName name="_xlnm.Print_Titles" localSheetId="16">อื่นๆ!$4:$6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2" l="1"/>
  <c r="C33" i="22"/>
  <c r="C32" i="22"/>
  <c r="C31" i="22"/>
  <c r="C30" i="22"/>
  <c r="C29" i="22"/>
  <c r="C28" i="22"/>
  <c r="C22" i="22"/>
  <c r="C21" i="22"/>
  <c r="A152" i="31"/>
  <c r="C8" i="22"/>
  <c r="C273" i="22"/>
  <c r="C274" i="22" s="1"/>
  <c r="C270" i="22"/>
  <c r="C271" i="22" s="1"/>
  <c r="A18" i="30"/>
  <c r="A18" i="24"/>
  <c r="C263" i="22"/>
  <c r="C261" i="22"/>
  <c r="C254" i="22"/>
  <c r="C255" i="22" s="1"/>
  <c r="A32" i="14"/>
  <c r="C245" i="22"/>
  <c r="C231" i="22"/>
  <c r="C228" i="22"/>
  <c r="A98" i="19"/>
  <c r="C223" i="22"/>
  <c r="C215" i="22"/>
  <c r="C210" i="22"/>
  <c r="C209" i="22"/>
  <c r="C208" i="22"/>
  <c r="C207" i="22"/>
  <c r="A36" i="15"/>
  <c r="C202" i="22"/>
  <c r="C204" i="22" s="1"/>
  <c r="C182" i="22"/>
  <c r="C156" i="22"/>
  <c r="A82" i="20"/>
  <c r="C161" i="22"/>
  <c r="C160" i="22"/>
  <c r="C159" i="22"/>
  <c r="C157" i="22"/>
  <c r="C154" i="22"/>
  <c r="C152" i="22"/>
  <c r="C150" i="22"/>
  <c r="C149" i="22"/>
  <c r="C144" i="22"/>
  <c r="C143" i="22"/>
  <c r="C141" i="22"/>
  <c r="C138" i="22"/>
  <c r="C137" i="22"/>
  <c r="C136" i="22"/>
  <c r="C135" i="22"/>
  <c r="C134" i="22"/>
  <c r="C133" i="22"/>
  <c r="C129" i="22"/>
  <c r="C132" i="22"/>
  <c r="C131" i="22"/>
  <c r="C128" i="22"/>
  <c r="E35" i="22"/>
  <c r="C127" i="22"/>
  <c r="C126" i="22"/>
  <c r="A196" i="18"/>
  <c r="A56" i="13"/>
  <c r="C116" i="22"/>
  <c r="C115" i="22"/>
  <c r="A136" i="12"/>
  <c r="C107" i="22"/>
  <c r="C101" i="22"/>
  <c r="C99" i="22"/>
  <c r="C98" i="22"/>
  <c r="C90" i="22"/>
  <c r="C89" i="22"/>
  <c r="C88" i="22"/>
  <c r="C112" i="22" s="1"/>
  <c r="A1299" i="16"/>
  <c r="C81" i="22"/>
  <c r="C80" i="22"/>
  <c r="C79" i="22"/>
  <c r="C78" i="22"/>
  <c r="C77" i="22"/>
  <c r="C76" i="22"/>
  <c r="C74" i="22"/>
  <c r="C72" i="22"/>
  <c r="C71" i="22"/>
  <c r="C69" i="22"/>
  <c r="C67" i="22"/>
  <c r="C66" i="22"/>
  <c r="C64" i="22"/>
  <c r="C60" i="22"/>
  <c r="C61" i="22"/>
  <c r="C57" i="22"/>
  <c r="C53" i="22"/>
  <c r="C52" i="22"/>
  <c r="C49" i="22"/>
  <c r="C48" i="22"/>
  <c r="C47" i="22"/>
  <c r="C46" i="22"/>
  <c r="C45" i="22"/>
  <c r="C44" i="22"/>
  <c r="C43" i="22"/>
  <c r="C41" i="22"/>
  <c r="C40" i="22"/>
  <c r="C39" i="22"/>
  <c r="E204" i="8"/>
  <c r="E193" i="8"/>
  <c r="E187" i="8"/>
  <c r="F46" i="22" s="1"/>
  <c r="E154" i="8"/>
  <c r="E146" i="8"/>
  <c r="F41" i="22" s="1"/>
  <c r="E24" i="8"/>
  <c r="F40" i="22" s="1"/>
  <c r="E274" i="22"/>
  <c r="E138" i="22"/>
  <c r="E146" i="22" s="1"/>
  <c r="E210" i="8"/>
  <c r="F138" i="22" s="1"/>
  <c r="F146" i="22" s="1"/>
  <c r="E115" i="22"/>
  <c r="E123" i="22" s="1"/>
  <c r="E46" i="22"/>
  <c r="E44" i="22"/>
  <c r="E41" i="22"/>
  <c r="E40" i="22"/>
  <c r="E61" i="22"/>
  <c r="A197" i="8"/>
  <c r="E76" i="22" s="1"/>
  <c r="E222" i="23"/>
  <c r="D273" i="22" s="1"/>
  <c r="D274" i="22" s="1"/>
  <c r="E10" i="14"/>
  <c r="D228" i="22" s="1"/>
  <c r="E28" i="20"/>
  <c r="D152" i="22" s="1"/>
  <c r="E21" i="20"/>
  <c r="D150" i="22" s="1"/>
  <c r="E15" i="20"/>
  <c r="D149" i="22" s="1"/>
  <c r="E14" i="18"/>
  <c r="D126" i="22" s="1"/>
  <c r="E37" i="13"/>
  <c r="D115" i="22" s="1"/>
  <c r="E54" i="13"/>
  <c r="E1106" i="16"/>
  <c r="D57" i="22" s="1"/>
  <c r="E971" i="16"/>
  <c r="D46" i="22" s="1"/>
  <c r="E831" i="16"/>
  <c r="D45" i="22" s="1"/>
  <c r="E827" i="16"/>
  <c r="D44" i="22" s="1"/>
  <c r="E802" i="16"/>
  <c r="D43" i="22" s="1"/>
  <c r="E764" i="16"/>
  <c r="D41" i="22" s="1"/>
  <c r="E274" i="16"/>
  <c r="D40" i="22" s="1"/>
  <c r="E40" i="16"/>
  <c r="D39" i="22" s="1"/>
  <c r="E118" i="31"/>
  <c r="D22" i="22" s="1"/>
  <c r="E14" i="34"/>
  <c r="C251" i="22" l="1"/>
  <c r="C162" i="22"/>
  <c r="C224" i="22"/>
  <c r="E56" i="13"/>
  <c r="C35" i="22"/>
  <c r="C123" i="22"/>
  <c r="D116" i="22"/>
  <c r="D123" i="22" s="1"/>
  <c r="E85" i="22"/>
  <c r="E276" i="22"/>
  <c r="C85" i="22"/>
  <c r="C146" i="22"/>
  <c r="A265" i="8"/>
  <c r="E263" i="8" l="1"/>
  <c r="F115" i="22"/>
  <c r="F123" i="22" s="1"/>
  <c r="E197" i="8"/>
  <c r="F76" i="22" s="1"/>
  <c r="E1231" i="16"/>
  <c r="D74" i="22" s="1"/>
  <c r="F274" i="22" l="1"/>
  <c r="E265" i="8"/>
  <c r="E132" i="12"/>
  <c r="D101" i="22" s="1"/>
  <c r="E24" i="12"/>
  <c r="D88" i="22" s="1"/>
  <c r="E1237" i="16"/>
  <c r="D76" i="22" s="1"/>
  <c r="E977" i="16"/>
  <c r="D47" i="22" s="1"/>
  <c r="E138" i="31"/>
  <c r="D30" i="22" s="1"/>
  <c r="E9" i="31"/>
  <c r="D21" i="22" s="1"/>
  <c r="E16" i="34"/>
  <c r="D8" i="22" s="1"/>
  <c r="H157" i="43"/>
  <c r="J152" i="43"/>
  <c r="J156" i="43" s="1"/>
  <c r="J134" i="43"/>
  <c r="H58" i="40"/>
  <c r="J57" i="40"/>
  <c r="J33" i="40"/>
  <c r="J25" i="40"/>
  <c r="I139" i="42"/>
  <c r="I129" i="42"/>
  <c r="I65" i="42"/>
  <c r="E13" i="24"/>
  <c r="E42" i="19"/>
  <c r="D208" i="22" s="1"/>
  <c r="E64" i="20"/>
  <c r="D157" i="22" s="1"/>
  <c r="E31" i="18"/>
  <c r="D129" i="22" s="1"/>
  <c r="E25" i="18"/>
  <c r="D128" i="22" s="1"/>
  <c r="E97" i="12"/>
  <c r="D98" i="22" s="1"/>
  <c r="E89" i="12"/>
  <c r="D90" i="22" s="1"/>
  <c r="E61" i="12"/>
  <c r="D261" i="22" l="1"/>
  <c r="M177" i="39"/>
  <c r="E1291" i="16"/>
  <c r="D79" i="22" s="1"/>
  <c r="E52" i="19"/>
  <c r="D209" i="22" s="1"/>
  <c r="E15" i="30"/>
  <c r="E34" i="15"/>
  <c r="D202" i="22" s="1"/>
  <c r="E37" i="20"/>
  <c r="D156" i="22" s="1"/>
  <c r="E32" i="20"/>
  <c r="D154" i="22" s="1"/>
  <c r="E72" i="20"/>
  <c r="D159" i="22" s="1"/>
  <c r="E76" i="20"/>
  <c r="D160" i="22" s="1"/>
  <c r="E80" i="20"/>
  <c r="E124" i="18"/>
  <c r="D135" i="22" s="1"/>
  <c r="E20" i="18"/>
  <c r="D127" i="22" s="1"/>
  <c r="E102" i="18"/>
  <c r="D132" i="22" s="1"/>
  <c r="E188" i="18"/>
  <c r="D141" i="22" s="1"/>
  <c r="E1224" i="16"/>
  <c r="D72" i="22" s="1"/>
  <c r="E82" i="20" l="1"/>
  <c r="D161" i="22"/>
  <c r="D162" i="22" s="1"/>
  <c r="F44" i="22"/>
  <c r="F61" i="22"/>
  <c r="F85" i="22" s="1"/>
  <c r="F276" i="22" s="1"/>
  <c r="E150" i="31" l="1"/>
  <c r="E147" i="31"/>
  <c r="D33" i="22" s="1"/>
  <c r="E144" i="31"/>
  <c r="D32" i="22" s="1"/>
  <c r="E141" i="31"/>
  <c r="D31" i="22" s="1"/>
  <c r="E124" i="31"/>
  <c r="D29" i="22" s="1"/>
  <c r="E121" i="31"/>
  <c r="D28" i="22" s="1"/>
  <c r="D34" i="22" l="1"/>
  <c r="D35" i="22" s="1"/>
  <c r="E152" i="31"/>
  <c r="E1297" i="16"/>
  <c r="D81" i="22" s="1"/>
  <c r="E1294" i="16"/>
  <c r="D80" i="22" s="1"/>
  <c r="E1249" i="16"/>
  <c r="D78" i="22" s="1"/>
  <c r="E1245" i="16"/>
  <c r="D77" i="22" s="1"/>
  <c r="E1220" i="16"/>
  <c r="D71" i="22" s="1"/>
  <c r="E1211" i="16"/>
  <c r="D69" i="22" s="1"/>
  <c r="E1192" i="16"/>
  <c r="D67" i="22" s="1"/>
  <c r="E1136" i="16"/>
  <c r="D66" i="22" s="1"/>
  <c r="E1124" i="16"/>
  <c r="D64" i="22" s="1"/>
  <c r="E1119" i="16"/>
  <c r="D61" i="22" s="1"/>
  <c r="E1113" i="16"/>
  <c r="D60" i="22" s="1"/>
  <c r="E994" i="16"/>
  <c r="D53" i="22" s="1"/>
  <c r="E988" i="16"/>
  <c r="D52" i="22" s="1"/>
  <c r="E984" i="16"/>
  <c r="D49" i="22" s="1"/>
  <c r="E981" i="16"/>
  <c r="D48" i="22" s="1"/>
  <c r="D85" i="22" l="1"/>
  <c r="E1299" i="16"/>
  <c r="E180" i="18"/>
  <c r="D137" i="22" s="1"/>
  <c r="E128" i="12" l="1"/>
  <c r="D99" i="22" s="1"/>
  <c r="E62" i="12"/>
  <c r="D89" i="22" s="1"/>
  <c r="E17" i="15" l="1"/>
  <c r="D182" i="22" s="1"/>
  <c r="D204" i="22" s="1"/>
  <c r="E224" i="23" l="1"/>
  <c r="E29" i="21" l="1"/>
  <c r="E31" i="21" l="1"/>
  <c r="D254" i="22"/>
  <c r="D255" i="22" s="1"/>
  <c r="E18" i="30"/>
  <c r="D270" i="22" s="1"/>
  <c r="D271" i="22" s="1"/>
  <c r="C268" i="22" l="1"/>
  <c r="C276" i="22" s="1"/>
  <c r="E109" i="18" l="1"/>
  <c r="D134" i="22" s="1"/>
  <c r="E71" i="18"/>
  <c r="D131" i="22" s="1"/>
  <c r="E194" i="18"/>
  <c r="D144" i="22" l="1"/>
  <c r="E22" i="19"/>
  <c r="D207" i="22" s="1"/>
  <c r="E86" i="19"/>
  <c r="D210" i="22" s="1"/>
  <c r="E92" i="19"/>
  <c r="D215" i="22" s="1"/>
  <c r="E191" i="18" l="1"/>
  <c r="E183" i="18"/>
  <c r="D138" i="22" s="1"/>
  <c r="D143" i="22" l="1"/>
  <c r="E27" i="14"/>
  <c r="D231" i="22" s="1"/>
  <c r="E30" i="14"/>
  <c r="E32" i="14" l="1"/>
  <c r="D245" i="22"/>
  <c r="D251" i="22" s="1"/>
  <c r="E16" i="24"/>
  <c r="E135" i="12"/>
  <c r="E96" i="19"/>
  <c r="D223" i="22" s="1"/>
  <c r="D224" i="22" s="1"/>
  <c r="E128" i="18"/>
  <c r="E105" i="18"/>
  <c r="D133" i="22" s="1"/>
  <c r="E36" i="15"/>
  <c r="D136" i="22" l="1"/>
  <c r="D146" i="22" s="1"/>
  <c r="E196" i="18"/>
  <c r="E136" i="12"/>
  <c r="D107" i="22"/>
  <c r="D112" i="22" s="1"/>
  <c r="D263" i="22"/>
  <c r="D268" i="22" s="1"/>
  <c r="D276" i="22" s="1"/>
  <c r="E18" i="24"/>
  <c r="E98" i="19"/>
  <c r="F32" i="12"/>
  <c r="H55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RAJAWADEE</author>
  </authors>
  <commentList>
    <comment ref="F9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27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 xml:space="preserve">บันทึก ที่ ลป 52003/406 ลงวันที่ 1 พฤศจิกายน 2565
</t>
        </r>
      </text>
    </comment>
    <comment ref="F308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บันทึก ที่ ลป52001 (บ.ส.)/131 ลงวันที่ 28 ตุลาคม 2565
ขออนุมัติโอนครุภัณฑ์ จำนวน 14 รายการ
</t>
        </r>
      </text>
    </comment>
    <comment ref="F62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632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76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บันทึก ที่ ลป 52003/406 ลงวันที่ 1 พฤศจิกายน 2565
</t>
        </r>
      </text>
    </comment>
    <comment ref="F966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 xml:space="preserve">บันทึก ที่ ลป52003/406 ลงวันที่ 1 พฤศจิกายน 2565
</t>
        </r>
      </text>
    </comment>
    <comment ref="F122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 xml:space="preserve">บันทึก ที่ ลป52003/398 ลงวันที่ 27 ตุลาคม 2565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RAJAWADEE</author>
  </authors>
  <commentList>
    <comment ref="F168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บันทึกที่ ลป52003/402 ลงวัที่ 31 ตุลาคม 2564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RAJAWADEE</author>
  </authors>
  <commentList>
    <comment ref="F23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23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  <comment ref="F23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บันทึก ที่ ลป52001 (บ.ส.)/131 ลงวันที่ 28 ตุลาคม 2565
ขออนุมัติโอนครุภัณฑ์ จำนวน 14 รายการ</t>
        </r>
      </text>
    </comment>
  </commentList>
</comments>
</file>

<file path=xl/sharedStrings.xml><?xml version="1.0" encoding="utf-8"?>
<sst xmlns="http://schemas.openxmlformats.org/spreadsheetml/2006/main" count="13391" uniqueCount="4038">
  <si>
    <t>รายการ</t>
  </si>
  <si>
    <t>รหัสครุภัณฑ์</t>
  </si>
  <si>
    <t>ราคาที่ได้มา</t>
  </si>
  <si>
    <t>เก้าอี้ทำงาน</t>
  </si>
  <si>
    <t>เครื่องสำรองไฟ</t>
  </si>
  <si>
    <t>ซีพียูคอมพิวเตอร์</t>
  </si>
  <si>
    <t>โต๊ะทำงานขนาด 120x60x75 cm</t>
  </si>
  <si>
    <t>เก้าอี้สำนักงานพนักพิงตาข่าย</t>
  </si>
  <si>
    <t>ตู้เก็บแบบฟอร์ม 10 ลิ้นชัก SmartForm</t>
  </si>
  <si>
    <t>ตู้เก็บเอกสารบานเลื่อนทึบ 5SC820</t>
  </si>
  <si>
    <t>โต๊ะวางคอมพิวเตอร์ขนาด 80x60x75 cm</t>
  </si>
  <si>
    <t>416-52-0540</t>
  </si>
  <si>
    <t>416-51-0345</t>
  </si>
  <si>
    <t>416-52-0550</t>
  </si>
  <si>
    <t>416-52-0538</t>
  </si>
  <si>
    <t>จอคอมพิวเตอร์</t>
  </si>
  <si>
    <t>416-59-0851</t>
  </si>
  <si>
    <t>416-59-0852</t>
  </si>
  <si>
    <t>416-59-0849</t>
  </si>
  <si>
    <t>416-59-0850</t>
  </si>
  <si>
    <t>416-59-0837</t>
  </si>
  <si>
    <t>416-59-0838</t>
  </si>
  <si>
    <t>Printer HL-3170CDW</t>
  </si>
  <si>
    <t>416-59-0841</t>
  </si>
  <si>
    <t>Printer Epson L360</t>
  </si>
  <si>
    <t>416-61-1314</t>
  </si>
  <si>
    <t>รายละเอียดครุภัณฑ์ สำนักปลัดเทศบาล</t>
  </si>
  <si>
    <t>สภาพครุภัณฑ์</t>
  </si>
  <si>
    <t>วัน เดือน ปี</t>
  </si>
  <si>
    <t>สถานที่ใช้งาน</t>
  </si>
  <si>
    <t>ใช้ได้</t>
  </si>
  <si>
    <t>ชำรุด</t>
  </si>
  <si>
    <t>เสื่อม</t>
  </si>
  <si>
    <t>สูญหาย</t>
  </si>
  <si>
    <t>เก็บ</t>
  </si>
  <si>
    <t>หมดความ</t>
  </si>
  <si>
    <t>หมายเหตุ</t>
  </si>
  <si>
    <t>ที่ได้มา</t>
  </si>
  <si>
    <t>สภาพ</t>
  </si>
  <si>
    <t>ไว้นาน</t>
  </si>
  <si>
    <t>จำเป็น</t>
  </si>
  <si>
    <t>ป้ายสำหรับปิดประกาศ (081)</t>
  </si>
  <si>
    <t>ป้ายสำหรับปิดประกาศ (ตามอาคารและหน้าห้องประชุม)</t>
  </si>
  <si>
    <t>081-41-0002</t>
  </si>
  <si>
    <t>ฝ่ายบริหาร</t>
  </si>
  <si>
    <t>/</t>
  </si>
  <si>
    <t>ป้ายสำหรับปิดประกาศ (ตามอาคาร)</t>
  </si>
  <si>
    <t>081-41-0003</t>
  </si>
  <si>
    <t>081-41-0005</t>
  </si>
  <si>
    <t>081-41-0006</t>
  </si>
  <si>
    <t>081-41-0007</t>
  </si>
  <si>
    <t>ป้ายสแตนเลสลอยตัว (ตามอาคาร)</t>
  </si>
  <si>
    <t>081-42-0008</t>
  </si>
  <si>
    <t>ป้ายสแตนเลสลอยตัว (สำนักปลัด)</t>
  </si>
  <si>
    <t>081-42-0009</t>
  </si>
  <si>
    <t>081-42-0010</t>
  </si>
  <si>
    <t>081-42-0011</t>
  </si>
  <si>
    <t>081-42-0012</t>
  </si>
  <si>
    <t>081-42-0013</t>
  </si>
  <si>
    <t>081-42-0014</t>
  </si>
  <si>
    <t>ป้ายบอกตำแหน่งอาคาร (สำนักปลัด)</t>
  </si>
  <si>
    <t>081-42-0015</t>
  </si>
  <si>
    <t>081-42-0016</t>
  </si>
  <si>
    <t>081-42-0017</t>
  </si>
  <si>
    <t>รวม</t>
  </si>
  <si>
    <t>โต๊ะ (400)</t>
  </si>
  <si>
    <t>โต๊ะตั้งเครื่องพิมพ์ดีด(ห้องราชาวดี)</t>
  </si>
  <si>
    <t>400-19-0153</t>
  </si>
  <si>
    <t>โต๊ะวางเครื่องปริ้นเตอร์</t>
  </si>
  <si>
    <t>400-41-3727</t>
  </si>
  <si>
    <t>โต๊ะวางเครื่องสแกนเนอร์</t>
  </si>
  <si>
    <t>โต๊ะคอมพิวเตอร์</t>
  </si>
  <si>
    <t>400-43-3761</t>
  </si>
  <si>
    <t>โต๊ะวางอุปกรณ์เครื่องเสียง</t>
  </si>
  <si>
    <t>400-42-3764</t>
  </si>
  <si>
    <t>โต๊ะทำงานระดับ 7-8 พร้อมเก้าอี้</t>
  </si>
  <si>
    <t>400-44-4488</t>
  </si>
  <si>
    <t>400-44-4491</t>
  </si>
  <si>
    <t>400-44-4502</t>
  </si>
  <si>
    <t>400-46-5369</t>
  </si>
  <si>
    <t xml:space="preserve">โต๊ะทำงานผู้บริหาร </t>
  </si>
  <si>
    <t>400-48-5453</t>
  </si>
  <si>
    <t>400-48-5454</t>
  </si>
  <si>
    <t>400-48-5455</t>
  </si>
  <si>
    <t>400-48-5456</t>
  </si>
  <si>
    <t>หัวมุมโต๊ะทำงาน</t>
  </si>
  <si>
    <t>400-48-5457</t>
  </si>
  <si>
    <t>โต๊ะกลาง</t>
  </si>
  <si>
    <t>400-48-5461</t>
  </si>
  <si>
    <t>โต๊ะกลางกระจก</t>
  </si>
  <si>
    <t>400-48-5462</t>
  </si>
  <si>
    <t>400-48-5463</t>
  </si>
  <si>
    <t xml:space="preserve">โต๊ะทำงานผิวเมลามีน </t>
  </si>
  <si>
    <t>400-49-5688</t>
  </si>
  <si>
    <t>400-49-5689</t>
  </si>
  <si>
    <t>โต๊ะวางของ</t>
  </si>
  <si>
    <t>400-49-5690</t>
  </si>
  <si>
    <t>โต๊ะเหล็กทำงาน</t>
  </si>
  <si>
    <t>400-50-5700</t>
  </si>
  <si>
    <t>โต๊ะประชุม</t>
  </si>
  <si>
    <t>400-51-5757</t>
  </si>
  <si>
    <t>400-51-5758</t>
  </si>
  <si>
    <t>400-51-5759</t>
  </si>
  <si>
    <t>400-51-5760</t>
  </si>
  <si>
    <t>400-51-5761</t>
  </si>
  <si>
    <t>400-51-5762</t>
  </si>
  <si>
    <t>400-51-5763</t>
  </si>
  <si>
    <t>400-51-5764</t>
  </si>
  <si>
    <t>400-51-5765</t>
  </si>
  <si>
    <t>400-52-5771</t>
  </si>
  <si>
    <t>400-52-5772</t>
  </si>
  <si>
    <t>400-52-5773</t>
  </si>
  <si>
    <t>400-52-5774</t>
  </si>
  <si>
    <t>400-52-5775</t>
  </si>
  <si>
    <t>400-52-5776</t>
  </si>
  <si>
    <t>400-52-5777</t>
  </si>
  <si>
    <t>400-52-5778</t>
  </si>
  <si>
    <t>400-52-5779</t>
  </si>
  <si>
    <t>400-52-5880</t>
  </si>
  <si>
    <t>400-52-5930</t>
  </si>
  <si>
    <t>400-52-5931</t>
  </si>
  <si>
    <t>400-52-5932</t>
  </si>
  <si>
    <t xml:space="preserve">โต๊ะทำงาน </t>
  </si>
  <si>
    <t>400-56-6010</t>
  </si>
  <si>
    <t>400-56-6011</t>
  </si>
  <si>
    <t>400-56-6012</t>
  </si>
  <si>
    <t>400-56-6013</t>
  </si>
  <si>
    <t>400-56-6016</t>
  </si>
  <si>
    <t xml:space="preserve">โต๊ะประชุมสำหรับห้องทำงาน หน้าโต๊ะเป็นกระจก </t>
  </si>
  <si>
    <t>400-62-6498</t>
  </si>
  <si>
    <t>400-62-6534</t>
  </si>
  <si>
    <t>400-62-6535</t>
  </si>
  <si>
    <t>400-62-6536</t>
  </si>
  <si>
    <t>400-62-6537</t>
  </si>
  <si>
    <t>400-62-6538</t>
  </si>
  <si>
    <t>400-62-6539</t>
  </si>
  <si>
    <t>400-62-6540</t>
  </si>
  <si>
    <t>400-62-6541</t>
  </si>
  <si>
    <t>400-62-6542</t>
  </si>
  <si>
    <t>400-62-6543</t>
  </si>
  <si>
    <t>400-62-6544</t>
  </si>
  <si>
    <t>400-62-6545</t>
  </si>
  <si>
    <t>400-62-6546</t>
  </si>
  <si>
    <t>400-62-6547</t>
  </si>
  <si>
    <t>ลำดับ</t>
  </si>
  <si>
    <t>ที่</t>
  </si>
  <si>
    <t>400-62-6548</t>
  </si>
  <si>
    <t>400-62-6549</t>
  </si>
  <si>
    <t>400-62-6550</t>
  </si>
  <si>
    <t>400-62-6551</t>
  </si>
  <si>
    <t>400-62-6552</t>
  </si>
  <si>
    <t>400-62-6553</t>
  </si>
  <si>
    <t>400-62-6554</t>
  </si>
  <si>
    <t>400-62-6555</t>
  </si>
  <si>
    <t>400-62-6556</t>
  </si>
  <si>
    <t>400-62-6557</t>
  </si>
  <si>
    <t>400-62-6558</t>
  </si>
  <si>
    <t>400-62-6559</t>
  </si>
  <si>
    <t>400-62-6560</t>
  </si>
  <si>
    <t>400-62-6561</t>
  </si>
  <si>
    <t>400-62-6562</t>
  </si>
  <si>
    <t>400-62-6563</t>
  </si>
  <si>
    <t>400-62-6564</t>
  </si>
  <si>
    <t>400-62-6565</t>
  </si>
  <si>
    <t>400-62-6566</t>
  </si>
  <si>
    <t>400-62-6567</t>
  </si>
  <si>
    <t>400-62-6568</t>
  </si>
  <si>
    <t>400-62-6569</t>
  </si>
  <si>
    <t>400-62-6570</t>
  </si>
  <si>
    <t>400-62-6571</t>
  </si>
  <si>
    <t>400-62-6572</t>
  </si>
  <si>
    <t>400-62-6573</t>
  </si>
  <si>
    <t>400-62-6574</t>
  </si>
  <si>
    <t>400-62-6575</t>
  </si>
  <si>
    <t>400-62-6576</t>
  </si>
  <si>
    <t>400-62-6577</t>
  </si>
  <si>
    <t>400-62-6578</t>
  </si>
  <si>
    <t>400-62-6579</t>
  </si>
  <si>
    <t>400-62-6580</t>
  </si>
  <si>
    <t>400-62-6581</t>
  </si>
  <si>
    <t>400-62-6582</t>
  </si>
  <si>
    <t>400-62-6583</t>
  </si>
  <si>
    <t>400-62-6584</t>
  </si>
  <si>
    <t>400-62-6585</t>
  </si>
  <si>
    <t>400-62-6586</t>
  </si>
  <si>
    <t>400-62-6587</t>
  </si>
  <si>
    <t>400-62-6588</t>
  </si>
  <si>
    <t>400-62-6589</t>
  </si>
  <si>
    <t>400-62-6592</t>
  </si>
  <si>
    <t>400-62-6593</t>
  </si>
  <si>
    <t>เก้าอี้ (401)</t>
  </si>
  <si>
    <t>เก้าอี้</t>
  </si>
  <si>
    <t>401-40-2807</t>
  </si>
  <si>
    <t>เก้าอี้โครงสร้างเหล็ก</t>
  </si>
  <si>
    <t>401-40-3388</t>
  </si>
  <si>
    <t>401-40-3389</t>
  </si>
  <si>
    <t>401-40-3390</t>
  </si>
  <si>
    <t>401-40-3391</t>
  </si>
  <si>
    <t>401-40-3392</t>
  </si>
  <si>
    <t>401-40-3393</t>
  </si>
  <si>
    <t>401-40-3394</t>
  </si>
  <si>
    <t>401-40-3395</t>
  </si>
  <si>
    <t>401-40-3410</t>
  </si>
  <si>
    <t>401-40-3411</t>
  </si>
  <si>
    <t>401-40-3412</t>
  </si>
  <si>
    <t>401-40-3413</t>
  </si>
  <si>
    <t>401-40-3414</t>
  </si>
  <si>
    <t>401-40-3415</t>
  </si>
  <si>
    <t>401-40-3416</t>
  </si>
  <si>
    <t>401-40-3417</t>
  </si>
  <si>
    <t>401-40-3418</t>
  </si>
  <si>
    <t>401-40-3419</t>
  </si>
  <si>
    <t>401-40-3420</t>
  </si>
  <si>
    <t>401-40-3421</t>
  </si>
  <si>
    <t>401-40-3422</t>
  </si>
  <si>
    <t>401-40-3423</t>
  </si>
  <si>
    <t>401-40-3424</t>
  </si>
  <si>
    <t>401-40-3425</t>
  </si>
  <si>
    <t>401-40-3426</t>
  </si>
  <si>
    <t>401-40-3427</t>
  </si>
  <si>
    <t>401-40-3428</t>
  </si>
  <si>
    <t>401-40-3429</t>
  </si>
  <si>
    <t>401-40-3430</t>
  </si>
  <si>
    <t>401-40-3431</t>
  </si>
  <si>
    <t>401-40-3432</t>
  </si>
  <si>
    <t>401-40-3433</t>
  </si>
  <si>
    <t>401-40-3434</t>
  </si>
  <si>
    <t>401-40-3435</t>
  </si>
  <si>
    <t>401-40-3436</t>
  </si>
  <si>
    <t>401-40-3437</t>
  </si>
  <si>
    <t>401-40-3438</t>
  </si>
  <si>
    <t>401-40-3439</t>
  </si>
  <si>
    <t>401-40-3440</t>
  </si>
  <si>
    <t>401-40-3441</t>
  </si>
  <si>
    <t>401-40-3442</t>
  </si>
  <si>
    <t>401-40-3443</t>
  </si>
  <si>
    <t>401-40-3444</t>
  </si>
  <si>
    <t>401-40-3445</t>
  </si>
  <si>
    <t>401-40-3446</t>
  </si>
  <si>
    <t>401-40-3447</t>
  </si>
  <si>
    <t>401-40-3448</t>
  </si>
  <si>
    <t>401-40-3449</t>
  </si>
  <si>
    <t>401-40-3450</t>
  </si>
  <si>
    <t>401-40-3451</t>
  </si>
  <si>
    <t>401-40-3452</t>
  </si>
  <si>
    <t>401-40-3453</t>
  </si>
  <si>
    <t>401-40-3454</t>
  </si>
  <si>
    <t>401-40-3455</t>
  </si>
  <si>
    <t>401-40-3456</t>
  </si>
  <si>
    <t>401-40-3457</t>
  </si>
  <si>
    <t>401-40-3458</t>
  </si>
  <si>
    <t>401-40-3459</t>
  </si>
  <si>
    <t>401-40-3460</t>
  </si>
  <si>
    <t>401-40-3461</t>
  </si>
  <si>
    <t>401-40-3462</t>
  </si>
  <si>
    <t>401-40-3463</t>
  </si>
  <si>
    <t>401-40-3464</t>
  </si>
  <si>
    <t>401-40-3465</t>
  </si>
  <si>
    <t>401-40-3466</t>
  </si>
  <si>
    <t>401-40-3467</t>
  </si>
  <si>
    <t>401-40-3468</t>
  </si>
  <si>
    <t>401-40-3469</t>
  </si>
  <si>
    <t>401-40-3470</t>
  </si>
  <si>
    <t>401-40-3471</t>
  </si>
  <si>
    <t>401-40-3472</t>
  </si>
  <si>
    <t>401-40-3473</t>
  </si>
  <si>
    <t>401-40-3474</t>
  </si>
  <si>
    <t>401-40-3475</t>
  </si>
  <si>
    <t>401-40-3476</t>
  </si>
  <si>
    <t>401-40-3477</t>
  </si>
  <si>
    <t>401-40-3478</t>
  </si>
  <si>
    <t>401-40-3479</t>
  </si>
  <si>
    <t>401-40-3480</t>
  </si>
  <si>
    <t>401-40-3481</t>
  </si>
  <si>
    <t>401-40-3482</t>
  </si>
  <si>
    <t>401-40-3483</t>
  </si>
  <si>
    <t>401-40-3484</t>
  </si>
  <si>
    <t>401-40-3485</t>
  </si>
  <si>
    <t>401-40-3486</t>
  </si>
  <si>
    <t>401-40-3487</t>
  </si>
  <si>
    <t>401-40-3488</t>
  </si>
  <si>
    <t>401-40-3489</t>
  </si>
  <si>
    <t>401-40-3490</t>
  </si>
  <si>
    <t>401-40-3491</t>
  </si>
  <si>
    <t>401-40-3492</t>
  </si>
  <si>
    <t>401-40-3493</t>
  </si>
  <si>
    <t>401-40-3494</t>
  </si>
  <si>
    <t>401-40-3495</t>
  </si>
  <si>
    <t>401-40-3496</t>
  </si>
  <si>
    <t>401-40-3497</t>
  </si>
  <si>
    <t>401-40-3498</t>
  </si>
  <si>
    <t>401-40-3499</t>
  </si>
  <si>
    <t>401-40-3500</t>
  </si>
  <si>
    <t>401-40-3501</t>
  </si>
  <si>
    <t>401-40-3502</t>
  </si>
  <si>
    <t>401-40-3503</t>
  </si>
  <si>
    <t>401-40-3504</t>
  </si>
  <si>
    <t>401-40-3505</t>
  </si>
  <si>
    <t>401-40-3506</t>
  </si>
  <si>
    <t>401-40-3507</t>
  </si>
  <si>
    <t>401-40-3508</t>
  </si>
  <si>
    <t>401-40-3509</t>
  </si>
  <si>
    <t>401-40-3510</t>
  </si>
  <si>
    <t>401-40-3511</t>
  </si>
  <si>
    <t>401-40-3512</t>
  </si>
  <si>
    <t>401-40-3513</t>
  </si>
  <si>
    <t>401-40-3514</t>
  </si>
  <si>
    <t>401-40-3515</t>
  </si>
  <si>
    <t>401-40-3516</t>
  </si>
  <si>
    <t>401-40-3517</t>
  </si>
  <si>
    <t>401-40-3518</t>
  </si>
  <si>
    <t>401-40-3519</t>
  </si>
  <si>
    <t>401-40-3520</t>
  </si>
  <si>
    <t>401-40-3521</t>
  </si>
  <si>
    <t>401-40-3522</t>
  </si>
  <si>
    <t>401-40-3523</t>
  </si>
  <si>
    <t>401-40-3524</t>
  </si>
  <si>
    <t>401-40-3525</t>
  </si>
  <si>
    <t>401-40-3526</t>
  </si>
  <si>
    <t>401-40-3527</t>
  </si>
  <si>
    <t>401-40-3528</t>
  </si>
  <si>
    <t>401-40-3529</t>
  </si>
  <si>
    <t>401-40-3530</t>
  </si>
  <si>
    <t>401-40-3531</t>
  </si>
  <si>
    <t>401-40-3532</t>
  </si>
  <si>
    <t>401-40-3533</t>
  </si>
  <si>
    <t>401-40-3534</t>
  </si>
  <si>
    <t>401-40-3535</t>
  </si>
  <si>
    <t>401-40-3536</t>
  </si>
  <si>
    <t>401-40-3537</t>
  </si>
  <si>
    <t>401-40-3538</t>
  </si>
  <si>
    <t>401-40-3539</t>
  </si>
  <si>
    <t>401-40-3540</t>
  </si>
  <si>
    <t>401-40-3541</t>
  </si>
  <si>
    <t>401-40-3542</t>
  </si>
  <si>
    <t>401-40-3543</t>
  </si>
  <si>
    <t>401-40-3544</t>
  </si>
  <si>
    <t>401-40-3545</t>
  </si>
  <si>
    <t>401-40-3546</t>
  </si>
  <si>
    <t>401-40-3547</t>
  </si>
  <si>
    <t>401-40-3548</t>
  </si>
  <si>
    <t>401-40-3588</t>
  </si>
  <si>
    <t>401-40-3589</t>
  </si>
  <si>
    <t>401-40-3590</t>
  </si>
  <si>
    <t>401-40-3591</t>
  </si>
  <si>
    <t>401-40-3592</t>
  </si>
  <si>
    <t>เก้าอี้แถวโพลีไพพีสิน</t>
  </si>
  <si>
    <t>401-42-3899</t>
  </si>
  <si>
    <t>เก้าอี้คอมพิวเตอร์</t>
  </si>
  <si>
    <t>401-46-6196</t>
  </si>
  <si>
    <t>เก้าอี้ 3 ที่นั่งบุนวม (ราคารวมกับโต๊ะ 400-48-5462) (เลขานุการผู้บริหารฯ สำนักปลัด)</t>
  </si>
  <si>
    <t>401-48-6517</t>
  </si>
  <si>
    <t>เก้าอี้บุนวม 1 ที่นั่ง (ราคารวมกับโต๊ะ 400-48-5462) (เลขานุการผู้บริหารฯ สำนักปลัด)</t>
  </si>
  <si>
    <t>401-48-6519</t>
  </si>
  <si>
    <t>เก้าอี้บุนวม 1 ที่นั่ง (ราคารวมกับโต๊ะ 400-48-5463) (เลขานุการผู้บริหารฯ สำนักปลัด)</t>
  </si>
  <si>
    <t>401-48-6520</t>
  </si>
  <si>
    <t>เก้าอี้บุนวมเข้ามุม 1 ที่นั่ง (ราคารวมกับโต๊ะ 400-48-5462) (เลขานุการผู้บริหารฯ สำนักปลัด)</t>
  </si>
  <si>
    <t>401-48-6521</t>
  </si>
  <si>
    <t>เก้าอี้บุนวมเข้ามุม 1 ที่นั่ง (ราคารวมกับโต๊ะ 400-48-5463) (เลขานุการผู้บริหารฯ สำนักปลัด)</t>
  </si>
  <si>
    <t>401-48-6522</t>
  </si>
  <si>
    <t>เก้าอี้ประชุมมีพนักพิงแขน (สำนักปลัด)</t>
  </si>
  <si>
    <t>401-48-6538</t>
  </si>
  <si>
    <t>401-48-6539</t>
  </si>
  <si>
    <t>401-48-6540</t>
  </si>
  <si>
    <t>401-48-6541</t>
  </si>
  <si>
    <t>401-48-6542</t>
  </si>
  <si>
    <t>401-48-6543</t>
  </si>
  <si>
    <t>401-48-6544</t>
  </si>
  <si>
    <t>401-48-6545</t>
  </si>
  <si>
    <t>เก้าอี้ผู้บริหาร (เลขานุการนายก)</t>
  </si>
  <si>
    <t>401-48-6547</t>
  </si>
  <si>
    <t>เก้าอี้พนักพิงต่ำ (เลขานุการนายก)</t>
  </si>
  <si>
    <t>401-48-6548</t>
  </si>
  <si>
    <t>เก้าอี้พนักพิงต่ำ (สำนักปลัด)</t>
  </si>
  <si>
    <t>401-48-6550</t>
  </si>
  <si>
    <t>401-48-6551</t>
  </si>
  <si>
    <t>เก้าอี้ผู้บริหาร (ห้องที่ปรึกษานายก)</t>
  </si>
  <si>
    <t>401-48-7012</t>
  </si>
  <si>
    <t>401-48-7014</t>
  </si>
  <si>
    <t>เก้าอี้พนักพิงต่ำ (ห้องที่ปรึกษานายก)</t>
  </si>
  <si>
    <t>401-48-7015</t>
  </si>
  <si>
    <t>เก้าอี้รับแขก (ซื้อเป็นชุดพร้อมโต๊ะกลาง) (ห้องที่ปรึกษานายก)</t>
  </si>
  <si>
    <t>401-48-7016</t>
  </si>
  <si>
    <t>401-48-7017</t>
  </si>
  <si>
    <t>เก้าอี้ผ้าฝ้าย (งานธุรการ)</t>
  </si>
  <si>
    <t>401-49-7028</t>
  </si>
  <si>
    <t>401-49-7029</t>
  </si>
  <si>
    <t>401-49-7030</t>
  </si>
  <si>
    <t>401-49-7031</t>
  </si>
  <si>
    <t>401-49-7032</t>
  </si>
  <si>
    <t>401-49-7033</t>
  </si>
  <si>
    <t>401-49-7034</t>
  </si>
  <si>
    <t>401-49-7035</t>
  </si>
  <si>
    <t>เก้าอี้ผ้าฝ้ายเดี่ยว (งานธุรการ)</t>
  </si>
  <si>
    <t>401-49-7036</t>
  </si>
  <si>
    <t>เก้าอี้พนักพิงสูง (สำนักปลัด)</t>
  </si>
  <si>
    <t>401-50-7037</t>
  </si>
  <si>
    <t>เก้าอี้เลขา</t>
  </si>
  <si>
    <t>401-51-7586</t>
  </si>
  <si>
    <t>401-51-7587</t>
  </si>
  <si>
    <t>401-51-7588</t>
  </si>
  <si>
    <t>401-51-7589</t>
  </si>
  <si>
    <t>เก้าอี้ประชุม</t>
  </si>
  <si>
    <t>401-51-7574</t>
  </si>
  <si>
    <t>401-51-7575</t>
  </si>
  <si>
    <t>401-51-7576</t>
  </si>
  <si>
    <t>401-51-7577</t>
  </si>
  <si>
    <t>401-51-7578</t>
  </si>
  <si>
    <t>401-51-7579</t>
  </si>
  <si>
    <t>401-51-7580</t>
  </si>
  <si>
    <t>401-51-7581</t>
  </si>
  <si>
    <t>401-51-7582</t>
  </si>
  <si>
    <t>401-51-7583</t>
  </si>
  <si>
    <t>401-51-7584</t>
  </si>
  <si>
    <t>401-51-7585</t>
  </si>
  <si>
    <t>เก้าอี้ประชุมประธาน</t>
  </si>
  <si>
    <t>401-51-7573</t>
  </si>
  <si>
    <t>เก้าอี้ (ห้องประชุมชัยพฤกษ์)</t>
  </si>
  <si>
    <t>401-52-7621</t>
  </si>
  <si>
    <t>401-52-7622</t>
  </si>
  <si>
    <t>401-52-7623</t>
  </si>
  <si>
    <t>401-52-7624</t>
  </si>
  <si>
    <t>401-52-7625</t>
  </si>
  <si>
    <t>401-52-7626</t>
  </si>
  <si>
    <t>401-52-7627</t>
  </si>
  <si>
    <t>401-52-7628</t>
  </si>
  <si>
    <t>401-52-7630</t>
  </si>
  <si>
    <t>401-52-7631</t>
  </si>
  <si>
    <t>401-52-7632</t>
  </si>
  <si>
    <t>401-52-7634</t>
  </si>
  <si>
    <t>401-52-7636</t>
  </si>
  <si>
    <t>เก้าอี้พนักงาน (สำนักปลัด)</t>
  </si>
  <si>
    <t>401-53-7951</t>
  </si>
  <si>
    <t>401-53-7952</t>
  </si>
  <si>
    <t>เก้าอี้เจ้าหน้าที่และผู้มาติดต่องาน</t>
  </si>
  <si>
    <t>401-60-9008</t>
  </si>
  <si>
    <t>401-60-9009</t>
  </si>
  <si>
    <t>401-60-9010</t>
  </si>
  <si>
    <t>401-60-9011</t>
  </si>
  <si>
    <t>401-60-9012</t>
  </si>
  <si>
    <t xml:space="preserve">เก้าอี้ประชุม เบาะนั่งและพนักพิงหุ้มหนัง </t>
  </si>
  <si>
    <t>401-62-9106</t>
  </si>
  <si>
    <t>401-62-9107</t>
  </si>
  <si>
    <t>401-62-9108</t>
  </si>
  <si>
    <t>401-62-9109</t>
  </si>
  <si>
    <t>401-62-9110</t>
  </si>
  <si>
    <t>401-62-9111</t>
  </si>
  <si>
    <t>401-62-9164</t>
  </si>
  <si>
    <t>401-62-9165</t>
  </si>
  <si>
    <t>401-62-9166</t>
  </si>
  <si>
    <t>401-62-9167</t>
  </si>
  <si>
    <t>401-62-9168</t>
  </si>
  <si>
    <t>401-62-9169</t>
  </si>
  <si>
    <t>401-62-9170</t>
  </si>
  <si>
    <t>401-62-9171</t>
  </si>
  <si>
    <t>401-62-9172</t>
  </si>
  <si>
    <t>401-62-9173</t>
  </si>
  <si>
    <t>401-62-9174</t>
  </si>
  <si>
    <t>401-62-9175</t>
  </si>
  <si>
    <t>401-62-9176</t>
  </si>
  <si>
    <t>401-62-9177</t>
  </si>
  <si>
    <t>401-62-9178</t>
  </si>
  <si>
    <t>401-62-9179</t>
  </si>
  <si>
    <t>401-62-9180</t>
  </si>
  <si>
    <t>401-62-9181</t>
  </si>
  <si>
    <t>401-62-9182</t>
  </si>
  <si>
    <t>401-62-9183</t>
  </si>
  <si>
    <t>401-62-9184</t>
  </si>
  <si>
    <t>401-62-9185</t>
  </si>
  <si>
    <t>401-62-9186</t>
  </si>
  <si>
    <t>401-62-9187</t>
  </si>
  <si>
    <t>401-62-9188</t>
  </si>
  <si>
    <t>401-62-9189</t>
  </si>
  <si>
    <t>401-62-9190</t>
  </si>
  <si>
    <t>401-62-9191</t>
  </si>
  <si>
    <t>401-62-9192</t>
  </si>
  <si>
    <t>401-62-9193</t>
  </si>
  <si>
    <t>401-62-9194</t>
  </si>
  <si>
    <t>401-62-9195</t>
  </si>
  <si>
    <t>401-62-9196</t>
  </si>
  <si>
    <t>401-62-9197</t>
  </si>
  <si>
    <t>401-62-9198</t>
  </si>
  <si>
    <t>401-62-9199</t>
  </si>
  <si>
    <t>401-62-9200</t>
  </si>
  <si>
    <t>401-62-9201</t>
  </si>
  <si>
    <t>401-62-9202</t>
  </si>
  <si>
    <t>401-62-9203</t>
  </si>
  <si>
    <t>401-62-9204</t>
  </si>
  <si>
    <t>401-62-9205</t>
  </si>
  <si>
    <t>401-62-9206</t>
  </si>
  <si>
    <t>401-62-9207</t>
  </si>
  <si>
    <t>401-62-9208</t>
  </si>
  <si>
    <t>401-62-9209</t>
  </si>
  <si>
    <t>401-62-9210</t>
  </si>
  <si>
    <t>401-62-9211</t>
  </si>
  <si>
    <t>401-62-9212</t>
  </si>
  <si>
    <t>401-62-9213</t>
  </si>
  <si>
    <t>401-62-9214</t>
  </si>
  <si>
    <t>401-62-9215</t>
  </si>
  <si>
    <t>401-62-9216</t>
  </si>
  <si>
    <t>401-62-9217</t>
  </si>
  <si>
    <t>401-62-9218</t>
  </si>
  <si>
    <t>401-62-9219</t>
  </si>
  <si>
    <t>401-62-9220</t>
  </si>
  <si>
    <t>401-62-9221</t>
  </si>
  <si>
    <t>401-62-9222</t>
  </si>
  <si>
    <t>401-62-9223</t>
  </si>
  <si>
    <t>ชุดรับแขก (403)</t>
  </si>
  <si>
    <t>ชุดรับแขก</t>
  </si>
  <si>
    <t>403-23-0001</t>
  </si>
  <si>
    <t>403-24-0002</t>
  </si>
  <si>
    <t>403-24-0017</t>
  </si>
  <si>
    <t xml:space="preserve">ชุดโต๊ะประชุม </t>
  </si>
  <si>
    <t>403-29-0018</t>
  </si>
  <si>
    <t>403-36-0025</t>
  </si>
  <si>
    <t>ชุดรับแขก ชุดใหญ่</t>
  </si>
  <si>
    <t>403-40-0029</t>
  </si>
  <si>
    <t>ชุดรับแขก ชุดเล็ก</t>
  </si>
  <si>
    <t>403-40-0030</t>
  </si>
  <si>
    <t>403-40-0031</t>
  </si>
  <si>
    <t>403-40-0032</t>
  </si>
  <si>
    <t>โต๊ะประชุมตัวมุม</t>
  </si>
  <si>
    <t>403-40-0033</t>
  </si>
  <si>
    <t>403-40-0034</t>
  </si>
  <si>
    <t>403-40-0035</t>
  </si>
  <si>
    <t>403-40-0036</t>
  </si>
  <si>
    <t>โต๊ะอ่านหนังสือโครงไม้</t>
  </si>
  <si>
    <t>403-40-0039</t>
  </si>
  <si>
    <t>โต๊ะประชุมตัวยาว</t>
  </si>
  <si>
    <t>403-48-0170</t>
  </si>
  <si>
    <t>403-48-0171</t>
  </si>
  <si>
    <t>โต๊ะประชุมครึ่งวงกลม</t>
  </si>
  <si>
    <t>403-48-0172</t>
  </si>
  <si>
    <t>403-48-0173</t>
  </si>
  <si>
    <t>403-48-0174</t>
  </si>
  <si>
    <t>403-48-0175</t>
  </si>
  <si>
    <t>403-48-0176</t>
  </si>
  <si>
    <t>403-48-0177</t>
  </si>
  <si>
    <t>403-48-0178</t>
  </si>
  <si>
    <t>403-48-0179</t>
  </si>
  <si>
    <t>โต๊ะข้างกลม ชุดรับแขก</t>
  </si>
  <si>
    <t>403-48-0180</t>
  </si>
  <si>
    <t>403-48-0181</t>
  </si>
  <si>
    <t>403-48-0182</t>
  </si>
  <si>
    <t>403-48-0183</t>
  </si>
  <si>
    <t>403-48-0184</t>
  </si>
  <si>
    <t>403-48-0185</t>
  </si>
  <si>
    <t>ชั้นวางหนังสือ (404)</t>
  </si>
  <si>
    <t>แท่นอ่านหนังสือ (405)</t>
  </si>
  <si>
    <t>แท่นกล่าวรายงาน</t>
  </si>
  <si>
    <t>405-48-0029</t>
  </si>
  <si>
    <t>ตู้ไม้เก็บราชกิจจา (406)</t>
  </si>
  <si>
    <t>ตู้ไม้เก็บราชกิจจา (งานธุรการ)(ห้องรองพีรยศ)</t>
  </si>
  <si>
    <t>406-11-0031</t>
  </si>
  <si>
    <t>ตู้ (งานธุรการ)*</t>
  </si>
  <si>
    <t>406-16-0087</t>
  </si>
  <si>
    <t>406-31-0501</t>
  </si>
  <si>
    <t>ตู้เหล็กเก็บเอกสาร</t>
  </si>
  <si>
    <t>406-32-0457</t>
  </si>
  <si>
    <t xml:space="preserve">ตู้เหล็กบานเลื่อนทึบ </t>
  </si>
  <si>
    <t>406-42-0963</t>
  </si>
  <si>
    <t>406-42-0964</t>
  </si>
  <si>
    <t>406-43-0976</t>
  </si>
  <si>
    <t>ตู้ไม้เก็บอุปกรณ์เครื่องเสียง (ห้องประชุมราวดี)</t>
  </si>
  <si>
    <t>406-42-0990</t>
  </si>
  <si>
    <t>406-42-0991</t>
  </si>
  <si>
    <t>406-40-0993</t>
  </si>
  <si>
    <t>ตู้เก็บเอกสารบานเลื่อนกระจก (สำนักปลัด)</t>
  </si>
  <si>
    <t>406-44-1002</t>
  </si>
  <si>
    <t xml:space="preserve">ตู้เหล็กเก็บเอกสาร </t>
  </si>
  <si>
    <t>406-44-1003</t>
  </si>
  <si>
    <t>406-44-1004</t>
  </si>
  <si>
    <t>ตู้เหล็กบานเลื่อนทึบ (สำนักปลัด)</t>
  </si>
  <si>
    <t>406-44-1005</t>
  </si>
  <si>
    <t>ตู้โชว์เก็บของที่ระลึก (สำนักปลัด)</t>
  </si>
  <si>
    <t>406-44-1006</t>
  </si>
  <si>
    <t>406-44-1008</t>
  </si>
  <si>
    <t>406-45-1031</t>
  </si>
  <si>
    <t>ตู้ไม้สำเร็จรูป (งานบริหารทั่วไป)</t>
  </si>
  <si>
    <t>406-45-1032</t>
  </si>
  <si>
    <t>406-47-1172</t>
  </si>
  <si>
    <t>406-47-1173</t>
  </si>
  <si>
    <t>406-47-1174</t>
  </si>
  <si>
    <t>ตู้เก็บเอกสาร (ห้องที่ปรึกษานายก)</t>
  </si>
  <si>
    <t>406-48-1176</t>
  </si>
  <si>
    <t>ตู้เก็บเอกสารเตี้ย (ห้องที่ปรึกษานายก)</t>
  </si>
  <si>
    <t>406-48-1186</t>
  </si>
  <si>
    <t>406-48-1187</t>
  </si>
  <si>
    <t>ตู้โชว์ผิวพ่น (งานธุรการ)</t>
  </si>
  <si>
    <t>406-49-1197</t>
  </si>
  <si>
    <t>406-49-1198</t>
  </si>
  <si>
    <t>ตู้แขวน (งานธุรการ)</t>
  </si>
  <si>
    <t>406-49-1199</t>
  </si>
  <si>
    <t>ตู้ลอยติดผนัง (งานธุรการ)</t>
  </si>
  <si>
    <t>406-49-1200</t>
  </si>
  <si>
    <t>ตู้แขวนเสื้อ (งานธุรการ)</t>
  </si>
  <si>
    <t>406-49-1201</t>
  </si>
  <si>
    <t>ตู้มินิบา (งานธุรการ)</t>
  </si>
  <si>
    <t>406-49-1202</t>
  </si>
  <si>
    <t>406-49-1203</t>
  </si>
  <si>
    <t>ตู้โชว์พร้อมชั้นวาง (งานธุรการ)</t>
  </si>
  <si>
    <t>406-48-1204</t>
  </si>
  <si>
    <t>406-48-1205</t>
  </si>
  <si>
    <t>ตู้เก็บอุปกรณ์ (สำนักปลัด นางอินทมาศ สมพงษ์)</t>
  </si>
  <si>
    <t>406-51-1209</t>
  </si>
  <si>
    <t>ตู้เหล็กอุปกรณ์</t>
  </si>
  <si>
    <t>406-57-1255</t>
  </si>
  <si>
    <t>ตู้บานเลื่อน (งานธุรการ วรรณเสด็จ รัตนมงคล)</t>
  </si>
  <si>
    <t>406-60-1282</t>
  </si>
  <si>
    <t>406-60-1283</t>
  </si>
  <si>
    <t>กระดาน (407)</t>
  </si>
  <si>
    <t>กระดาน (สำนักปลัด)</t>
  </si>
  <si>
    <t>407-29-0014</t>
  </si>
  <si>
    <t>กระดานแผ่นไม้อัดติดผนัง (เก็บมาไว้ห้องประชุมราชวดี)</t>
  </si>
  <si>
    <t>407-38-0023</t>
  </si>
  <si>
    <t>นาฬิกา (408)</t>
  </si>
  <si>
    <t>เครื่องคอมพิวเตอร์ (416)</t>
  </si>
  <si>
    <t>เครื่องคอมพิวเตอร์</t>
  </si>
  <si>
    <t>416-41-0046</t>
  </si>
  <si>
    <t>416-41-0047</t>
  </si>
  <si>
    <t>416-46-0190</t>
  </si>
  <si>
    <t>416-46-0196</t>
  </si>
  <si>
    <t>เครื่องควบคุมระบบ (SERVER)</t>
  </si>
  <si>
    <t>416-47-0226</t>
  </si>
  <si>
    <t>จอคอม (ราคาซื้อรวมชุดกับ SERVER รหัส 416-47-0226) สำนักปลัด</t>
  </si>
  <si>
    <t>416-47-0227</t>
  </si>
  <si>
    <t>เครื่องพิมพ์คอมพิวเตอร์ HP</t>
  </si>
  <si>
    <t>416-48-0238</t>
  </si>
  <si>
    <t>เครื่องพิมพ์คอมพิวเตอร์ LEXARK</t>
  </si>
  <si>
    <t>416-49-0270</t>
  </si>
  <si>
    <t>เครื่องคอมพิวเตอร์พร้อมจอฯ</t>
  </si>
  <si>
    <t>416-49-0317</t>
  </si>
  <si>
    <t>416-49-0318</t>
  </si>
  <si>
    <t>เครื่องคอมพิวเตอร์ Note book HP</t>
  </si>
  <si>
    <t>416-51-0329</t>
  </si>
  <si>
    <t>416-51-0383</t>
  </si>
  <si>
    <t>เครื่องสำรองไฟ ลูกข่าย (สำนักปลัด งานธุรการ สป.)</t>
  </si>
  <si>
    <t>416-51-0419</t>
  </si>
  <si>
    <t>เครื่องสำรองไฟ ลูกข่าย (สำนักปลัด หน.สป.)</t>
  </si>
  <si>
    <t>416-51-0420</t>
  </si>
  <si>
    <t>เครื่องสำรองไฟ ลูกข่าย (สำนักปลัด (ปลัด))</t>
  </si>
  <si>
    <t>416-51-0424</t>
  </si>
  <si>
    <t>เครื่องพิมพ์ HP ลูกข่าย (รองนายก มนัส)</t>
  </si>
  <si>
    <t>416-51-0461</t>
  </si>
  <si>
    <t>416-51-0517</t>
  </si>
  <si>
    <t xml:space="preserve">จอภาพ LED </t>
  </si>
  <si>
    <t>416-52-0552</t>
  </si>
  <si>
    <t>เครื่องคอมพิวเตอร์แบบ Touch Screen (ฝ่ายบริหาร มนัส)</t>
  </si>
  <si>
    <t>416-52-0553</t>
  </si>
  <si>
    <t>416-55-0697</t>
  </si>
  <si>
    <t>เครื่องพิมพ์แบบฉีดหมึกแท๊งค์ (งานเทศกิจ)</t>
  </si>
  <si>
    <t>416-55-0715</t>
  </si>
  <si>
    <t>เครื่องปริ้นเตอร์ (งานธูรการ พิชิต โมกศรี (ปลัด))</t>
  </si>
  <si>
    <t>416-59-0832</t>
  </si>
  <si>
    <t>เครื่องปริ้นเตอร์</t>
  </si>
  <si>
    <t>416-59-0833</t>
  </si>
  <si>
    <t>เครื่องพิมพ์</t>
  </si>
  <si>
    <t>416-59-0842</t>
  </si>
  <si>
    <t>416-59-0846</t>
  </si>
  <si>
    <t>416-59-0847</t>
  </si>
  <si>
    <t>เครื่องพิมพ์คอมพิวเตอร์ CPU HP</t>
  </si>
  <si>
    <t>416-50-0344</t>
  </si>
  <si>
    <t>จอคอมพิวเตอร์ LCD HP</t>
  </si>
  <si>
    <t xml:space="preserve">เครื่องพิมพ์ BROTHER </t>
  </si>
  <si>
    <t>416-53-0635</t>
  </si>
  <si>
    <t>เครื่องพิมพ์ CANON PIXMA MP 280</t>
  </si>
  <si>
    <t>416-54-0665</t>
  </si>
  <si>
    <t>416-54-0666</t>
  </si>
  <si>
    <t>416-54-0676</t>
  </si>
  <si>
    <t>416-54-0677</t>
  </si>
  <si>
    <t>เครื่องพิมพ์ CANON PIXMA MP286</t>
  </si>
  <si>
    <t>416-55-0681</t>
  </si>
  <si>
    <t>416-55-0686</t>
  </si>
  <si>
    <t>เครื่องสำรองไฟ APC BX1100CI</t>
  </si>
  <si>
    <t>416-55-0696</t>
  </si>
  <si>
    <t>Scanner EPSON GT-S55</t>
  </si>
  <si>
    <t>416-56-0750</t>
  </si>
  <si>
    <t>จ้างพัฒนาปรับปรุงระบบการประเมินผลเทศบาล</t>
  </si>
  <si>
    <t>416-57-0810</t>
  </si>
  <si>
    <t>พัฒนาระบบสารสนเทศ</t>
  </si>
  <si>
    <t>416-60-1267</t>
  </si>
  <si>
    <t>เครื่องสำรองไฟ ขนาด 1 KVA(600 วัตต์) ยี่ห้อ ZIRCON</t>
  </si>
  <si>
    <t>416-60-1268</t>
  </si>
  <si>
    <t>เครื่องพิมพ์คอมพิวเตอร์</t>
  </si>
  <si>
    <t>416-60-1270</t>
  </si>
  <si>
    <t>416-60-1271</t>
  </si>
  <si>
    <t>416-60-1272</t>
  </si>
  <si>
    <t>416-62-1329</t>
  </si>
  <si>
    <t>416-62-1330</t>
  </si>
  <si>
    <t>416-62-1331</t>
  </si>
  <si>
    <t>416-62-1332</t>
  </si>
  <si>
    <t>416-62-1359</t>
  </si>
  <si>
    <t>416-62-1328</t>
  </si>
  <si>
    <t xml:space="preserve">ระบบ Application ร้องทุกข์บน Smartphone </t>
  </si>
  <si>
    <t>416-62-1363</t>
  </si>
  <si>
    <t>เครื่องปรับอากาศ (420)</t>
  </si>
  <si>
    <t>420-40-0061</t>
  </si>
  <si>
    <t>เครื่องปรับอากาศ (ชั้น 3 ห้องปลัดเฉลิม)</t>
  </si>
  <si>
    <t>420-40-0076</t>
  </si>
  <si>
    <t>เครื่องปรับอากาศ</t>
  </si>
  <si>
    <t>420-40-0084</t>
  </si>
  <si>
    <t>420-40-0085</t>
  </si>
  <si>
    <t>420-40-0165</t>
  </si>
  <si>
    <t>420-40-0166</t>
  </si>
  <si>
    <t>420-40-0167</t>
  </si>
  <si>
    <t>420-40-0168</t>
  </si>
  <si>
    <t>420-40-0169</t>
  </si>
  <si>
    <t>420-40-0170</t>
  </si>
  <si>
    <t>420-40-0171</t>
  </si>
  <si>
    <t>420-40-0172</t>
  </si>
  <si>
    <t>420-40-0173</t>
  </si>
  <si>
    <t>420-42-0123</t>
  </si>
  <si>
    <t>420-42-0124</t>
  </si>
  <si>
    <t>420-44-0130</t>
  </si>
  <si>
    <t>420-48-0182</t>
  </si>
  <si>
    <t>420-48-0183</t>
  </si>
  <si>
    <t>420-49-0185</t>
  </si>
  <si>
    <t>420-51-0192</t>
  </si>
  <si>
    <t>420-51-0193</t>
  </si>
  <si>
    <t>420-51-0194</t>
  </si>
  <si>
    <t>420-53-0206</t>
  </si>
  <si>
    <t>420-53-0207</t>
  </si>
  <si>
    <t>420-54-0217</t>
  </si>
  <si>
    <t>420-54-0218</t>
  </si>
  <si>
    <t>420-55-0231</t>
  </si>
  <si>
    <t>420-56-0237</t>
  </si>
  <si>
    <t>420-56-0238</t>
  </si>
  <si>
    <t>420-60-0278</t>
  </si>
  <si>
    <t>420-60-0280</t>
  </si>
  <si>
    <t>420-62-0306</t>
  </si>
  <si>
    <t>420-62-0335</t>
  </si>
  <si>
    <t>420-62-0336</t>
  </si>
  <si>
    <t>เครื่องโทรศัพท์ (423)</t>
  </si>
  <si>
    <t xml:space="preserve"> เครื่องโทรสาร (424)</t>
  </si>
  <si>
    <t>เครื่องโทรสาร Panasonic รุ่น KX-T2375</t>
  </si>
  <si>
    <t>424-51-0026</t>
  </si>
  <si>
    <t>424-51-0027</t>
  </si>
  <si>
    <t xml:space="preserve">เครื่องโทรสาร </t>
  </si>
  <si>
    <t>424-59-0031</t>
  </si>
  <si>
    <t>ชั้นเก็บแฟ้ม</t>
  </si>
  <si>
    <t>เครื่องควบคุมและจ่ายกระแสไฟ (430)</t>
  </si>
  <si>
    <t xml:space="preserve">เครื่องควบคุมและจ่ายกระแสไฟ </t>
  </si>
  <si>
    <t>430-51-0001</t>
  </si>
  <si>
    <t>ชุดควบคุมระบบภาพ</t>
  </si>
  <si>
    <t>430-57-0005</t>
  </si>
  <si>
    <t xml:space="preserve">เครื่องผสมสัญญาณเสียง 16 ช่อง </t>
  </si>
  <si>
    <t>430-57-0006</t>
  </si>
  <si>
    <t>พัดลม (432)</t>
  </si>
  <si>
    <t xml:space="preserve">พัดลมระบายอากาศ </t>
  </si>
  <si>
    <t>432-40-0470</t>
  </si>
  <si>
    <t>432-40-0478</t>
  </si>
  <si>
    <t>432-40-0479</t>
  </si>
  <si>
    <t>432-40-0480</t>
  </si>
  <si>
    <t>432-40-0481</t>
  </si>
  <si>
    <t>432-40-0482</t>
  </si>
  <si>
    <t>432-40-0483</t>
  </si>
  <si>
    <t>432-40-0484</t>
  </si>
  <si>
    <t>432-40-0489</t>
  </si>
  <si>
    <t>432-40-0495</t>
  </si>
  <si>
    <t>432-40-0496</t>
  </si>
  <si>
    <t>432-40-0497</t>
  </si>
  <si>
    <t>432-40-0498</t>
  </si>
  <si>
    <t xml:space="preserve">พัดลมเพดาน </t>
  </si>
  <si>
    <t>432-40-0499</t>
  </si>
  <si>
    <t>432-40-0500</t>
  </si>
  <si>
    <t>432-40-0501</t>
  </si>
  <si>
    <t>432-40-0502</t>
  </si>
  <si>
    <t>พัดลมโคจร</t>
  </si>
  <si>
    <t>432-41-0519</t>
  </si>
  <si>
    <t>432-41-0520</t>
  </si>
  <si>
    <t>432-41-0521</t>
  </si>
  <si>
    <t>432-41-0522</t>
  </si>
  <si>
    <t>พัดลมระบายอากาศ (สำนักปลัด ติดตั้งบนหลังอาคาร 7)</t>
  </si>
  <si>
    <t>432-42-0529</t>
  </si>
  <si>
    <t>432-42-0530</t>
  </si>
  <si>
    <t>432-42-0531</t>
  </si>
  <si>
    <t>432-42-0532</t>
  </si>
  <si>
    <t>432-42-0533</t>
  </si>
  <si>
    <t>432-42-0534</t>
  </si>
  <si>
    <t>432-42-0535</t>
  </si>
  <si>
    <t>432-42-0536</t>
  </si>
  <si>
    <t>432-42-0537</t>
  </si>
  <si>
    <t>432-42-0538</t>
  </si>
  <si>
    <t>432-42-0539</t>
  </si>
  <si>
    <t>432-42-0540</t>
  </si>
  <si>
    <t>432-42-0541</t>
  </si>
  <si>
    <t>432-42-0542</t>
  </si>
  <si>
    <t>พัดลมตั้งพื้น</t>
  </si>
  <si>
    <t>พัดลมระบายอากาศ</t>
  </si>
  <si>
    <t>432-44-0545</t>
  </si>
  <si>
    <t>432-44-0546</t>
  </si>
  <si>
    <t>432-48-0621</t>
  </si>
  <si>
    <t>432-48-0624</t>
  </si>
  <si>
    <t>พัดลมดูดอากาศ</t>
  </si>
  <si>
    <t>432-49-0657</t>
  </si>
  <si>
    <t>432-52-0663</t>
  </si>
  <si>
    <t>432-52-0664</t>
  </si>
  <si>
    <t>432-52-0665</t>
  </si>
  <si>
    <t>432-52-0666</t>
  </si>
  <si>
    <t>432-53-0741</t>
  </si>
  <si>
    <t>432-53-0742</t>
  </si>
  <si>
    <t>432-54-0745</t>
  </si>
  <si>
    <t>432-55-0775</t>
  </si>
  <si>
    <t>432-59-0908</t>
  </si>
  <si>
    <t>พัดลมโคจรรอบตัว (ธุรการ สำนักปลัด)</t>
  </si>
  <si>
    <t>432-59-0909</t>
  </si>
  <si>
    <t xml:space="preserve">พัดลมดูดอากาศ </t>
  </si>
  <si>
    <t>432-60-0914</t>
  </si>
  <si>
    <t>432-60-0915</t>
  </si>
  <si>
    <t>ม่านปรับแสง</t>
  </si>
  <si>
    <t>433-49-0154</t>
  </si>
  <si>
    <t>433-49-0155</t>
  </si>
  <si>
    <t>433-49-0156</t>
  </si>
  <si>
    <t>433-49-0157</t>
  </si>
  <si>
    <t>433-49-0158</t>
  </si>
  <si>
    <t>433-49-0159</t>
  </si>
  <si>
    <t>433-49-0160</t>
  </si>
  <si>
    <t>433-49-0161</t>
  </si>
  <si>
    <t>433-49-0162</t>
  </si>
  <si>
    <t>433-49-0163</t>
  </si>
  <si>
    <t>433-49-0164</t>
  </si>
  <si>
    <t>บังรางม่าน</t>
  </si>
  <si>
    <t>433-48-0165</t>
  </si>
  <si>
    <t>ผ้าม่านจีบทึบ</t>
  </si>
  <si>
    <t>433-48-0166</t>
  </si>
  <si>
    <t>ผ้าม่าน (434)</t>
  </si>
  <si>
    <t>ผ้าม่าน 2 ชั้น</t>
  </si>
  <si>
    <t>434-51-0001</t>
  </si>
  <si>
    <t>ผ้าม่าน 2.0x2.80 ม.พร้อมอุปกรณ์</t>
  </si>
  <si>
    <t>434-57-0012</t>
  </si>
  <si>
    <t>434-57-0013</t>
  </si>
  <si>
    <t>434-57-0014</t>
  </si>
  <si>
    <t>434-57-0015</t>
  </si>
  <si>
    <t>434-57-0016</t>
  </si>
  <si>
    <t>434-57-0017</t>
  </si>
  <si>
    <t>434-57-0018</t>
  </si>
  <si>
    <t>434-57-0019</t>
  </si>
  <si>
    <t>434-57-0020</t>
  </si>
  <si>
    <t>434-57-0021</t>
  </si>
  <si>
    <t>434-57-0022</t>
  </si>
  <si>
    <t>434-57-0023</t>
  </si>
  <si>
    <t>434-57-0024</t>
  </si>
  <si>
    <t>ถังน้ำสแตนเลส (437)</t>
  </si>
  <si>
    <t>ถังน้ำสแตนเลส (งานธุรการ)</t>
  </si>
  <si>
    <t>437-37-0012</t>
  </si>
  <si>
    <t>437-37-0013</t>
  </si>
  <si>
    <t>437-37-0014</t>
  </si>
  <si>
    <t>437-37-0015</t>
  </si>
  <si>
    <t>ถังเก็บน้ำสแตนเลส (สำนักปลัด)</t>
  </si>
  <si>
    <t>437-42-0018</t>
  </si>
  <si>
    <t xml:space="preserve">ถังเก็บน้ำกรีนทรีรุ่นซันสโตน </t>
  </si>
  <si>
    <t>437-51-0022</t>
  </si>
  <si>
    <t>เครื่องทำน้ำเย็น (439)</t>
  </si>
  <si>
    <t>เครื่องทำน้ำเย็น</t>
  </si>
  <si>
    <t>439-45-0058</t>
  </si>
  <si>
    <t>439-45-0059</t>
  </si>
  <si>
    <t>จอภาพ (444)</t>
  </si>
  <si>
    <t>จอภาพ</t>
  </si>
  <si>
    <t>444-41-0011</t>
  </si>
  <si>
    <t>444-41-0012</t>
  </si>
  <si>
    <t>จอรับภาพ (งานบริหารทั่งไป)</t>
  </si>
  <si>
    <t>444-48-0014</t>
  </si>
  <si>
    <t>จอรับภาพ</t>
  </si>
  <si>
    <t>444-51-0015</t>
  </si>
  <si>
    <t>จอรับภาพมอนิเตอร์ไฟฟ้า (ห้องประชุมราชาวดี)</t>
  </si>
  <si>
    <t>444-54-0017</t>
  </si>
  <si>
    <t>จอรับภาพมอนิเตอร์ไฟฟ้า (ชัยพกฤ)</t>
  </si>
  <si>
    <t>444-62-0036</t>
  </si>
  <si>
    <t>เครื่องฉายภาพโปรเจกเตอร์  (447)</t>
  </si>
  <si>
    <t>เครื่องฉายมัลติมีเดียโปรเจคเตอร์ (งานธุรการ วรพงษ์ มาลัย)</t>
  </si>
  <si>
    <t>447-59-0025</t>
  </si>
  <si>
    <t>447-62-0039</t>
  </si>
  <si>
    <t>กล้องถ่ายรูป (452)</t>
  </si>
  <si>
    <t>โทรทัศน์สี (456)</t>
  </si>
  <si>
    <t xml:space="preserve">โทรทัศน์สี </t>
  </si>
  <si>
    <t>456-36-0012</t>
  </si>
  <si>
    <t>จอ LCD (ห้องราชพฤกษ์)</t>
  </si>
  <si>
    <t>456-51-0053</t>
  </si>
  <si>
    <t>456-51-0054</t>
  </si>
  <si>
    <t>456-51-0055</t>
  </si>
  <si>
    <t>456-51-0056</t>
  </si>
  <si>
    <t>456-51-0058</t>
  </si>
  <si>
    <t>เครื่องสลับสัญญาณคอมพิวเตอร์ (ห้องราชพฤกษ์)</t>
  </si>
  <si>
    <t>456-51-0059</t>
  </si>
  <si>
    <t>เครื่องสลับสัญญาณเสียง (ห้องราชพฤกษ์)</t>
  </si>
  <si>
    <t>456-51-0060</t>
  </si>
  <si>
    <t>เครื่องประมวลผลสัญญาณเสียง (ห้องราชพฤกษ์)</t>
  </si>
  <si>
    <t>456-51-0061</t>
  </si>
  <si>
    <t>เครื่องป้องกันเสียงย้อนกลับ (ห้องราชพฤกษ์)</t>
  </si>
  <si>
    <t>456-51-0062</t>
  </si>
  <si>
    <t>จอทีวีพลาสม่า (งานธุรการ)</t>
  </si>
  <si>
    <t>456-53-0066</t>
  </si>
  <si>
    <t>เครื่องถอดแถบบันทึกเสียง(455)</t>
  </si>
  <si>
    <t>เครื่องเล่น DVD (ห้องประชุมราชพฤกษ์)</t>
  </si>
  <si>
    <t>455-51-0050</t>
  </si>
  <si>
    <t>เครื่องเล่นและบันทึก DVD (ห้องประชุมราชพฤกษ์)</t>
  </si>
  <si>
    <t>455-51-0051</t>
  </si>
  <si>
    <t>455-53-0056</t>
  </si>
  <si>
    <t>ไมค์ประชุม (458)</t>
  </si>
  <si>
    <t>ไมค์ประชุม (ห้องประชุมราชาวดี)</t>
  </si>
  <si>
    <t>458-48-0126</t>
  </si>
  <si>
    <t>458-48-0127</t>
  </si>
  <si>
    <t>458-48-0128</t>
  </si>
  <si>
    <t>458-48-0129</t>
  </si>
  <si>
    <t>458-48-0130</t>
  </si>
  <si>
    <t>458-48-0131</t>
  </si>
  <si>
    <t>458-48-0132</t>
  </si>
  <si>
    <t>458-48-0133</t>
  </si>
  <si>
    <t>458-48-0134</t>
  </si>
  <si>
    <t>458-48-0135</t>
  </si>
  <si>
    <t>458-48-0136</t>
  </si>
  <si>
    <t>458-48-0137</t>
  </si>
  <si>
    <t>458-48-0138</t>
  </si>
  <si>
    <t>458-48-0139</t>
  </si>
  <si>
    <t>458-48-0140</t>
  </si>
  <si>
    <t>458-48-0141</t>
  </si>
  <si>
    <t>ไมค์ ประธาน (ห้องราชพฤกษ์)</t>
  </si>
  <si>
    <t>458-51-0158</t>
  </si>
  <si>
    <t>ไมค์  (ห้องราชพฤกษ์)</t>
  </si>
  <si>
    <t>458-51-0159</t>
  </si>
  <si>
    <t>458-51-0160</t>
  </si>
  <si>
    <t>458-51-0161</t>
  </si>
  <si>
    <t>458-51-0162</t>
  </si>
  <si>
    <t>458-51-0163</t>
  </si>
  <si>
    <t>458-51-0164</t>
  </si>
  <si>
    <t>458-51-0165</t>
  </si>
  <si>
    <t>458-51-0166</t>
  </si>
  <si>
    <t>458-51-0167</t>
  </si>
  <si>
    <t>458-51-0168</t>
  </si>
  <si>
    <t>458-51-0169</t>
  </si>
  <si>
    <t>458-51-0170</t>
  </si>
  <si>
    <t>ไมค์ชนิดมือถือ (ห้องราชาวดี)</t>
  </si>
  <si>
    <t>458-57-0178</t>
  </si>
  <si>
    <t>458-57-0179</t>
  </si>
  <si>
    <t>458-57-0180</t>
  </si>
  <si>
    <t>ลำโพง (459)</t>
  </si>
  <si>
    <t>ลำโพงหลัก (ห้องราชพฤกษ์)</t>
  </si>
  <si>
    <t>459-51-0746</t>
  </si>
  <si>
    <t>459-51-0747</t>
  </si>
  <si>
    <t>459-51-0748</t>
  </si>
  <si>
    <t>459-51-0749</t>
  </si>
  <si>
    <t>459-51-0750</t>
  </si>
  <si>
    <t>459-51-0751</t>
  </si>
  <si>
    <t xml:space="preserve">ลำโพงเพดาน </t>
  </si>
  <si>
    <t>459-53-0762</t>
  </si>
  <si>
    <t>459-53-0763</t>
  </si>
  <si>
    <t>459-53-0764</t>
  </si>
  <si>
    <t>459-53-0765</t>
  </si>
  <si>
    <t xml:space="preserve">หูฟังสำหรับเครื่องควบคุม </t>
  </si>
  <si>
    <t>459-57-0829</t>
  </si>
  <si>
    <t>ลำโพง</t>
  </si>
  <si>
    <t>459-57-0830</t>
  </si>
  <si>
    <t>459-57-0831</t>
  </si>
  <si>
    <t>459-57-0832</t>
  </si>
  <si>
    <t>459-57-0833</t>
  </si>
  <si>
    <t>459-57-0834</t>
  </si>
  <si>
    <t>459-57-0835</t>
  </si>
  <si>
    <t>459-57-0836</t>
  </si>
  <si>
    <t>459-57-0837</t>
  </si>
  <si>
    <t>เครื่องบันทึกเสียงดิจิตอล (460)</t>
  </si>
  <si>
    <t xml:space="preserve">เครื่องบันทึกเสียงดิจิตอล </t>
  </si>
  <si>
    <t>460-57-0027</t>
  </si>
  <si>
    <t>เครื่องเสียงพร้อมลำโพง (462)</t>
  </si>
  <si>
    <t xml:space="preserve">เครื่องขยายเสียงลำโพงเพดาน </t>
  </si>
  <si>
    <t>462-51-0273</t>
  </si>
  <si>
    <t>เครื่องเล่น (463)</t>
  </si>
  <si>
    <t>ฉากกั้นห้อง (490)</t>
  </si>
  <si>
    <t>ฉากกั้นห้องสำเร็จรูป</t>
  </si>
  <si>
    <t>490-49-0002</t>
  </si>
  <si>
    <t>490-49-0003</t>
  </si>
  <si>
    <t>490-49-0004</t>
  </si>
  <si>
    <t>490-49-0005</t>
  </si>
  <si>
    <t>490-49-0006</t>
  </si>
  <si>
    <t>490-49-0007</t>
  </si>
  <si>
    <t>490-49-0008</t>
  </si>
  <si>
    <t>490-49-0009</t>
  </si>
  <si>
    <t>490-49-0010</t>
  </si>
  <si>
    <t>490-49-0011</t>
  </si>
  <si>
    <t>หม้อน้ำร้อน(719)</t>
  </si>
  <si>
    <t>หม้อน้ำร้อนแสตนเลส (ห้องประชุมราชาวดี)</t>
  </si>
  <si>
    <t>719-41-0001</t>
  </si>
  <si>
    <t>โต๊ะหมู่บูชา (481)</t>
  </si>
  <si>
    <t>โต๊ะหมู่บูชา (งานธุรการ)</t>
  </si>
  <si>
    <t>481-31-0027</t>
  </si>
  <si>
    <t>บานไม้สักแกะสลัก (489)</t>
  </si>
  <si>
    <t>บานไม้สักแกะสลัก (ห้องรับรองนายก)</t>
  </si>
  <si>
    <t>489-48-0001</t>
  </si>
  <si>
    <t xml:space="preserve">ฉากกั้นแบบทึบเต็มแผ่น </t>
  </si>
  <si>
    <t>490-52-0024</t>
  </si>
  <si>
    <t>490-52-0025</t>
  </si>
  <si>
    <t xml:space="preserve">ฉากกั้นแบบครึ่งกระจกขัดลาย </t>
  </si>
  <si>
    <t>490-52-0031</t>
  </si>
  <si>
    <t>490-52-0032</t>
  </si>
  <si>
    <t>เครื่องสแกนลายนิ้วมือ (494)</t>
  </si>
  <si>
    <t>เครื่องสแกนลายนิ้วมือ (คาฟู)</t>
  </si>
  <si>
    <t>494-56-0002</t>
  </si>
  <si>
    <t>ราม</t>
  </si>
  <si>
    <t>T1 โต๊ะคอมพิวเตอร์  ขนาด  120X60X75 ซม.</t>
  </si>
  <si>
    <t>400-52-5881</t>
  </si>
  <si>
    <t>ทะเบียนราษฎร</t>
  </si>
  <si>
    <t>400-52-5882</t>
  </si>
  <si>
    <t>400-52-5883</t>
  </si>
  <si>
    <t>400-52-5884</t>
  </si>
  <si>
    <t>400-52-5885</t>
  </si>
  <si>
    <t>400-52-5886</t>
  </si>
  <si>
    <t>400-52-5887</t>
  </si>
  <si>
    <t>400-52-5888</t>
  </si>
  <si>
    <t>400-52-5889</t>
  </si>
  <si>
    <t>400-52-5890</t>
  </si>
  <si>
    <t>400-52-5891</t>
  </si>
  <si>
    <t>T2 โต๊ะคอมพิวเตอร์  ขนาด  80X60X75 ซม.</t>
  </si>
  <si>
    <t>400-52-5892</t>
  </si>
  <si>
    <t>400-52-5893</t>
  </si>
  <si>
    <t>400-52-5894</t>
  </si>
  <si>
    <t>400-52-5895</t>
  </si>
  <si>
    <t>T3 โต๊ะทำงาน  ขนาด  120X60X75 ซม.</t>
  </si>
  <si>
    <t>400-52-5896</t>
  </si>
  <si>
    <t>400-52-5897</t>
  </si>
  <si>
    <t>400-52-5898</t>
  </si>
  <si>
    <t>400-52-5899</t>
  </si>
  <si>
    <t>T3 ลิ้นชัก  ขนาด  40X52X44 ซม.</t>
  </si>
  <si>
    <t>T4 โต๊ะทำงาน  ขนาด  150X60X75 ซม.</t>
  </si>
  <si>
    <t>400-52-5900</t>
  </si>
  <si>
    <t>400-52-5901</t>
  </si>
  <si>
    <t>T5 โต๊ะทำงาน  ขนาด  180X60X75 ซม.</t>
  </si>
  <si>
    <t>400-52-5902</t>
  </si>
  <si>
    <t>T6 โต๊ะทำงาน  ขนาด  150X75X75 ซม.</t>
  </si>
  <si>
    <t>400-52-5903</t>
  </si>
  <si>
    <t>T8 โต๊ะปริ้นเตอร์  ขนาด  80X60X75 ซม.</t>
  </si>
  <si>
    <t>400-52-5904</t>
  </si>
  <si>
    <t>400-52-5905</t>
  </si>
  <si>
    <t>400-52-5906</t>
  </si>
  <si>
    <t>400-52-5907</t>
  </si>
  <si>
    <t>400-52-5908</t>
  </si>
  <si>
    <t>400-52-5909</t>
  </si>
  <si>
    <t>400-52-5910</t>
  </si>
  <si>
    <t>T9 โต๊ะทำงาน  ขนาด  80X60X75 ซม.</t>
  </si>
  <si>
    <t>400-52-5911</t>
  </si>
  <si>
    <t>400-52-5912</t>
  </si>
  <si>
    <t>T10 โต๊ะทำงาน  ขนาด  60X60X75 ซม.</t>
  </si>
  <si>
    <t>400-52-5913</t>
  </si>
  <si>
    <t>400-52-5914</t>
  </si>
  <si>
    <t>400-52-5915</t>
  </si>
  <si>
    <t>400-52-5916</t>
  </si>
  <si>
    <t>400-52-5917</t>
  </si>
  <si>
    <t>400-52-5918</t>
  </si>
  <si>
    <t>400-52-5919</t>
  </si>
  <si>
    <t>400-52-5920</t>
  </si>
  <si>
    <t>400-52-5921</t>
  </si>
  <si>
    <t>400-52-5922</t>
  </si>
  <si>
    <t>เก้าอี้สำนักงาน ขนาด 60X60X97 ชม. หนังเทียม</t>
  </si>
  <si>
    <t>401-52-7841</t>
  </si>
  <si>
    <t>401-52-7842</t>
  </si>
  <si>
    <t>401-52-7843</t>
  </si>
  <si>
    <t>401-52-7844</t>
  </si>
  <si>
    <t>401-52-7845</t>
  </si>
  <si>
    <t>401-52-7846</t>
  </si>
  <si>
    <t>401-52-7847</t>
  </si>
  <si>
    <t>401-52-7848</t>
  </si>
  <si>
    <t>401-52-7849</t>
  </si>
  <si>
    <t>401-52-7850</t>
  </si>
  <si>
    <t>401-52-7851</t>
  </si>
  <si>
    <t>401-52-7852</t>
  </si>
  <si>
    <t>401-52-7853</t>
  </si>
  <si>
    <t>401-52-7854</t>
  </si>
  <si>
    <t>401-52-7855</t>
  </si>
  <si>
    <t>401-52-7856</t>
  </si>
  <si>
    <t>401-52-7857</t>
  </si>
  <si>
    <t>401-52-7858</t>
  </si>
  <si>
    <t>401-52-7859</t>
  </si>
  <si>
    <t>401-52-7860</t>
  </si>
  <si>
    <t>401-52-7861</t>
  </si>
  <si>
    <t>401-52-7862</t>
  </si>
  <si>
    <t>401-52-7863</t>
  </si>
  <si>
    <t>401-52-7864</t>
  </si>
  <si>
    <t>401-52-7865</t>
  </si>
  <si>
    <t>401-52-7866</t>
  </si>
  <si>
    <t>401-52-7867</t>
  </si>
  <si>
    <t>401-52-7868</t>
  </si>
  <si>
    <t>401-52-7869</t>
  </si>
  <si>
    <t>401-52-7870</t>
  </si>
  <si>
    <t>401-52-7871</t>
  </si>
  <si>
    <t>401-52-7872</t>
  </si>
  <si>
    <t>401-52-7873</t>
  </si>
  <si>
    <t>401-52-7874</t>
  </si>
  <si>
    <t>401-52-7875</t>
  </si>
  <si>
    <t>401-52-7876</t>
  </si>
  <si>
    <t>เก้าอี้สำนักงาน ขนาด 68X75X110 ชม. ขาเหล็กหนังเทียม</t>
  </si>
  <si>
    <t>401-52-7877</t>
  </si>
  <si>
    <t>401-52-7878</t>
  </si>
  <si>
    <t>401-52-7879</t>
  </si>
  <si>
    <t>401-52-7880</t>
  </si>
  <si>
    <t>401-52-7881</t>
  </si>
  <si>
    <t>เก้าอี้แถวพักคอย 4 ที่นั่ง ขนาด 2130X580X775 มม.</t>
  </si>
  <si>
    <t>401-52-7882</t>
  </si>
  <si>
    <t>401-52-7883</t>
  </si>
  <si>
    <t>401-52-7884</t>
  </si>
  <si>
    <t>401-52-7885</t>
  </si>
  <si>
    <t>401-52-7886</t>
  </si>
  <si>
    <t>401-52-7887</t>
  </si>
  <si>
    <t>ชุดโซฟากลม</t>
  </si>
  <si>
    <t>403-51-0189</t>
  </si>
  <si>
    <t>ชั้นเก็บเอกสารโครงเหล็ก พื้นปูด้วยไม้ มีล้อโลหะ สามารถเลื่อนเคลื่อนย้ายได้</t>
  </si>
  <si>
    <t>404-60-0270</t>
  </si>
  <si>
    <t>404-60-0271</t>
  </si>
  <si>
    <t>404-60-0272</t>
  </si>
  <si>
    <t>404-60-0273</t>
  </si>
  <si>
    <t>404-60-0274</t>
  </si>
  <si>
    <t>404-60-0275</t>
  </si>
  <si>
    <t>404-60-0276</t>
  </si>
  <si>
    <t>404-60-0277</t>
  </si>
  <si>
    <t>404-60-0278</t>
  </si>
  <si>
    <t>404-60-0279</t>
  </si>
  <si>
    <t>404-60-0280</t>
  </si>
  <si>
    <t>404-60-0281</t>
  </si>
  <si>
    <t>404-60-0282</t>
  </si>
  <si>
    <t>404-60-0283</t>
  </si>
  <si>
    <t>404-60-0284</t>
  </si>
  <si>
    <t>ตู้เก็บเอกสาร</t>
  </si>
  <si>
    <t>406-13-0015</t>
  </si>
  <si>
    <t>-</t>
  </si>
  <si>
    <t>406-16-0088</t>
  </si>
  <si>
    <t>406-16-0089</t>
  </si>
  <si>
    <t>ตู้เก็บเอกสารชนิด  2  บาน</t>
  </si>
  <si>
    <t>406-19-0109</t>
  </si>
  <si>
    <t>ตู้เก็บเอกสารชนิด 4  ลิ้นชัก</t>
  </si>
  <si>
    <t>406-25-0242</t>
  </si>
  <si>
    <t>406-25-0243</t>
  </si>
  <si>
    <t>406-26-0259</t>
  </si>
  <si>
    <t>406-26-0260</t>
  </si>
  <si>
    <t>406-29-0290</t>
  </si>
  <si>
    <t>406-29-0291</t>
  </si>
  <si>
    <t>ตู้เหล็กเก็บเอกสาร  4  ลิ้นชัก</t>
  </si>
  <si>
    <t>406-31-0420</t>
  </si>
  <si>
    <t>406-31-0421</t>
  </si>
  <si>
    <t>406-31-0422</t>
  </si>
  <si>
    <t>406-31-0423</t>
  </si>
  <si>
    <t>ตู้เก็บเอกสารชนิด  4  ลิ้นชัก</t>
  </si>
  <si>
    <t>406-31-0502</t>
  </si>
  <si>
    <t>กรมฯ ให้</t>
  </si>
  <si>
    <t>406-31-0503</t>
  </si>
  <si>
    <t>406-31-0504</t>
  </si>
  <si>
    <t>406-31-0505</t>
  </si>
  <si>
    <t>ตู้เหล็กเก็บเอกสารชนิด  2  บาน</t>
  </si>
  <si>
    <t>406-34-0564</t>
  </si>
  <si>
    <t>ตู้เหล็กเก็บเอกสารชนิด  4  ลิ้นชัก</t>
  </si>
  <si>
    <t>406-34-0565</t>
  </si>
  <si>
    <t>406-34-0566</t>
  </si>
  <si>
    <t>406-35-0661</t>
  </si>
  <si>
    <t>406-35-0662</t>
  </si>
  <si>
    <t>406-35-0663</t>
  </si>
  <si>
    <t>ตู้เก็บเอกสารชนิด  15  ลิ้นชัก</t>
  </si>
  <si>
    <t>406-35-0664</t>
  </si>
  <si>
    <t>T7 ตู้เก็บเอกสาร  ขนาด  80X40X84 ซม.</t>
  </si>
  <si>
    <t>406-52-1214</t>
  </si>
  <si>
    <t>406-52-1215</t>
  </si>
  <si>
    <t>406-52-1216</t>
  </si>
  <si>
    <t>406-52-1217</t>
  </si>
  <si>
    <t>406-52-1218</t>
  </si>
  <si>
    <t>406-52-1219</t>
  </si>
  <si>
    <t>ตู้เก็บเอกสารบานเลื่อนเหล็ก</t>
  </si>
  <si>
    <t>406-44-1007</t>
  </si>
  <si>
    <t>เครื่องปรับอากาศแบบแยกส่วนชนิดแขวนใต้ฝ้าเพดาน
ขนาดไม่น้อยกว่า  48,000  บีทียู (พร้อมติดตั้ง)</t>
  </si>
  <si>
    <t>420-52-0195</t>
  </si>
  <si>
    <t>420-52-0196</t>
  </si>
  <si>
    <t>420-52-0197</t>
  </si>
  <si>
    <t>420-52-0198</t>
  </si>
  <si>
    <t>ฉากกั้นแบบทึบเต็มแผ่น ขนาด 120X120 ซม.</t>
  </si>
  <si>
    <t>490-52-0012</t>
  </si>
  <si>
    <t>490-52-0013</t>
  </si>
  <si>
    <t>490-52-0014</t>
  </si>
  <si>
    <t>490-52-0015</t>
  </si>
  <si>
    <t>490-52-0016</t>
  </si>
  <si>
    <t>490-52-0017</t>
  </si>
  <si>
    <t>490-52-0018</t>
  </si>
  <si>
    <t>490-52-0019</t>
  </si>
  <si>
    <t>ฉากกั้นแบบทึบเต็มแผ่น ขนาด 120X180 ซม.</t>
  </si>
  <si>
    <t>490-52-0020</t>
  </si>
  <si>
    <t>490-52-0021</t>
  </si>
  <si>
    <t>490-52-0022</t>
  </si>
  <si>
    <t>490-52-0023</t>
  </si>
  <si>
    <t>ฉากกั้นแบบครึ่งกระจกขัดลาย ขนาด 80X180 ซม.</t>
  </si>
  <si>
    <t>490-52-0026</t>
  </si>
  <si>
    <t>490-52-0027</t>
  </si>
  <si>
    <t>490-52-0028</t>
  </si>
  <si>
    <t>490-52-0029</t>
  </si>
  <si>
    <t>490-52-0030</t>
  </si>
  <si>
    <t>ฉากกั้นแบบครึ่งกระจกขัดลาย ขนาด 1000X120 ซม.</t>
  </si>
  <si>
    <t>490-52-0033</t>
  </si>
  <si>
    <t>490-52-0034</t>
  </si>
  <si>
    <t>490-52-0035</t>
  </si>
  <si>
    <t>490-52-0036</t>
  </si>
  <si>
    <t>490-52-0037</t>
  </si>
  <si>
    <t>490-52-0038</t>
  </si>
  <si>
    <t>เครื่องจัดลำดับคิว (493)</t>
  </si>
  <si>
    <t>ชั้นวางของ (404)</t>
  </si>
  <si>
    <t>ชั้นวางของ</t>
  </si>
  <si>
    <t>404-58-0026 (ต)</t>
  </si>
  <si>
    <t>404-58-0027 (ต)</t>
  </si>
  <si>
    <t>ตู้ (406)</t>
  </si>
  <si>
    <t xml:space="preserve">ตู้บานเลื่อนกระจก </t>
  </si>
  <si>
    <t>406-58-0093 (ต)</t>
  </si>
  <si>
    <t>ตู้เอกสารแบบบานเปิด</t>
  </si>
  <si>
    <t>406-58-0094 (ต)</t>
  </si>
  <si>
    <t>คอมพิวเตอร์ (416)</t>
  </si>
  <si>
    <t>ปริ้นเตอร์ CANON MP 287</t>
  </si>
  <si>
    <t>จอภาพ ขนาด 17 นิ้ว</t>
  </si>
  <si>
    <t>416-51-0506</t>
  </si>
  <si>
    <t>เครื่องคอมพิวเตอร์ ยี่ห้อ HP</t>
  </si>
  <si>
    <t>416-51-0513</t>
  </si>
  <si>
    <t>เครื่องคอมพิวเตอร์ (CPU) ยี่ห้อ SVOA รุ่น Professional</t>
  </si>
  <si>
    <t>416-62-1360</t>
  </si>
  <si>
    <t xml:space="preserve">จอคอมพิวเตอร์ ขนาดไม่น้อยกว่า 19 นิ้ว ยี่ห้อ SVOA </t>
  </si>
  <si>
    <t>416-62-1361</t>
  </si>
  <si>
    <t>รุ่น E2180SW</t>
  </si>
  <si>
    <t>416-62-1362</t>
  </si>
  <si>
    <t>รายละเอียดครุภัณฑ์ต่ำกว่าเกณฑ์ สำนักปลัดเทศบาล</t>
  </si>
  <si>
    <t>โต๊ะทำงาน</t>
  </si>
  <si>
    <t>400-45-4520</t>
  </si>
  <si>
    <t>400-42-3741</t>
  </si>
  <si>
    <t>ท่องเที่ยว</t>
  </si>
  <si>
    <t>เครื่องคอมพิวเตอร์ LG-Flatron E2041</t>
  </si>
  <si>
    <t>เครื่อง CPU  Gview</t>
  </si>
  <si>
    <t>จักรยานบริการนักท่องเที่ยว ยี่ห้อ CAYOTE</t>
  </si>
  <si>
    <t>025-55-0013</t>
  </si>
  <si>
    <t>025-55-0014</t>
  </si>
  <si>
    <t>025-55-0015</t>
  </si>
  <si>
    <t>025-55-0016</t>
  </si>
  <si>
    <t>025-55-0017</t>
  </si>
  <si>
    <t>025-55-0018</t>
  </si>
  <si>
    <t>025-55-0019</t>
  </si>
  <si>
    <t>025-55-0020</t>
  </si>
  <si>
    <t>025-55-0021</t>
  </si>
  <si>
    <t>025-55-0022</t>
  </si>
  <si>
    <t>จักรยานบริการนักท่องเที่ยว ยี่ห้อ LA</t>
  </si>
  <si>
    <t>025-58-0023</t>
  </si>
  <si>
    <t>025-58-0024</t>
  </si>
  <si>
    <t>025-58-0025</t>
  </si>
  <si>
    <t>025-58-0026</t>
  </si>
  <si>
    <t>025-58-0027</t>
  </si>
  <si>
    <t>025-58-0028</t>
  </si>
  <si>
    <t>025-58-0029</t>
  </si>
  <si>
    <t>025-58-0030</t>
  </si>
  <si>
    <t>025-58-0031</t>
  </si>
  <si>
    <t>025-58-0032</t>
  </si>
  <si>
    <t>จักรยานบริการนักท่องเที่ยว ยี่ห้อ MTB WINN</t>
  </si>
  <si>
    <t>025-59-0033</t>
  </si>
  <si>
    <t>25 มค. 59</t>
  </si>
  <si>
    <t>025-59-0034</t>
  </si>
  <si>
    <t>025-59-0035</t>
  </si>
  <si>
    <t>025-59-0036</t>
  </si>
  <si>
    <t>025-59-0037</t>
  </si>
  <si>
    <t>025-59-0038</t>
  </si>
  <si>
    <t>025-59-0039</t>
  </si>
  <si>
    <t>025-59-0040</t>
  </si>
  <si>
    <t>025-59-0041</t>
  </si>
  <si>
    <t>ชุดเครื่องคอมพิวเตอร์ CPU</t>
  </si>
  <si>
    <t>416-59-0843</t>
  </si>
  <si>
    <t>จอคอมพิวเตอร์ AOC</t>
  </si>
  <si>
    <t>416-59-0844</t>
  </si>
  <si>
    <t>416-59-0845</t>
  </si>
  <si>
    <t>เครื่องปริ้นเตอร์ยี่ห้อ CANON รุ่น MP287</t>
  </si>
  <si>
    <t xml:space="preserve"> - </t>
  </si>
  <si>
    <t>ชุดโต๊ะประชุม(กลาง)#1</t>
  </si>
  <si>
    <t>400-30-1906</t>
  </si>
  <si>
    <t>ฝ่ายกิจการสภา</t>
  </si>
  <si>
    <t>ชุดโต๊ะประชุม(ต่อโค้ง)#1</t>
  </si>
  <si>
    <t>400-30-1908</t>
  </si>
  <si>
    <t>ชุดโต๊ะประชุม(ต่อโค้ง)#2</t>
  </si>
  <si>
    <t>400-30-1909</t>
  </si>
  <si>
    <t>ชุดโต๊ะประชุม(ต่อโค้ง)#3</t>
  </si>
  <si>
    <t>400-30-1910</t>
  </si>
  <si>
    <t>ชุดโต๊ะประชุม(ต่อโค้ง)#4</t>
  </si>
  <si>
    <t>400-30-1911</t>
  </si>
  <si>
    <t>โต๊ะประชุมสภาเทศบาล</t>
  </si>
  <si>
    <t>400-30-1912</t>
  </si>
  <si>
    <t>400-30-1913</t>
  </si>
  <si>
    <t>400-30-1914</t>
  </si>
  <si>
    <t>400-30-1915</t>
  </si>
  <si>
    <t>400-30-1916</t>
  </si>
  <si>
    <t>400-30-1917</t>
  </si>
  <si>
    <t>400-30-1918</t>
  </si>
  <si>
    <t>400-30-1919</t>
  </si>
  <si>
    <t>400-30-1920</t>
  </si>
  <si>
    <t>400-30-1921</t>
  </si>
  <si>
    <t>400-30-1922</t>
  </si>
  <si>
    <t>400-30-1923</t>
  </si>
  <si>
    <t>400-30-1924</t>
  </si>
  <si>
    <t>400-30-1925</t>
  </si>
  <si>
    <t>400-30-1926</t>
  </si>
  <si>
    <t>400-30-1927</t>
  </si>
  <si>
    <t>400-44-4490</t>
  </si>
  <si>
    <t>โต๊ะประชุม(โต๊ะไม้)</t>
  </si>
  <si>
    <t>400-44-4492</t>
  </si>
  <si>
    <t>400-44-4493</t>
  </si>
  <si>
    <t>โต๊ะประชุมกลาง#1</t>
  </si>
  <si>
    <t>400-53-5940</t>
  </si>
  <si>
    <t>400-53-5941</t>
  </si>
  <si>
    <t>400-53-5942</t>
  </si>
  <si>
    <t>400-53-5943</t>
  </si>
  <si>
    <t>400-53-5944</t>
  </si>
  <si>
    <t>400-53-5945</t>
  </si>
  <si>
    <t>โต๊ะประชุมต่อโค้ง#2  ครึ่งวงกลม</t>
  </si>
  <si>
    <t>400-53-5946</t>
  </si>
  <si>
    <t>400-53-5947</t>
  </si>
  <si>
    <t>เก้าอี้นั่งฟังบรรยายมีแป้นรองเขียน</t>
  </si>
  <si>
    <t>401-30-1151</t>
  </si>
  <si>
    <t>401-30-1152</t>
  </si>
  <si>
    <t>401-30-1153</t>
  </si>
  <si>
    <t>401-30-1154</t>
  </si>
  <si>
    <t>401-30-1155</t>
  </si>
  <si>
    <t>401-30-1156</t>
  </si>
  <si>
    <t>401-30-1157</t>
  </si>
  <si>
    <t>401-30-1158</t>
  </si>
  <si>
    <t>401-30-1159</t>
  </si>
  <si>
    <t>เก้าอี้คณะผู้บริหารเทศบาล</t>
  </si>
  <si>
    <t>401-30-1184</t>
  </si>
  <si>
    <t>401-30-1185</t>
  </si>
  <si>
    <t>401-30-1187</t>
  </si>
  <si>
    <t>เก้าอี้ผู้บริหารเบาะหนังปนฝ้าย</t>
  </si>
  <si>
    <t>401-40-2863</t>
  </si>
  <si>
    <t>401-40-2864</t>
  </si>
  <si>
    <t>401-40-2865</t>
  </si>
  <si>
    <t>401-40-2866</t>
  </si>
  <si>
    <t>401-40-2867</t>
  </si>
  <si>
    <t>401-40-2868</t>
  </si>
  <si>
    <t>401-40-2869</t>
  </si>
  <si>
    <t>401-40-2870</t>
  </si>
  <si>
    <t>401-40-2871</t>
  </si>
  <si>
    <t>401-40-2872</t>
  </si>
  <si>
    <t>401-40-2873</t>
  </si>
  <si>
    <t>401-40-2874</t>
  </si>
  <si>
    <t>401-40-2875</t>
  </si>
  <si>
    <t>401-40-2876</t>
  </si>
  <si>
    <t>401-40-2877</t>
  </si>
  <si>
    <t>401-40-2878</t>
  </si>
  <si>
    <t>401-40-2879</t>
  </si>
  <si>
    <t>401-40-2880</t>
  </si>
  <si>
    <t>401-40-2881</t>
  </si>
  <si>
    <t>401-40-2882</t>
  </si>
  <si>
    <t>401-40-2883</t>
  </si>
  <si>
    <t>401-40-2884</t>
  </si>
  <si>
    <t>401-40-2885</t>
  </si>
  <si>
    <t>401-40-2886</t>
  </si>
  <si>
    <t>401-40-2887</t>
  </si>
  <si>
    <t>เก้าอี้โครงสร้างเหล็กชุบโครเมี่ยม(เบาะหนัง)</t>
  </si>
  <si>
    <t>เก้าอี้ประชุมชนิดผ้าฝ้าย</t>
  </si>
  <si>
    <t>401-44-5170</t>
  </si>
  <si>
    <t>401-44-5171</t>
  </si>
  <si>
    <t>401-44-5172</t>
  </si>
  <si>
    <t>เก้าอี้ประชุม(สีเขียว)#1</t>
  </si>
  <si>
    <t>401-53-7904</t>
  </si>
  <si>
    <t>เก้าอี้ประชุม(สีเขียว)#2</t>
  </si>
  <si>
    <t>401-53-7905</t>
  </si>
  <si>
    <t>เก้าอี้ประชุม(สีเขียว)#3</t>
  </si>
  <si>
    <t>401-53-7906</t>
  </si>
  <si>
    <t>เก้าอี้ประชุม(สีเขียว)#4</t>
  </si>
  <si>
    <t>401-53-7907</t>
  </si>
  <si>
    <t>เก้าอี้ประชุม(สีเขียว)#5</t>
  </si>
  <si>
    <t>401-53-7908</t>
  </si>
  <si>
    <t>เก้าอี้ประชุม(สีเขียว)#6</t>
  </si>
  <si>
    <t>401-53-7909</t>
  </si>
  <si>
    <t>เก้าอี้ประชุม(สีเขียว)#7</t>
  </si>
  <si>
    <t>401-53-7910</t>
  </si>
  <si>
    <t>เก้าอี้ประชุม(สีเขียว)#8</t>
  </si>
  <si>
    <t>401-53-7911</t>
  </si>
  <si>
    <t>เก้าอี้ประชุม(สีเขียว)#9</t>
  </si>
  <si>
    <t>401-53-7912</t>
  </si>
  <si>
    <t>เก้าอี้ประชุม(สีเขียว)#10</t>
  </si>
  <si>
    <t>401-53-7913</t>
  </si>
  <si>
    <t>เก้าอี้ประชุม(สีเขียว)#11</t>
  </si>
  <si>
    <t>401-53-7914</t>
  </si>
  <si>
    <t>เก้าอี้ประชุม(สีเขียว)#12</t>
  </si>
  <si>
    <t>401-53-7915</t>
  </si>
  <si>
    <t>เก้าอี้ประชุม(สีเขียว)#13</t>
  </si>
  <si>
    <t>401-53-7916</t>
  </si>
  <si>
    <t>เก้าอี้ประชุม(สีเขียว)#14</t>
  </si>
  <si>
    <t>401-53-7917</t>
  </si>
  <si>
    <t>เก้าอี้ประชุม(สีเขียว)#15</t>
  </si>
  <si>
    <t>401-53-7918</t>
  </si>
  <si>
    <t>เก้าอี้ประชุม(สีเขียว)#16</t>
  </si>
  <si>
    <t>401-53-7919</t>
  </si>
  <si>
    <t>เก้าอี้ประชุม(สีเขียว)#17</t>
  </si>
  <si>
    <t>401-53-7920</t>
  </si>
  <si>
    <t>เก้าอี้ประชุม(สีเขียว)#18</t>
  </si>
  <si>
    <t>401-53-7921</t>
  </si>
  <si>
    <t>เก้าอี้ประชุม(สีเขียว)#19</t>
  </si>
  <si>
    <t>401-53-7922</t>
  </si>
  <si>
    <t>เก้าอี้ประชุม(สีเขียว)#20</t>
  </si>
  <si>
    <t>401-53-7923</t>
  </si>
  <si>
    <t>เก้าอี้ประชุม(สีส้ม)#1</t>
  </si>
  <si>
    <t>401-53-7924</t>
  </si>
  <si>
    <t>เก้าอี้ประชุม(สีส้ม)#2</t>
  </si>
  <si>
    <t>401-53-7925</t>
  </si>
  <si>
    <t>เก้าอี้ประชุม(สีส้ม)#3</t>
  </si>
  <si>
    <t>401-53-7926</t>
  </si>
  <si>
    <t>เก้าอี้ประชุม(สีส้ม)#4</t>
  </si>
  <si>
    <t>401-53-7927</t>
  </si>
  <si>
    <t>เก้าอี้ประชุม(สีส้ม)#5</t>
  </si>
  <si>
    <t>401-53-7928</t>
  </si>
  <si>
    <t>เก้าอี้ประชุม(สีส้ม)#6</t>
  </si>
  <si>
    <t>401-53-7929</t>
  </si>
  <si>
    <t>เก้าอี้ประชุม(สีส้ม)#7</t>
  </si>
  <si>
    <t>401-53-7930</t>
  </si>
  <si>
    <t>เก้าอี้ประชุม(สีส้ม)#8</t>
  </si>
  <si>
    <t>401-53-7931</t>
  </si>
  <si>
    <t>เก้าอี้ประชุม(สีส้ม)#9</t>
  </si>
  <si>
    <t>401-53-7932</t>
  </si>
  <si>
    <t>เก้าอี้ประชุม(สีส้ม)#10</t>
  </si>
  <si>
    <t>401-53-7933</t>
  </si>
  <si>
    <t>เก้าอี้ประชุม(สีส้ม)#11</t>
  </si>
  <si>
    <t>401-53-7934</t>
  </si>
  <si>
    <t>เก้าอี้ประชุม(สีส้ม)#12</t>
  </si>
  <si>
    <t>401-53-7935</t>
  </si>
  <si>
    <t>เก้าอี้ประชุม(สีส้ม)#13</t>
  </si>
  <si>
    <t>401-53-7936</t>
  </si>
  <si>
    <t>เก้าอี้ประชุม(สีส้ม)#14</t>
  </si>
  <si>
    <t>401-53-7937</t>
  </si>
  <si>
    <t>เก้าอี้ประชุม(สีส้ม)#15</t>
  </si>
  <si>
    <t>401-53-7938</t>
  </si>
  <si>
    <t>เก้าอี้ประชุม(สีส้ม)#16</t>
  </si>
  <si>
    <t>401-53-7939</t>
  </si>
  <si>
    <t>เก้าอี้ประชุม(สีส้ม)#17</t>
  </si>
  <si>
    <t>401-53-7940</t>
  </si>
  <si>
    <t>เก้าอี้ประชุม(สีส้ม)#18</t>
  </si>
  <si>
    <t>401-53-7941</t>
  </si>
  <si>
    <t>เก้าอี้ประชุม(สีส้ม)#19</t>
  </si>
  <si>
    <t>401-53-7942</t>
  </si>
  <si>
    <t>เก้าอี้ประชุม(สีส้ม)#20</t>
  </si>
  <si>
    <t>401-53-7943</t>
  </si>
  <si>
    <t>เก้าอี้ประชุม(สีส้ม)#21</t>
  </si>
  <si>
    <t>401-53-7944</t>
  </si>
  <si>
    <t>เก้าอี้ประชุม(สีส้ม)#22</t>
  </si>
  <si>
    <t>401-53-7945</t>
  </si>
  <si>
    <t>เก้าอี้ประชุม(สีส้ม)#23</t>
  </si>
  <si>
    <t>401-53-7946</t>
  </si>
  <si>
    <t>เก้าอี้ประชุม(สีส้ม)#24</t>
  </si>
  <si>
    <t>401-53-7947</t>
  </si>
  <si>
    <t>เก้าอี้ประชุม(สีส้ม)#25</t>
  </si>
  <si>
    <t>401-53-7948</t>
  </si>
  <si>
    <t>เก้าอี้ประชุม(สีส้ม)#26</t>
  </si>
  <si>
    <t>401-53-7949</t>
  </si>
  <si>
    <t>ชุดรับแขกโซฟา(ชุดใหญ่/ยาว 1 เดี่ยว 4)</t>
  </si>
  <si>
    <t>403-40-0028</t>
  </si>
  <si>
    <t>ชุดรับแขกโซฟา (ชุดเล็ก/ยาว 1 เดี่ยว 2)</t>
  </si>
  <si>
    <t>ชั้นไม้วางของ</t>
  </si>
  <si>
    <t>404-31-0094</t>
  </si>
  <si>
    <t>ตู้เหล็ก(แบบทึบ)</t>
  </si>
  <si>
    <t>406-47-1145</t>
  </si>
  <si>
    <t>ตู้เก็บเอกสาร(เทศบัญญัติฯ,กฎหมาย)</t>
  </si>
  <si>
    <t>406-48-1188</t>
  </si>
  <si>
    <t>ชุดเคาน์เตอร์พร้อมตู้ใส่ของ</t>
  </si>
  <si>
    <t>406-53-1240</t>
  </si>
  <si>
    <t>กระดานขาว(ไวท์บอร์ด)</t>
  </si>
  <si>
    <t>407-31-0004</t>
  </si>
  <si>
    <t>พระพุทธรูป (410)</t>
  </si>
  <si>
    <t>พระพุทธรูป</t>
  </si>
  <si>
    <t>410-33-0005</t>
  </si>
  <si>
    <t xml:space="preserve"> /</t>
  </si>
  <si>
    <t>เครื่องปรับอากาศ York ขนาด 127000 BTU</t>
  </si>
  <si>
    <t>420-47-0175</t>
  </si>
  <si>
    <t>420-47-0176</t>
  </si>
  <si>
    <t>420-51-0191</t>
  </si>
  <si>
    <t>เครื่องปรับอากาศ ยี่ห้อ  Mitsubishi รุ่น MS-SGD18VC</t>
  </si>
  <si>
    <t>420-53-0208</t>
  </si>
  <si>
    <t>เครื่องปรับอากาศ ยี่ห้อ TRANE ขนาด 25000 BTU</t>
  </si>
  <si>
    <t>เคาน์เตอร์ (427)</t>
  </si>
  <si>
    <t>ชุดเคาน์เตอร์พร้อมชั้นวางเครื่องเสียง</t>
  </si>
  <si>
    <t>427-32-0003</t>
  </si>
  <si>
    <t>ฝายกิจการสภา</t>
  </si>
  <si>
    <t>เครื่องขยายเสียง ขนาด 240 วัตต์</t>
  </si>
  <si>
    <t>462-57-0295</t>
  </si>
  <si>
    <t>462-57-0296</t>
  </si>
  <si>
    <t>462-57-0297</t>
  </si>
  <si>
    <t>เครื่องผสมสัญญาณเสียง ขนาด 6 โมโน 2 สเตอริโอ</t>
  </si>
  <si>
    <t>เครื่องปรับแต่งสัญญาณเสียง แบบสเตอริโอ ขนาด 15 ช่อง</t>
  </si>
  <si>
    <t>เครื่องเล่นและบันทึกเสียงแบบดิจิตอล</t>
  </si>
  <si>
    <t>455-57-0061</t>
  </si>
  <si>
    <t>ทีวีสีจอแบน ขนาด 100 cm. ยี่ห้อ Panasonic</t>
  </si>
  <si>
    <t>456-61-0091</t>
  </si>
  <si>
    <t>ผ้าม่านเวที ชนิดผ้าทอลาย Poly ผสม</t>
  </si>
  <si>
    <t>434-52-0002</t>
  </si>
  <si>
    <t>มีจับหลุยส์ มีภู่ระบาย ขนาด 10.6 x 3.7 ม.</t>
  </si>
  <si>
    <t>434-52-0003</t>
  </si>
  <si>
    <t>434-52-0004</t>
  </si>
  <si>
    <t>434-52-0005</t>
  </si>
  <si>
    <t>434-52-0006</t>
  </si>
  <si>
    <t>434-52-0007</t>
  </si>
  <si>
    <t>434-52-0008</t>
  </si>
  <si>
    <t>ตู้เย็น, ตู้แช่อาหาร (703)</t>
  </si>
  <si>
    <t>ตู้เย็น 2 ประตู ขนาด 7.2 คิว ยี่ห้อ MITSUBISHI</t>
  </si>
  <si>
    <t>703-61-0043</t>
  </si>
  <si>
    <t>จอมอนิเตอร์ HP L1710</t>
  </si>
  <si>
    <t>416-51-0500</t>
  </si>
  <si>
    <t>CPU Hp compaq</t>
  </si>
  <si>
    <t>416-51-0396</t>
  </si>
  <si>
    <t>เครื่องสำรองไฟฟ้า ยี่ห้อ Zircon รุ่น Smooth-I สีดำ</t>
  </si>
  <si>
    <t>โต๊ะทำงาน ขนาด 120x60x75 cm.</t>
  </si>
  <si>
    <t>400-56-0175 (ต)</t>
  </si>
  <si>
    <t>โต๊ะทำงานพร้อมถาดคีย์บอร์ด</t>
  </si>
  <si>
    <t>400-56-0176 (ต)</t>
  </si>
  <si>
    <t>ขนาด 120x60x75 cm.</t>
  </si>
  <si>
    <t>ชั้นวางเอกสารไม้</t>
  </si>
  <si>
    <t>404-56-0020 (ต)</t>
  </si>
  <si>
    <t>404-56-0021 (ต)</t>
  </si>
  <si>
    <t>ชั้นเอนกประสงค์ขนาดเล็ก</t>
  </si>
  <si>
    <t>404-56-0022 (ต)</t>
  </si>
  <si>
    <t>รถยนต์สายตรวจ  TOYOTA (สีทอง) ทะเบียน กง 2609 ลป.</t>
  </si>
  <si>
    <t>งานเทศกิจ</t>
  </si>
  <si>
    <t>ตู้เหล็กบานเลื่อนทึบ</t>
  </si>
  <si>
    <t>406-44-1009</t>
  </si>
  <si>
    <t>ตู้เก็บเอกสารชนิดบานเลื่อนมีกระจก</t>
  </si>
  <si>
    <t>406-43-0977</t>
  </si>
  <si>
    <t>ตู้เก็บแบบฟอร์มชนิด 15 ลิ้นชัก</t>
  </si>
  <si>
    <t>406-43-0979</t>
  </si>
  <si>
    <t xml:space="preserve">ตู้เก็บเอกสารชนิดบานเลื่อนเหล็กขนาด </t>
  </si>
  <si>
    <t>406-43-0978</t>
  </si>
  <si>
    <t>เก้าอี้สำนักงาน</t>
  </si>
  <si>
    <t xml:space="preserve">เครื่องขยายเสียง(250 วัตต์)+เทปใบ้taff+เครื่องรับวิทยุ </t>
  </si>
  <si>
    <t>marantz</t>
  </si>
  <si>
    <t>462-42-0111</t>
  </si>
  <si>
    <t>โทรโข่ง</t>
  </si>
  <si>
    <t>462-48-0255</t>
  </si>
  <si>
    <t>462-48-0258</t>
  </si>
  <si>
    <t>กล้องวงจรปิด (454)</t>
  </si>
  <si>
    <t>454-55-0027</t>
  </si>
  <si>
    <t>454-55-0028</t>
  </si>
  <si>
    <t>454-55-0029</t>
  </si>
  <si>
    <t>454-55-0030</t>
  </si>
  <si>
    <t>454-55-0031</t>
  </si>
  <si>
    <t>454-55-0032</t>
  </si>
  <si>
    <t>454-55-0033</t>
  </si>
  <si>
    <t>454-55-0034</t>
  </si>
  <si>
    <t>454-55-0035</t>
  </si>
  <si>
    <t>454-55-0036</t>
  </si>
  <si>
    <t>454-55-0037</t>
  </si>
  <si>
    <t>454-55-0038</t>
  </si>
  <si>
    <t>เครื่องแปลงสัญญาณภาพ/ไฟ</t>
  </si>
  <si>
    <t>477-55-0001</t>
  </si>
  <si>
    <t>454-55-0040</t>
  </si>
  <si>
    <t>454-55-0041</t>
  </si>
  <si>
    <t>454-55-0042</t>
  </si>
  <si>
    <t>454-55-0043</t>
  </si>
  <si>
    <t>454-55-0044</t>
  </si>
  <si>
    <t>454-55-0045</t>
  </si>
  <si>
    <t>454-55-0046</t>
  </si>
  <si>
    <t>454-55-0047</t>
  </si>
  <si>
    <t>454-55-0048</t>
  </si>
  <si>
    <t>454-55-0050</t>
  </si>
  <si>
    <t>454-55-0051</t>
  </si>
  <si>
    <t>454-55-0052</t>
  </si>
  <si>
    <t>454-55-0053</t>
  </si>
  <si>
    <t>เครื่องบันทึกสัญญาณภาพระบบดิจิตอลเครือข่าย 16 ช่อง</t>
  </si>
  <si>
    <t>454-55-0054</t>
  </si>
  <si>
    <t>DIGITAL VIDIO RECCORDER NETWORK  16 ช่อง</t>
  </si>
  <si>
    <t>416-55-0729</t>
  </si>
  <si>
    <t>กล้องโทรทัศน์วงจรปิดชนิดโดมปรับหมุนและส่ายซูมได้</t>
  </si>
  <si>
    <t>เครื่องสำรองไฟ UPS ยี่ห้อ APC รุ่น BX1100CI</t>
  </si>
  <si>
    <t>กล้องวงจรปิดแบบ FIXED-TIME</t>
  </si>
  <si>
    <t>454-52-0022</t>
  </si>
  <si>
    <t>454-55-0026</t>
  </si>
  <si>
    <t>454-52-0023</t>
  </si>
  <si>
    <t>454-52-0024</t>
  </si>
  <si>
    <t>454-52-0025</t>
  </si>
  <si>
    <t>งาน บ.ม.</t>
  </si>
  <si>
    <t>เครื่องทำลายเอกสาร (470)</t>
  </si>
  <si>
    <t>จอแสดงภาพ</t>
  </si>
  <si>
    <t>401-57-0832 (ต)</t>
  </si>
  <si>
    <t>เครื่องพิมพ์ ยี่ห้อ Canon MP288</t>
  </si>
  <si>
    <t>416-55-0071 (ต.)</t>
  </si>
  <si>
    <t>เครื่องพิมพ์ ยี่ห้อ Canon MP289</t>
  </si>
  <si>
    <t>416-55-0076 (ต.)</t>
  </si>
  <si>
    <t>งานเลขา ฯ</t>
  </si>
  <si>
    <t>400-19-0154</t>
  </si>
  <si>
    <t>400-44-4489</t>
  </si>
  <si>
    <t>400-56-6015</t>
  </si>
  <si>
    <t>400-56-6014</t>
  </si>
  <si>
    <t>400-26-0715</t>
  </si>
  <si>
    <t>401-48-6546</t>
  </si>
  <si>
    <t>401-48-7013</t>
  </si>
  <si>
    <t>401-52-7629</t>
  </si>
  <si>
    <t>400-58-0252 (ต)</t>
  </si>
  <si>
    <t>บริจาค</t>
  </si>
  <si>
    <t>งานเลขาฯ</t>
  </si>
  <si>
    <t>ชุดโซฟาหลุย</t>
  </si>
  <si>
    <t>โต๊ะข้างชุดหลุย</t>
  </si>
  <si>
    <t>เก้าอี้ชุดหลุย</t>
  </si>
  <si>
    <t>401-48-6518</t>
  </si>
  <si>
    <t>โต๊ะครึ่งวงกลม</t>
  </si>
  <si>
    <t>406-47-1148</t>
  </si>
  <si>
    <t xml:space="preserve">ชั้นวางหนังสือ </t>
  </si>
  <si>
    <t>406-48-1185</t>
  </si>
  <si>
    <t>ตู้เหล็ก 4 ลิ้นชัก</t>
  </si>
  <si>
    <t>406-12-0051</t>
  </si>
  <si>
    <t>ตู้เหล็กทึบ</t>
  </si>
  <si>
    <t>406-47-1147</t>
  </si>
  <si>
    <t>406-47-1146</t>
  </si>
  <si>
    <t>ตู้เก็บหนังสือ</t>
  </si>
  <si>
    <t>406-56-1254</t>
  </si>
  <si>
    <t>420-40-0066</t>
  </si>
  <si>
    <t>420-40-0067</t>
  </si>
  <si>
    <t>420-40-0063</t>
  </si>
  <si>
    <t>420-40-0062</t>
  </si>
  <si>
    <t>ช.420-39-0046</t>
  </si>
  <si>
    <t>420-46-0149</t>
  </si>
  <si>
    <t>ช.420-40-0093</t>
  </si>
  <si>
    <t>โทรทัศน์สี ยี่ห้อ พานาโซนิค twin topdome</t>
  </si>
  <si>
    <t>456-41-0021</t>
  </si>
  <si>
    <t>จอคอม HP</t>
  </si>
  <si>
    <t>416-50-0355</t>
  </si>
  <si>
    <t>เครื่องสำรองไฟ SYnDOME</t>
  </si>
  <si>
    <t>416-51-0431</t>
  </si>
  <si>
    <t>416-51-0432</t>
  </si>
  <si>
    <t>416-51-0433</t>
  </si>
  <si>
    <t>Cpu Hp compaq</t>
  </si>
  <si>
    <t>416-51-0398</t>
  </si>
  <si>
    <t>จอมอนิเตอร์  Hp L 1700</t>
  </si>
  <si>
    <t>416-51-0498</t>
  </si>
  <si>
    <t>416-51-0387</t>
  </si>
  <si>
    <t>416-51-0490</t>
  </si>
  <si>
    <t>เครื่องคอมพิวเตอร์ยี่ห้อ HP</t>
  </si>
  <si>
    <t>416-51-0400</t>
  </si>
  <si>
    <t>จอมอนิเตอร์ HP L1700</t>
  </si>
  <si>
    <t>416-51-0499</t>
  </si>
  <si>
    <t>เครื่องสำรองไฟ syndome</t>
  </si>
  <si>
    <t>416-51-0439</t>
  </si>
  <si>
    <t>Printer Hp Pro k 5400</t>
  </si>
  <si>
    <t>416-51-0454</t>
  </si>
  <si>
    <t>คอมพิวเตอร์ HP</t>
  </si>
  <si>
    <t>416-59-0848</t>
  </si>
  <si>
    <t>416-51-0394</t>
  </si>
  <si>
    <t>เครื่องสำรองไฟ ยี้ห้อ ZIRCON</t>
  </si>
  <si>
    <t>เครื่องพิมพ์ เลเซอร์ ยี่ห้อ BROTHER</t>
  </si>
  <si>
    <t xml:space="preserve">งานศูนย์บริการร่วมฯ </t>
  </si>
  <si>
    <t>เครื่องคอมพิวเตอร์โน๊ตบุ๊ค (ห้องประชุมชั้น 4)</t>
  </si>
  <si>
    <t>401-58-0914 (ต)</t>
  </si>
  <si>
    <t>401-58-0915 (ต)</t>
  </si>
  <si>
    <t>401-58-0916 (ต)</t>
  </si>
  <si>
    <t>401-55-0331 (ต)</t>
  </si>
  <si>
    <t>400-58-0257 (ต)</t>
  </si>
  <si>
    <t>400-58-0258 (ต)</t>
  </si>
  <si>
    <t>400-58-0259 (ต)</t>
  </si>
  <si>
    <t>406-58-0102 (ต)</t>
  </si>
  <si>
    <t>406-58-0103 (ต)</t>
  </si>
  <si>
    <t>406-58-0104 (ต)</t>
  </si>
  <si>
    <t>416-55-0069 (ต)</t>
  </si>
  <si>
    <t>ครุภัณฑ์ไฟฟ้าและวิทยุ</t>
  </si>
  <si>
    <t>เครื่องรับ-ส่งวิทยุสื่อสาร มือถือ สีดำ ยี่ห้อ ICOM</t>
  </si>
  <si>
    <t>464-40-0069</t>
  </si>
  <si>
    <t>งานป้องกันฯ</t>
  </si>
  <si>
    <t>เครื่องรับวิทยุสื่อสารมือถือ ยี่ห้อไอค่อม รุ่น IC-F3GS</t>
  </si>
  <si>
    <t>464-45-0144</t>
  </si>
  <si>
    <t>464-45-0153</t>
  </si>
  <si>
    <t>464-45-0160</t>
  </si>
  <si>
    <t>464-45-0172</t>
  </si>
  <si>
    <t>464-45-0175</t>
  </si>
  <si>
    <t>464-45-0190</t>
  </si>
  <si>
    <t>464-43-0120</t>
  </si>
  <si>
    <t>เครื่องสูบน้ำ (055)</t>
  </si>
  <si>
    <t xml:space="preserve">เครื่องสูบน้ำฮอนด้า WB 20 XT TR </t>
  </si>
  <si>
    <t>เครื่องยนต์เบนซินขนาด 2 นิ้ว</t>
  </si>
  <si>
    <t>055-48-0122</t>
  </si>
  <si>
    <t>055-48-0124</t>
  </si>
  <si>
    <t>055-48-0125</t>
  </si>
  <si>
    <t>เครื่องป๊มน้ำ ยี่ห้อมิตซูบิซิ รุ่น WP-255 Q2 มอร์เตอร์ 250 W</t>
  </si>
  <si>
    <t>055-51-0134</t>
  </si>
  <si>
    <t xml:space="preserve">เครื่องสูบน้ำไดโว่ ยี่ห้อมิตซูบิซิ </t>
  </si>
  <si>
    <t>055-54-0170</t>
  </si>
  <si>
    <t>400-30-1907</t>
  </si>
  <si>
    <t>400-22-0395</t>
  </si>
  <si>
    <t>401-37-1739</t>
  </si>
  <si>
    <t>401-38-1747</t>
  </si>
  <si>
    <t>401-38-1748</t>
  </si>
  <si>
    <t>เครื่องช่วยหายใจ (264)</t>
  </si>
  <si>
    <t>055-29-0013</t>
  </si>
  <si>
    <t>068-59-0041</t>
  </si>
  <si>
    <t>068-59-0042</t>
  </si>
  <si>
    <t>068-59-0043</t>
  </si>
  <si>
    <t>เลื่อยยนต์ STIHLS 180 ขนาด 12นิ้ว (หน่วย 1)</t>
  </si>
  <si>
    <t>เลื่อยยนต์ STIHLS 180 ขนาด 12นิ้ว (หน่วย 2)</t>
  </si>
  <si>
    <t>เลื่อยยนต์มิตซู หนัก 3.9 กก. ขนาดโซ่ 3/8" ความจุ</t>
  </si>
  <si>
    <t>ตู้ 4 ลิ้นชัก (หน่วย 1)</t>
  </si>
  <si>
    <t>408-59-0038</t>
  </si>
  <si>
    <t>นาฬิกาแขวนผนัง SEIKO 12นิ้ว (หน่วย 1)</t>
  </si>
  <si>
    <t>เครื่องพิมพ์ดีด (414)</t>
  </si>
  <si>
    <t>414-35-0067</t>
  </si>
  <si>
    <t>เครื่องพิมพ์ดีด (หน่วย 1)</t>
  </si>
  <si>
    <t>เครื่องปรับอากาศ (งานป้องกันฯ)</t>
  </si>
  <si>
    <t>420-59-0256</t>
  </si>
  <si>
    <t>เคาเตอร์ (งานป้องกันฯ)</t>
  </si>
  <si>
    <t>427-37-0005</t>
  </si>
  <si>
    <t>เลื่อยตัดโลหะ (งานป้องกันฯ)</t>
  </si>
  <si>
    <t>068-22-0004</t>
  </si>
  <si>
    <t xml:space="preserve">ชุดดับเพลิงทนความร้อนสูง ทำด้วยผ้า Nomax Advance </t>
  </si>
  <si>
    <t>474-56-0052</t>
  </si>
  <si>
    <t>474-56-0053</t>
  </si>
  <si>
    <t>474-56-0054</t>
  </si>
  <si>
    <t>474-60-0055</t>
  </si>
  <si>
    <t>474-60-0056</t>
  </si>
  <si>
    <t>474-60-0057</t>
  </si>
  <si>
    <t>474-60-0058</t>
  </si>
  <si>
    <t>ชุดดับเพลิง (474)</t>
  </si>
  <si>
    <t>006-63-0016</t>
  </si>
  <si>
    <t>006-63-0017</t>
  </si>
  <si>
    <t>รถยนต์กะบะปิ๊กอัพ นิสสัน สีขาว เครื่องยนต์ดีเซล</t>
  </si>
  <si>
    <t>002-32-0022</t>
  </si>
  <si>
    <t>รถยนต์กะบะปิ๊กอัพ นิสสัน สีขาว เครื่องยนต์เบนซิน</t>
  </si>
  <si>
    <t>002-37-0031</t>
  </si>
  <si>
    <t>002-42-0047</t>
  </si>
  <si>
    <t>006-48-0014</t>
  </si>
  <si>
    <t>006-48-0015</t>
  </si>
  <si>
    <t>004-35-0011</t>
  </si>
  <si>
    <t>006-36-0010</t>
  </si>
  <si>
    <t>004-39-0013</t>
  </si>
  <si>
    <t>004-40-0014</t>
  </si>
  <si>
    <t>004-41-0015</t>
  </si>
  <si>
    <t>โต๊ะ (จำหน่ายไป 34 ตัว อีก 2 ตัว ให้งานป้องกันฯ) (หน่วย 1)</t>
  </si>
  <si>
    <t>เก้าอี้ระดับ 3-6 (หน่วย 1)</t>
  </si>
  <si>
    <t>เลื่อย (068)</t>
  </si>
  <si>
    <t>เครื่องโทรสาร (424)</t>
  </si>
  <si>
    <t>424-58-0009 (ต)</t>
  </si>
  <si>
    <t>พัดลมโคจรรอบตัว (งานศูนย์บริการร่วม)</t>
  </si>
  <si>
    <t>เครื่องขยายเสียง (464)</t>
  </si>
  <si>
    <t>รวมทั้งสิ้น</t>
  </si>
  <si>
    <t>454-55-0049</t>
  </si>
  <si>
    <t>งบทรัพย์สินเทศบาลนครลำปาง</t>
  </si>
  <si>
    <t>ประเภททรัพย์สิน</t>
  </si>
  <si>
    <t>รหัสพัสดุ</t>
  </si>
  <si>
    <t>ครุภัณฑ์</t>
  </si>
  <si>
    <t>ก. อสังหาริมทรัพย์</t>
  </si>
  <si>
    <t>รวมอสังหาริมทรัพย์</t>
  </si>
  <si>
    <t>ก่อสร้างศาลพระภูมิ</t>
  </si>
  <si>
    <t>187-60-0010</t>
  </si>
  <si>
    <t>240-60-0003</t>
  </si>
  <si>
    <t xml:space="preserve">ครุภัณฑ์ยานพาหนะและขนส่ง </t>
  </si>
  <si>
    <t>ครุภัณฑ์การเกษตร</t>
  </si>
  <si>
    <t>ครุภัณฑ์โรงงาน</t>
  </si>
  <si>
    <t>283-60-0006</t>
  </si>
  <si>
    <t>ครุภัณฑ์วิทยาศาสตร์</t>
  </si>
  <si>
    <t>ครุภัณฑ์สำนักงาน</t>
  </si>
  <si>
    <t>ครุภัณฑ์งานบ้านงานครัว</t>
  </si>
  <si>
    <t>ครุภัณฑ์โฆษณาและเผยแพร่</t>
  </si>
  <si>
    <t>ครุภัณฑ์ดับเพลิง</t>
  </si>
  <si>
    <t>ครุภัณฑ์ต่ำกว่าเกณฑ์ (วัสดุ)</t>
  </si>
  <si>
    <t>จำนวนรายการ</t>
  </si>
  <si>
    <t>จำนวนเงินที่ได้มา</t>
  </si>
  <si>
    <t>1.  ที่ดิน</t>
  </si>
  <si>
    <t>2.  อาคารและโรงเรียน</t>
  </si>
  <si>
    <t>3.  สิ่งก่อสร้างอื่น</t>
  </si>
  <si>
    <t xml:space="preserve">    3.1  สิ่งปลูกสร้าง</t>
  </si>
  <si>
    <t xml:space="preserve"> </t>
  </si>
  <si>
    <t xml:space="preserve">    3.2  ตลาด</t>
  </si>
  <si>
    <t xml:space="preserve">    3.3  โรงเรียน</t>
  </si>
  <si>
    <t xml:space="preserve">          อาคารเรียน</t>
  </si>
  <si>
    <t xml:space="preserve">          อาคารโรงพละศึกษา</t>
  </si>
  <si>
    <t xml:space="preserve">          อาคารโรงฝึกงาน</t>
  </si>
  <si>
    <t xml:space="preserve">          สถานที่ดื่มน้ำยึดติดกับพื้นดิน</t>
  </si>
  <si>
    <t xml:space="preserve">    3.6  เตาเผาขยะ</t>
  </si>
  <si>
    <t xml:space="preserve">    3.7  หอถังระบบน้ำบาดาล</t>
  </si>
  <si>
    <t>ข. สังหาริมทรัพย์</t>
  </si>
  <si>
    <t>1.  ครุภัณฑ์สำนักงาน</t>
  </si>
  <si>
    <t xml:space="preserve">    ป้ายปิดประกาศ</t>
  </si>
  <si>
    <t xml:space="preserve">    โต๊ะ</t>
  </si>
  <si>
    <t xml:space="preserve">    เก้าอี้</t>
  </si>
  <si>
    <t xml:space="preserve">    ม้านั่ง</t>
  </si>
  <si>
    <t xml:space="preserve">    ชุดรับแขก</t>
  </si>
  <si>
    <t xml:space="preserve">    ชั้นวางของ</t>
  </si>
  <si>
    <t xml:space="preserve">    โพเดียม แท่นกล่าวรายงาน</t>
  </si>
  <si>
    <t xml:space="preserve">    ตู้</t>
  </si>
  <si>
    <t xml:space="preserve">    กระดาน, ไวท์บอร์ด,บอร์ดนิทรรศการ</t>
  </si>
  <si>
    <t xml:space="preserve">    นาฬิกา</t>
  </si>
  <si>
    <t xml:space="preserve">    พระพุทธรูป</t>
  </si>
  <si>
    <t xml:space="preserve">    พระบรมฉายาลักษณ์</t>
  </si>
  <si>
    <t xml:space="preserve">    เครื่องบันทึกเงินสด</t>
  </si>
  <si>
    <t xml:space="preserve">    เครื่องพิมพ์ดีด</t>
  </si>
  <si>
    <t xml:space="preserve">    เครื่องคำนวนเลข</t>
  </si>
  <si>
    <t xml:space="preserve">    เครื่องถ่ายเอกสาร, เครื่องถ่ายพิมพ์เขียว</t>
  </si>
  <si>
    <t xml:space="preserve">    เครื่องอัดสำเนา</t>
  </si>
  <si>
    <t xml:space="preserve">    เครื่องปรุกระดาษไข</t>
  </si>
  <si>
    <t xml:space="preserve">    เครื่องปรับอากาศ</t>
  </si>
  <si>
    <t xml:space="preserve">    เครื่องขัดพื้น</t>
  </si>
  <si>
    <t xml:space="preserve">    เครื่องชุมสายโทรศัพท์</t>
  </si>
  <si>
    <t xml:space="preserve">    เครื่องโทรศัพท์, โทรศัพท์มือถือ</t>
  </si>
  <si>
    <t xml:space="preserve">    เครื่องโทรสาร</t>
  </si>
  <si>
    <t xml:space="preserve">    เครื่องถอดเทป</t>
  </si>
  <si>
    <t xml:space="preserve">    ตู้เซฟ ตู้นิรภัย</t>
  </si>
  <si>
    <t xml:space="preserve">    เคาน์เตอร์</t>
  </si>
  <si>
    <t xml:space="preserve">    พรม</t>
  </si>
  <si>
    <t xml:space="preserve">    พัดลม</t>
  </si>
  <si>
    <t xml:space="preserve">    บันได</t>
  </si>
  <si>
    <t xml:space="preserve">    ถังน้ำ</t>
  </si>
  <si>
    <t xml:space="preserve">    เครื่องดูดฝุ่น</t>
  </si>
  <si>
    <t xml:space="preserve">    มาตรสำหรับตรวจวงจรไฟฟ้า, มิเตอร์ไฟฟ้า</t>
  </si>
  <si>
    <t xml:space="preserve">    เครื่องทำลายเอกสาร</t>
  </si>
  <si>
    <t xml:space="preserve">    ที่นั่งหมุน</t>
  </si>
  <si>
    <t xml:space="preserve">    โต๊ะหมู่บูชา</t>
  </si>
  <si>
    <t xml:space="preserve">    ไฟฉุกเฉิน</t>
  </si>
  <si>
    <t xml:space="preserve">    ภาพแกะสลัก</t>
  </si>
  <si>
    <t xml:space="preserve">    ฉากกั้นห้อง</t>
  </si>
  <si>
    <t xml:space="preserve">    เครื่องจัดลำดับคิว</t>
  </si>
  <si>
    <t xml:space="preserve">    เครื่องสแกนลายนิ้วมือ</t>
  </si>
  <si>
    <t xml:space="preserve">    เครื่องพิมพ์บัตร</t>
  </si>
  <si>
    <t xml:space="preserve">    รถเข็นสำนักงาน</t>
  </si>
  <si>
    <r>
      <t xml:space="preserve">    ถังเก็บน้ำสแตนเลส</t>
    </r>
    <r>
      <rPr>
        <sz val="16.5"/>
        <color indexed="10"/>
        <rFont val="TH SarabunPSK"/>
        <family val="2"/>
      </rPr>
      <t>*</t>
    </r>
  </si>
  <si>
    <t xml:space="preserve">    ฯลฯ</t>
  </si>
  <si>
    <t xml:space="preserve">    รถยนต์นั่ง รถตู้ ไม่เกิน 15 คน</t>
  </si>
  <si>
    <t xml:space="preserve">    รถบรรทุก รถบิ๊กอัพ</t>
  </si>
  <si>
    <t xml:space="preserve">    รถดับเพลิง</t>
  </si>
  <si>
    <t xml:space="preserve">    รถบรรทุกน้ำ</t>
  </si>
  <si>
    <t xml:space="preserve">    รถดูดสิ่งปฏิกูล</t>
  </si>
  <si>
    <t xml:space="preserve">    รถกวาดถนน</t>
  </si>
  <si>
    <t xml:space="preserve">    รถบรรทุกขยะมูลฝอย</t>
  </si>
  <si>
    <t xml:space="preserve">    รถกระเช้า</t>
  </si>
  <si>
    <t xml:space="preserve">    รถยก รถปั้นจั่น</t>
  </si>
  <si>
    <t xml:space="preserve">    รถกระบะยกเท 2 - 15 ตัน</t>
  </si>
  <si>
    <t xml:space="preserve">    รถม้าลาก</t>
  </si>
  <si>
    <t xml:space="preserve">    รถจักรยานยนต์</t>
  </si>
  <si>
    <t xml:space="preserve">    รถจักรยาน</t>
  </si>
  <si>
    <t xml:space="preserve">    รถสามล้อแดง, รถดั้มเปอร์เล็ก, รถเก็บสายยาง,รถตรวจการณ์</t>
  </si>
  <si>
    <t xml:space="preserve">    เรือยนต์, เรือเร็ว</t>
  </si>
  <si>
    <t xml:space="preserve">    เรือติดท้าย</t>
  </si>
  <si>
    <t xml:space="preserve">    เรือยาง,เรืออื่น ๆ</t>
  </si>
  <si>
    <t xml:space="preserve">    เครื่องชักลากโคลนเลน</t>
  </si>
  <si>
    <t xml:space="preserve">    เครื่องยนต์,หลังคารถกระบะทรงสูง</t>
  </si>
  <si>
    <t xml:space="preserve">    รถยกโรงศพ</t>
  </si>
  <si>
    <t xml:space="preserve">    สัญญาณไฟไซเรนท์ติดรถ</t>
  </si>
  <si>
    <t xml:space="preserve">    เครื่องติดตามรถระบบดาวเทียม</t>
  </si>
  <si>
    <t xml:space="preserve">    แท่นสแตนเลสจอดรถจักรยาน</t>
  </si>
  <si>
    <t xml:space="preserve">    ลิฟท์ไฟฟ้ายกรถ</t>
  </si>
  <si>
    <t xml:space="preserve">   เครื่องพ่นหมอกควัน, ถังพ่นยา</t>
  </si>
  <si>
    <t xml:space="preserve">    เครื่องสูบน้ำ, เครื่องปั้มน้ำ</t>
  </si>
  <si>
    <t xml:space="preserve">    เครื่องพ่นยา, เครื่องพ่นสารเคมี</t>
  </si>
  <si>
    <t xml:space="preserve">    กระถางไพเบอร์</t>
  </si>
  <si>
    <t xml:space="preserve">    เครื่องโม่กาบมะพร้าว,เครื่องแปลงขยะชีวภาพ</t>
  </si>
  <si>
    <t xml:space="preserve">    เครื่องตีขุยมะพร้าว</t>
  </si>
  <si>
    <t xml:space="preserve">    เครื่องตัดแต่งกิ่งไม้</t>
  </si>
  <si>
    <t xml:space="preserve">    เครื่องให้อ๊อกซิเจนไฟฟ้า</t>
  </si>
  <si>
    <r>
      <t xml:space="preserve">   </t>
    </r>
    <r>
      <rPr>
        <sz val="16.5"/>
        <color indexed="8"/>
        <rFont val="TH SarabunPSK"/>
        <family val="2"/>
      </rPr>
      <t>แผงบังคับทางไฟ, เครื่องควบุคมและจ่ายกระแสไฟ</t>
    </r>
  </si>
  <si>
    <t xml:space="preserve">   กล้องวงจรปิด</t>
  </si>
  <si>
    <t xml:space="preserve">   เครื่องเล่นเทปวิดีโอ</t>
  </si>
  <si>
    <t xml:space="preserve">   ขาตั้งไมค์โครโฟน</t>
  </si>
  <si>
    <t xml:space="preserve">   ไมโครโฟน, ไมค์ลอย,</t>
  </si>
  <si>
    <t xml:space="preserve">   ลำโพง, แอ็คโค่</t>
  </si>
  <si>
    <t xml:space="preserve">   เครื่องบันทึกเสียง</t>
  </si>
  <si>
    <t xml:space="preserve">   เครื่องขยายเสียง</t>
  </si>
  <si>
    <t xml:space="preserve">   เครื่องเล่นจานเสียง</t>
  </si>
  <si>
    <t xml:space="preserve">   วิทยุรับ-ส่งแบบมือถือ สะพาย ติดรถยนต์</t>
  </si>
  <si>
    <t xml:space="preserve">   เครื่องกำเนิดไฟฟ้า</t>
  </si>
  <si>
    <t xml:space="preserve">   หม้อแปลงไฟฟ้า, ตู้คอนโทรลไฟฟ้า ค.ตัดกระแสไฟ</t>
  </si>
  <si>
    <t xml:space="preserve">   เครื่องวัดแรงดันไฟฟ้า, เครื่องวัดกระแสไฟฟ้า</t>
  </si>
  <si>
    <t xml:space="preserve">   เครื่องประจุไฟฟ้า</t>
  </si>
  <si>
    <t xml:space="preserve">   เครื่องกระจายข่าวภาครับ</t>
  </si>
  <si>
    <t xml:space="preserve">   โคมไฟสาธารณะ,โคมไฟฟ้า,ไฟราว</t>
  </si>
  <si>
    <t xml:space="preserve">   จอรับภาพชนิมอเตอร์ไฟฟ้า</t>
  </si>
  <si>
    <t xml:space="preserve">   เครื่องฉายสไลต์ </t>
  </si>
  <si>
    <t xml:space="preserve">   กล้องถ่ายรูป, กล้องถ่ายสไลด์,กล้องวิดิโอ</t>
  </si>
  <si>
    <t xml:space="preserve">   โคมไฟถ่ายภาพ - ไฟแว็ป(ไฟแฟรตถ่ายรูป)</t>
  </si>
  <si>
    <t xml:space="preserve">   เครื่องรับโทรทัศน์</t>
  </si>
  <si>
    <t xml:space="preserve">   เครื่องแปลงสัญญาณภาพ/ไฟ</t>
  </si>
  <si>
    <t xml:space="preserve">   กล้องจุลทัศน์</t>
  </si>
  <si>
    <t xml:space="preserve">   กล้องดูดาว</t>
  </si>
  <si>
    <t xml:space="preserve">   เครื่องดูดควัน</t>
  </si>
  <si>
    <t xml:space="preserve">   เครื่องดูดอากาศ</t>
  </si>
  <si>
    <t xml:space="preserve">   เครื่องจ่ายแก็ซคลอรีน</t>
  </si>
  <si>
    <t xml:space="preserve">   เครื่องวัดความถี่</t>
  </si>
  <si>
    <t xml:space="preserve">   เครื่องฉายแสง</t>
  </si>
  <si>
    <t xml:space="preserve">   เครื่องตรวจสอบคุณภาพน้ำ</t>
  </si>
  <si>
    <t xml:space="preserve">   เครื่องนึ่ง</t>
  </si>
  <si>
    <t xml:space="preserve">   ตู้เก็บเครื่องแก้ววิทยาศาสตร์, ตู้เก็บอุปกรณ์ฯ</t>
  </si>
  <si>
    <t xml:space="preserve">   หม้อต้มเครื่องมือ, หม้อนึ่งไฟฟ้า</t>
  </si>
  <si>
    <t xml:space="preserve">   เครื่องจี้คอ</t>
  </si>
  <si>
    <t xml:space="preserve">   เครื่องดูดเสมหะ</t>
  </si>
  <si>
    <t xml:space="preserve">   เครื่องกรอฟัน, ยูนิตทำฟัน, เครื่องทำฟันฯ</t>
  </si>
  <si>
    <t xml:space="preserve">   เครื่องให้ออกซิเจน</t>
  </si>
  <si>
    <t xml:space="preserve">   เครื่องเอ็กซเรย์</t>
  </si>
  <si>
    <t xml:space="preserve">   ฉากกั้นแสงเอ็กซเรย์</t>
  </si>
  <si>
    <t xml:space="preserve">   เครื่องช่วยหายใจ</t>
  </si>
  <si>
    <t xml:space="preserve">   เครื่องตรวจหายใจ</t>
  </si>
  <si>
    <t xml:space="preserve">   เครื่องตรวจไขมัน</t>
  </si>
  <si>
    <t xml:space="preserve">   เครื่องตรวจตา,หู,คอ,จมูก</t>
  </si>
  <si>
    <t xml:space="preserve">   เครื่องตรวจเม็ดเลือดและน้ำตาลในเลือด</t>
  </si>
  <si>
    <t xml:space="preserve">   เครื่องล้างเข็มฉีดยา, เครื่องกำจัดทำลายเข็มฯ</t>
  </si>
  <si>
    <t xml:space="preserve">   เครื่องวัดความดันโลหิต</t>
  </si>
  <si>
    <t xml:space="preserve">   เครื่องวัดรัศมีการเห็นของลูกตา</t>
  </si>
  <si>
    <t xml:space="preserve">   โคมไฟผ่าตัด</t>
  </si>
  <si>
    <t xml:space="preserve">   เครื่องมือผ่าตัดเป็นชุด</t>
  </si>
  <si>
    <t xml:space="preserve">   เครื่องช่วยคลอดสัตว์เป็นชุด</t>
  </si>
  <si>
    <t xml:space="preserve">   เตียงพยาบาล, เตียงตรวจโรค</t>
  </si>
  <si>
    <t xml:space="preserve">   หุ่นจำลอง</t>
  </si>
  <si>
    <t xml:space="preserve">   รถเข็นผู้ป่วย</t>
  </si>
  <si>
    <t xml:space="preserve">   เครื่องชั่งขนาดกลาง, เครื่องชั่งน้ำหนัก</t>
  </si>
  <si>
    <t xml:space="preserve">   เครื่องขูดหินปูนไฟฟ้า</t>
  </si>
  <si>
    <t xml:space="preserve">   ถังทิ้งผ้ากันเปื้อน</t>
  </si>
  <si>
    <t xml:space="preserve">   กระติกแช่วัคซีน</t>
  </si>
  <si>
    <t xml:space="preserve">   เสาใส่น้ำเกลือ</t>
  </si>
  <si>
    <t xml:space="preserve">   เครื่องปั่นผสมสารอุดฟัน</t>
  </si>
  <si>
    <t xml:space="preserve">   อุปกรณ์ตามและเคลื่อนย้ายผู้ป่วย,ชุดกระเป๋าฯ</t>
  </si>
  <si>
    <t xml:space="preserve">    ผ้าม่าน</t>
  </si>
  <si>
    <t xml:space="preserve">    เครื่องทำน้ำเย็น</t>
  </si>
  <si>
    <t xml:space="preserve">    เตียง, ที่นอน</t>
  </si>
  <si>
    <t xml:space="preserve">    เครื่องตัดหญ้า</t>
  </si>
  <si>
    <t xml:space="preserve">    เครื่องตัดวัชพืช,กรรไกรตัดกิ่งไม้</t>
  </si>
  <si>
    <t xml:space="preserve">    เครื่องกรองน้ำ</t>
  </si>
  <si>
    <t xml:space="preserve">    เตาแก๊ส, เตาไฟฟ้า, เตาอบ ฯลฯ</t>
  </si>
  <si>
    <t xml:space="preserve">    ตู้เย็น,ตู้แช่อาหาร</t>
  </si>
  <si>
    <t xml:space="preserve">    หม้อหุงข้าวพร้อมอุปกรณ์และถังแก๊ซ</t>
  </si>
  <si>
    <t xml:space="preserve">    เครื่องบดอาหาร</t>
  </si>
  <si>
    <t xml:space="preserve">    เครื่องซักผ้า</t>
  </si>
  <si>
    <t xml:space="preserve">    ถาดหลุม</t>
  </si>
  <si>
    <t xml:space="preserve">    ตะเกียงแอร์, หม้อกระทะไฟฟ้า</t>
  </si>
  <si>
    <t xml:space="preserve">    หม้อหุงข้าว </t>
  </si>
  <si>
    <t xml:space="preserve">    กระติกน้ำร้อน</t>
  </si>
  <si>
    <t xml:space="preserve">    หม้อน้ำร้อนสแตนเลส</t>
  </si>
  <si>
    <t xml:space="preserve">     เครื่องกลึง,เครื่องขัดกระดาษทราย</t>
  </si>
  <si>
    <t xml:space="preserve">     สว่าน</t>
  </si>
  <si>
    <t xml:space="preserve">     ชุดเชื่อมตัดเหล็ก</t>
  </si>
  <si>
    <t xml:space="preserve">     เครื่องไสไม้ไฟฟ้า</t>
  </si>
  <si>
    <t xml:space="preserve">     เลื่อย, หินเจีย, เครื่องเจีย</t>
  </si>
  <si>
    <t xml:space="preserve">     เครื่องอัดจารบี</t>
  </si>
  <si>
    <t xml:space="preserve">     แม่แรง, แท่นไฮโดรลิค </t>
  </si>
  <si>
    <t xml:space="preserve">     ประแจ, ปากกาจับชิ้นงาน</t>
  </si>
  <si>
    <t xml:space="preserve">     มอเตอร์ เครื่องชาร์ทแบตเตอรี่</t>
  </si>
  <si>
    <t xml:space="preserve">     เครื่องเติมน้ำมันเกียร์</t>
  </si>
  <si>
    <t xml:space="preserve">     เหล็กขูด, โช๊คปิด-เปิดอัตโนมัติ</t>
  </si>
  <si>
    <t xml:space="preserve">     ชุดเกย์วัดความดันลม</t>
  </si>
  <si>
    <t xml:space="preserve">     เครนยกของ,ลอกยกของ</t>
  </si>
  <si>
    <t xml:space="preserve">     หีบเครื่องมือ</t>
  </si>
  <si>
    <t xml:space="preserve">     หัวแร้ง</t>
  </si>
  <si>
    <r>
      <t xml:space="preserve">     คันยกวาล์ว, ชุดงานแป๊บเหล็ก, ชุดดูดลูกปืน</t>
    </r>
    <r>
      <rPr>
        <sz val="16.5"/>
        <color indexed="10"/>
        <rFont val="TH SarabunPSK"/>
        <family val="2"/>
      </rPr>
      <t>*</t>
    </r>
  </si>
  <si>
    <t xml:space="preserve">     ทั่งตีเหล็ก</t>
  </si>
  <si>
    <t xml:space="preserve">     เครื่องผลิตน้ำมันไบโอดีเซล</t>
  </si>
  <si>
    <t xml:space="preserve">     เครื่องเย็บปากถุง</t>
  </si>
  <si>
    <t xml:space="preserve">     เครื่องอัดขยะ,เครื่องชั่งขยะมูลฝอย</t>
  </si>
  <si>
    <t xml:space="preserve">     เครื่องฉีดน้ำแรงดันสูง</t>
  </si>
  <si>
    <t xml:space="preserve">     เครื่องกระเทาะเปลือกสบู่ดำ</t>
  </si>
  <si>
    <t xml:space="preserve">     เครื่องหีบสบู่ดำ</t>
  </si>
  <si>
    <t xml:space="preserve">     เครื่องกรองน้ำมันสบู่ดำ</t>
  </si>
  <si>
    <t xml:space="preserve">     หน้ากากป้องกันควันพิษ, อุปกรณ์ดับเพลิง</t>
  </si>
  <si>
    <t xml:space="preserve">     อุปกรณ์ประจำสนามเด็กเล่น</t>
  </si>
  <si>
    <t xml:space="preserve">     เบาะยูโด, เบาะยิมนาสติก</t>
  </si>
  <si>
    <t xml:space="preserve">     บ๊อกซ์สแตนด์</t>
  </si>
  <si>
    <t xml:space="preserve">     อุปกรณ์กีฬา</t>
  </si>
  <si>
    <t xml:space="preserve">     เหล็กยกน้ำหนักเป็นชุด</t>
  </si>
  <si>
    <t xml:space="preserve">     เครื่องออกกำลังกาย (บริหารกล้ามเนื้อ)</t>
  </si>
  <si>
    <t xml:space="preserve">     อุปกรณ์เด็กเล่น</t>
  </si>
  <si>
    <t xml:space="preserve">     ลูกโลกหมุน</t>
  </si>
  <si>
    <t xml:space="preserve">     ชิงช้า</t>
  </si>
  <si>
    <t xml:space="preserve">     ฯลฯ</t>
  </si>
  <si>
    <t>รวมสังหาริมทรัพย์</t>
  </si>
  <si>
    <t xml:space="preserve">    3.5  บ่อหมักสิ่งปฏิกูล</t>
  </si>
  <si>
    <t>ครุภัณฑ์คอมพิวเตอร์</t>
  </si>
  <si>
    <t>068-59-0044</t>
  </si>
  <si>
    <t>068-59-0045</t>
  </si>
  <si>
    <t>401-40-3593</t>
  </si>
  <si>
    <t>401-40-3594</t>
  </si>
  <si>
    <t>401-40-3595</t>
  </si>
  <si>
    <t>401-40-3596</t>
  </si>
  <si>
    <t>401-40-3597</t>
  </si>
  <si>
    <t>401-40-3598</t>
  </si>
  <si>
    <t>401-40-3599</t>
  </si>
  <si>
    <t>401-40-3600</t>
  </si>
  <si>
    <t>401-40-3601</t>
  </si>
  <si>
    <t>401-40-3602</t>
  </si>
  <si>
    <t>401-40-3603</t>
  </si>
  <si>
    <t>401-40-3604</t>
  </si>
  <si>
    <t>401-40-3605</t>
  </si>
  <si>
    <t>401-40-3606</t>
  </si>
  <si>
    <t>401-40-3607</t>
  </si>
  <si>
    <t>401-40-3608</t>
  </si>
  <si>
    <t>401-40-3609</t>
  </si>
  <si>
    <t>401-40-3610</t>
  </si>
  <si>
    <t>401-40-3611</t>
  </si>
  <si>
    <t>401-40-3612</t>
  </si>
  <si>
    <t>401-40-3613</t>
  </si>
  <si>
    <t>401-40-3633</t>
  </si>
  <si>
    <t>401-40-3614</t>
  </si>
  <si>
    <t>477-55-0002</t>
  </si>
  <si>
    <t>เครื่องขยายเสียง</t>
  </si>
  <si>
    <t>463-44-0004</t>
  </si>
  <si>
    <t>เครื่องคอมพิวเตอร์ (CPU)</t>
  </si>
  <si>
    <t>416-55-0737</t>
  </si>
  <si>
    <t>16 พ.ย.56</t>
  </si>
  <si>
    <t>จอรับภาพมอนิเตอร์</t>
  </si>
  <si>
    <t>416-55-0738</t>
  </si>
  <si>
    <t>CPU</t>
  </si>
  <si>
    <t>416-55-0739</t>
  </si>
  <si>
    <t xml:space="preserve">   เครื่องบันทึกสัญญาณภาพฯ</t>
  </si>
  <si>
    <t>(002)</t>
  </si>
  <si>
    <t>(004)</t>
  </si>
  <si>
    <t>(006)</t>
  </si>
  <si>
    <t>(025)</t>
  </si>
  <si>
    <t>006-42-0013</t>
  </si>
  <si>
    <t>004-37-0012</t>
  </si>
  <si>
    <t>004-48-0017</t>
  </si>
  <si>
    <t>รถบรรทุกกระบะบรรทุก 2 ตอน (ศูนย์รถยนต์กลาง)</t>
  </si>
  <si>
    <t>002-39-0035</t>
  </si>
  <si>
    <t>(029)</t>
  </si>
  <si>
    <t>เรืออลูมิเนียมอัลลอยด์ (งานป้องกันฯปงสนุก)</t>
  </si>
  <si>
    <t>029-40-0001</t>
  </si>
  <si>
    <t>งานป้อนกันฯ</t>
  </si>
  <si>
    <t>ถังบรรทุกที่ติดตั้งบนรถยนต์</t>
  </si>
  <si>
    <t>004-40-0016</t>
  </si>
  <si>
    <t>(038)</t>
  </si>
  <si>
    <t>สัญญาณไฟวับวาบ (ไฟไซเรน)</t>
  </si>
  <si>
    <t>038-60-0001</t>
  </si>
  <si>
    <t>ครุภัณฑ์กีฬา</t>
  </si>
  <si>
    <t>อุปกรณ์ยืดเหยียดกล้ามเนื้อ (อาคารมูลนิธิชัยพัฒนา)</t>
  </si>
  <si>
    <t>(806)</t>
  </si>
  <si>
    <t>(807)</t>
  </si>
  <si>
    <t>806-50-0017</t>
  </si>
  <si>
    <t>807-50-0012</t>
  </si>
  <si>
    <t>ปั้มแช่ไดรโว่</t>
  </si>
  <si>
    <t>055-46-0103</t>
  </si>
  <si>
    <t>416-48-0236</t>
  </si>
  <si>
    <t>416-49-0271</t>
  </si>
  <si>
    <t>068-57-0032</t>
  </si>
  <si>
    <t>068-57-0033</t>
  </si>
  <si>
    <t>068-57-0031</t>
  </si>
  <si>
    <t>เครื่องเลื่อยโซ่สตีล</t>
  </si>
  <si>
    <t>068-22-0001</t>
  </si>
  <si>
    <t>เครื่องเย็บปากถุงแบบมือถือ</t>
  </si>
  <si>
    <t>(112)</t>
  </si>
  <si>
    <t>112-48-0002</t>
  </si>
  <si>
    <t xml:space="preserve">ลำโพงติดเพดาน ขนาด 30 วัตต์ </t>
  </si>
  <si>
    <t>459-57-0822</t>
  </si>
  <si>
    <t>459-57-0823</t>
  </si>
  <si>
    <t>459-57-0824</t>
  </si>
  <si>
    <t>459-57-0825</t>
  </si>
  <si>
    <t>459-57-0826</t>
  </si>
  <si>
    <t>459-57-0827</t>
  </si>
  <si>
    <t>459-57-0828</t>
  </si>
  <si>
    <t xml:space="preserve">459-57-0821 </t>
  </si>
  <si>
    <t>เครื่องช่วยหายใจแบบอัดอากาศ</t>
  </si>
  <si>
    <t>264-51-0014</t>
  </si>
  <si>
    <t>264-51-0017</t>
  </si>
  <si>
    <t>264-52-0018</t>
  </si>
  <si>
    <t>264-52-0019</t>
  </si>
  <si>
    <t>264-52-0020</t>
  </si>
  <si>
    <t>264-52-0021</t>
  </si>
  <si>
    <t>264-51-0015</t>
  </si>
  <si>
    <t>264-51-0016</t>
  </si>
  <si>
    <t>ชุดดับเพลิง</t>
  </si>
  <si>
    <t>474-44-0032</t>
  </si>
  <si>
    <t>474-44-0033</t>
  </si>
  <si>
    <t>474-44-0034</t>
  </si>
  <si>
    <t>474-44-0035</t>
  </si>
  <si>
    <t>474-44-0036</t>
  </si>
  <si>
    <t>หัวฉีดดับเพลิง</t>
  </si>
  <si>
    <t>474-43-0027</t>
  </si>
  <si>
    <t>474-43-0028</t>
  </si>
  <si>
    <t>474-43-0029</t>
  </si>
  <si>
    <t>474-43-0030</t>
  </si>
  <si>
    <t>474-43-0031</t>
  </si>
  <si>
    <t>รถจักรยานยนต์ (024)</t>
  </si>
  <si>
    <t>รถจักรยานยนต์สายตรวจ KAWASAKI</t>
  </si>
  <si>
    <t>024-43-0069</t>
  </si>
  <si>
    <t>ทะเบียน กษน 46 ลป</t>
  </si>
  <si>
    <t>024-43-0070</t>
  </si>
  <si>
    <t>ทะเบียน กษธ 945 ลป</t>
  </si>
  <si>
    <t>ไฟฉุกเฉิน (487)</t>
  </si>
  <si>
    <t>002-45-0054</t>
  </si>
  <si>
    <t>เครื่องปั่นไฟ (465)</t>
  </si>
  <si>
    <t>เครื่องปั่นไฟ 2 kva</t>
  </si>
  <si>
    <t>465-61-0007</t>
  </si>
  <si>
    <t>ไฟไซเรนแบบหมุนทรงแคปซูล</t>
  </si>
  <si>
    <t>487-52-0018</t>
  </si>
  <si>
    <t>เครื่องรับ-ส่งวิทยุ</t>
  </si>
  <si>
    <t>464-62-0205</t>
  </si>
  <si>
    <t>464-62-0206</t>
  </si>
  <si>
    <t>ชุดไฟส่องสว่างเคลื่อนที่ (082)</t>
  </si>
  <si>
    <t>ชุดไฟส่องสว่างเคลื่อนที่</t>
  </si>
  <si>
    <t>082-61-1751</t>
  </si>
  <si>
    <t>กล้องวีดีโอ</t>
  </si>
  <si>
    <t>454-56-0057</t>
  </si>
  <si>
    <t>454-56-0058</t>
  </si>
  <si>
    <t>454-55-0055</t>
  </si>
  <si>
    <t>จอแสดงผล</t>
  </si>
  <si>
    <t>454-59-0085</t>
  </si>
  <si>
    <t>454-59-0086</t>
  </si>
  <si>
    <t>454-59-0087</t>
  </si>
  <si>
    <t>454-59-0088</t>
  </si>
  <si>
    <t>454-59-0089</t>
  </si>
  <si>
    <t>454-59-0090</t>
  </si>
  <si>
    <t>454-59-0091</t>
  </si>
  <si>
    <t>454-59-0092</t>
  </si>
  <si>
    <t>454-59-0093</t>
  </si>
  <si>
    <t>454-59-0094</t>
  </si>
  <si>
    <t>454-59-0095</t>
  </si>
  <si>
    <t>454-59-0096</t>
  </si>
  <si>
    <t>454-59-0097</t>
  </si>
  <si>
    <t>454-59-0098</t>
  </si>
  <si>
    <t>454-59-0099</t>
  </si>
  <si>
    <t>454-59-0100</t>
  </si>
  <si>
    <t>454-59-0101</t>
  </si>
  <si>
    <t>454-59-0102</t>
  </si>
  <si>
    <t>454-59-0103</t>
  </si>
  <si>
    <t>454-59-0104</t>
  </si>
  <si>
    <t>454-59-0105</t>
  </si>
  <si>
    <t>กล้องโทรทัศน์วงจรปิด</t>
  </si>
  <si>
    <t>อุปกรณ์บันทึกภาพผ่านเครือข่าย</t>
  </si>
  <si>
    <t>454-59-0073</t>
  </si>
  <si>
    <t>กล้องโทรทัศน์</t>
  </si>
  <si>
    <t>454-59-0074</t>
  </si>
  <si>
    <t>454-59-0075</t>
  </si>
  <si>
    <t>454-59-0076</t>
  </si>
  <si>
    <t>454-59-0077</t>
  </si>
  <si>
    <t>454-59-0078</t>
  </si>
  <si>
    <t>454-59-0079</t>
  </si>
  <si>
    <t>454-59-0080</t>
  </si>
  <si>
    <t>454-59-0081</t>
  </si>
  <si>
    <t>454-59-0082</t>
  </si>
  <si>
    <t>อุปกรณ์ควบคุมเครือข่ายกลาง</t>
  </si>
  <si>
    <t>454-59-0084</t>
  </si>
  <si>
    <t>416-49-0320</t>
  </si>
  <si>
    <t>416-61-1313</t>
  </si>
  <si>
    <t>416-50-0356</t>
  </si>
  <si>
    <t>จอคอม LCD</t>
  </si>
  <si>
    <t>งานท่องเที่ยว</t>
  </si>
  <si>
    <t>ปรับปรุงระบบสารสนเทศศูนย์รับเรื่องร้องทุกข์</t>
  </si>
  <si>
    <t>416-58-0836</t>
  </si>
  <si>
    <t>416-50-0357</t>
  </si>
  <si>
    <t>416-50-0360</t>
  </si>
  <si>
    <t>416-52-0556</t>
  </si>
  <si>
    <t>จอคอมพิวเตอร์ HP</t>
  </si>
  <si>
    <t>เครื่องคอมพิวเตอร์ ATEC</t>
  </si>
  <si>
    <t>416-42-0049</t>
  </si>
  <si>
    <t>ชุดควบคุมและตรวจสอบควมปลอดภัยส่วนกลาง</t>
  </si>
  <si>
    <t>416-55-0730</t>
  </si>
  <si>
    <t>416-55-0731</t>
  </si>
  <si>
    <t>416-55-0728</t>
  </si>
  <si>
    <t>เครื่องอ่านบัตร ปชช</t>
  </si>
  <si>
    <t>416-60-1264</t>
  </si>
  <si>
    <t>416-60-1265</t>
  </si>
  <si>
    <t>416-60-1266</t>
  </si>
  <si>
    <t>เครื่อง CPU HP Compaq</t>
  </si>
  <si>
    <t>416-52-0554</t>
  </si>
  <si>
    <t>439-31-0028</t>
  </si>
  <si>
    <t>439-33-0046</t>
  </si>
  <si>
    <t>439-36-0047</t>
  </si>
  <si>
    <t>ตู้เย็น</t>
  </si>
  <si>
    <t>703-36-0021</t>
  </si>
  <si>
    <t>ตู้เย็น 1 ประตู</t>
  </si>
  <si>
    <t>703-59-0041</t>
  </si>
  <si>
    <t>เตียงนอนเหล็ก (440)</t>
  </si>
  <si>
    <t>เตียงนอนเหล็ก</t>
  </si>
  <si>
    <t>440-36-0077</t>
  </si>
  <si>
    <t>440-36-0078</t>
  </si>
  <si>
    <t>440-36-0079</t>
  </si>
  <si>
    <t>440-36-0080</t>
  </si>
  <si>
    <t>440-36-0081</t>
  </si>
  <si>
    <t>440-36-0082</t>
  </si>
  <si>
    <t>440-36-0083</t>
  </si>
  <si>
    <t>440-36-0084</t>
  </si>
  <si>
    <t>440-36-0085</t>
  </si>
  <si>
    <t>440-36-0086</t>
  </si>
  <si>
    <t>440-36-0087</t>
  </si>
  <si>
    <t>440-36-0088</t>
  </si>
  <si>
    <t>440-36-0089</t>
  </si>
  <si>
    <t>440-36-0090</t>
  </si>
  <si>
    <t>440-36-0091</t>
  </si>
  <si>
    <t>440-36-0092</t>
  </si>
  <si>
    <t>440-36-0093</t>
  </si>
  <si>
    <t>440-36-0094</t>
  </si>
  <si>
    <t>440-36-0095</t>
  </si>
  <si>
    <t>440-36-0096</t>
  </si>
  <si>
    <t>440-36-0097</t>
  </si>
  <si>
    <t>440-36-0098</t>
  </si>
  <si>
    <t>440-36-0099</t>
  </si>
  <si>
    <t>440-36-0100</t>
  </si>
  <si>
    <t>440-36-0101</t>
  </si>
  <si>
    <t>440-36-0102</t>
  </si>
  <si>
    <t>440-36-0103</t>
  </si>
  <si>
    <t>440-36-0104</t>
  </si>
  <si>
    <t>440-36-0105</t>
  </si>
  <si>
    <t>440-36-0106</t>
  </si>
  <si>
    <t>440-36-0107</t>
  </si>
  <si>
    <t>434-57-0011</t>
  </si>
  <si>
    <t>บังรางม่าน (433)</t>
  </si>
  <si>
    <t>ผ้าม่าน</t>
  </si>
  <si>
    <t xml:space="preserve">    ม่านปรับแสง</t>
  </si>
  <si>
    <t>อุปกรณ์บันทึกภาพฯ (454)</t>
  </si>
  <si>
    <t>454-59-0106</t>
  </si>
  <si>
    <t>454-59-0107</t>
  </si>
  <si>
    <t>โทรทัศน์สี</t>
  </si>
  <si>
    <t>456-52-0063</t>
  </si>
  <si>
    <t>ทีวีสี จอ LCD</t>
  </si>
  <si>
    <t>456-54-0067</t>
  </si>
  <si>
    <t>456-54-0068</t>
  </si>
  <si>
    <t xml:space="preserve">เครื่องรับ-ส่งวิทยุ มือถือ </t>
  </si>
  <si>
    <t xml:space="preserve">   อุปกรณ์บันทึกภาพฯ</t>
  </si>
  <si>
    <t>เครื่องกระจายเสียงฯ (492)</t>
  </si>
  <si>
    <t>เครื่องกระจายเสียงสัญญาณคอมพิวเตอร์</t>
  </si>
  <si>
    <t>492-51-0092</t>
  </si>
  <si>
    <t>458-37-0080</t>
  </si>
  <si>
    <t>458-37-0081</t>
  </si>
  <si>
    <t>458-37-0082</t>
  </si>
  <si>
    <t>458-37-0083</t>
  </si>
  <si>
    <t>458-37-0084</t>
  </si>
  <si>
    <t>458-37-0085</t>
  </si>
  <si>
    <t>ไมโครโฟนชุดประชุม (ห้องประชุมสภา)</t>
  </si>
  <si>
    <t>อุปกรณ์กระจายสัญญาณแบบ POE</t>
  </si>
  <si>
    <t>454-59-0108</t>
  </si>
  <si>
    <t>454-59-0109</t>
  </si>
  <si>
    <t>454-59-0110</t>
  </si>
  <si>
    <t>เครื่องซาร์ทแบตเตอร์รี่</t>
  </si>
  <si>
    <t>เครื่องซาร์ทแบตเตอร์รี่ (469)</t>
  </si>
  <si>
    <t>469-46-0005</t>
  </si>
  <si>
    <t>โคมไฟหลอดทัลฮาโลท์</t>
  </si>
  <si>
    <t>082-38-0537</t>
  </si>
  <si>
    <t>082-38-0538</t>
  </si>
  <si>
    <t>082-38-0539</t>
  </si>
  <si>
    <t>082-38-0540</t>
  </si>
  <si>
    <t>461-47-0067</t>
  </si>
  <si>
    <t>461-47-0068</t>
  </si>
  <si>
    <t>วิทยุเทป ซี.ดี. (ติดตั้งรถยนต์ ลปม.5211)</t>
  </si>
  <si>
    <t>วิทยุ (461)</t>
  </si>
  <si>
    <t>วิทยุเทป ซี.ดี. (ติดตั้งรถยนต์ ลปข.6645)</t>
  </si>
  <si>
    <t>462-53-0284</t>
  </si>
  <si>
    <t>462-45-0189</t>
  </si>
  <si>
    <t>เก้าอี้เบาะหนัง</t>
  </si>
  <si>
    <t>401-24-1799</t>
  </si>
  <si>
    <t>401-38-1800</t>
  </si>
  <si>
    <t>เก้าอี้แถวโพลี่ไพรพีลีน</t>
  </si>
  <si>
    <t>401-38-1801</t>
  </si>
  <si>
    <t>401-38-1815</t>
  </si>
  <si>
    <t>401-40-3675</t>
  </si>
  <si>
    <t>401-40-3676</t>
  </si>
  <si>
    <t>401-40-3677</t>
  </si>
  <si>
    <t>401-40-3678</t>
  </si>
  <si>
    <t>401-40-3679</t>
  </si>
  <si>
    <t>401-40-3680</t>
  </si>
  <si>
    <t>401-40-3681</t>
  </si>
  <si>
    <t>401-40-3682</t>
  </si>
  <si>
    <t>401-40-3683</t>
  </si>
  <si>
    <t>401-26-0388</t>
  </si>
  <si>
    <t>401-26-0389</t>
  </si>
  <si>
    <t>401-26-0390</t>
  </si>
  <si>
    <t>401-26-0391</t>
  </si>
  <si>
    <t>401-30-1160</t>
  </si>
  <si>
    <t>เก้าอี้นั่งฟังบรรยาย</t>
  </si>
  <si>
    <t>401-30-1161</t>
  </si>
  <si>
    <t>401-30-1163</t>
  </si>
  <si>
    <t>401-30-1180</t>
  </si>
  <si>
    <t>เก้าอี้สมาชิกสภาเทศบาล</t>
  </si>
  <si>
    <t>401-30-1191</t>
  </si>
  <si>
    <t>401-30-1192</t>
  </si>
  <si>
    <t>401-30-1194</t>
  </si>
  <si>
    <t>401-40-3737</t>
  </si>
  <si>
    <t>401-40-3738</t>
  </si>
  <si>
    <t>เก้าอี้โครงสร้างเหล็กชุบโครเมี่ยม</t>
  </si>
  <si>
    <t>401-42-3900</t>
  </si>
  <si>
    <t>401-44-5173</t>
  </si>
  <si>
    <t>401-45-5192</t>
  </si>
  <si>
    <t>เก้าอี้แถวโพลีไพรพีสิน</t>
  </si>
  <si>
    <t>401-53-7950</t>
  </si>
  <si>
    <t>เก้าอี้พนักงาน</t>
  </si>
  <si>
    <t>401-60-9013</t>
  </si>
  <si>
    <t>เครื่องปรับอากาศแบบแยกส่วน</t>
  </si>
  <si>
    <t>420-33-0008</t>
  </si>
  <si>
    <t>420-34-0042</t>
  </si>
  <si>
    <t>420-35-0044</t>
  </si>
  <si>
    <t>420-37-0036</t>
  </si>
  <si>
    <t>420-40-0096</t>
  </si>
  <si>
    <t>420-40-0097</t>
  </si>
  <si>
    <t>420-45-0132</t>
  </si>
  <si>
    <t>420-49-0186</t>
  </si>
  <si>
    <t>420-35-0027</t>
  </si>
  <si>
    <t>420-34-0045</t>
  </si>
  <si>
    <t>420-40-0053</t>
  </si>
  <si>
    <t>420-47-0178</t>
  </si>
  <si>
    <t>420-47-0179</t>
  </si>
  <si>
    <t>420-47-0177</t>
  </si>
  <si>
    <t>420-46-0148</t>
  </si>
  <si>
    <t xml:space="preserve">เครื่องพิมพ์ดีด </t>
  </si>
  <si>
    <t>งานทะเบียนฯ</t>
  </si>
  <si>
    <t>414-38-0079</t>
  </si>
  <si>
    <t>406-17-0096</t>
  </si>
  <si>
    <t>406-32-0458</t>
  </si>
  <si>
    <t>406-33-0488</t>
  </si>
  <si>
    <t>406-33-0489</t>
  </si>
  <si>
    <t>406-34-0561</t>
  </si>
  <si>
    <t>406-34-0562</t>
  </si>
  <si>
    <t>406-37-0654</t>
  </si>
  <si>
    <t>406-37-0655</t>
  </si>
  <si>
    <t>406-37-0656</t>
  </si>
  <si>
    <t>ตู้ล๊อคเกอร์</t>
  </si>
  <si>
    <t>406-38-0668</t>
  </si>
  <si>
    <t>406-38-0669</t>
  </si>
  <si>
    <t>406-40-0882</t>
  </si>
  <si>
    <t>406-40-0883</t>
  </si>
  <si>
    <t>406-40-0884</t>
  </si>
  <si>
    <t>406-40-0885</t>
  </si>
  <si>
    <t>406-41-0994</t>
  </si>
  <si>
    <t>406-44-1023</t>
  </si>
  <si>
    <t>406-44-1024</t>
  </si>
  <si>
    <t>406-45-1048</t>
  </si>
  <si>
    <t>ตู้คอนเทนเนอร์</t>
  </si>
  <si>
    <t>ตู้สำหรับจัดเก็บเครื่องคอมพิวเตอร์</t>
  </si>
  <si>
    <t>406-59-1278</t>
  </si>
  <si>
    <t>406-37-0652</t>
  </si>
  <si>
    <t>406-37-0653</t>
  </si>
  <si>
    <t>406-37-0657</t>
  </si>
  <si>
    <t>400-30-1747</t>
  </si>
  <si>
    <t>400-35-2202</t>
  </si>
  <si>
    <t>400-35-2204</t>
  </si>
  <si>
    <t>โต๊ะพิมพ์ดีด (หน่วยที่ 1)</t>
  </si>
  <si>
    <t>โต๊ะทำงานพร้อมเก้าอี้</t>
  </si>
  <si>
    <t>400-36-2705</t>
  </si>
  <si>
    <t>400-37-2822</t>
  </si>
  <si>
    <t>400-37-2707</t>
  </si>
  <si>
    <t>400-37-2706</t>
  </si>
  <si>
    <t>400-38-2375</t>
  </si>
  <si>
    <t>400-38-2376</t>
  </si>
  <si>
    <t>400-48-5672</t>
  </si>
  <si>
    <t>โต๊ะ</t>
  </si>
  <si>
    <t>400-26-0714</t>
  </si>
  <si>
    <t>400-28-0752</t>
  </si>
  <si>
    <t>400-28-0757</t>
  </si>
  <si>
    <t>400-22-1900</t>
  </si>
  <si>
    <t>โต๊ะสี่เหลี่ยมผืนผ้า</t>
  </si>
  <si>
    <t>400-22-1901</t>
  </si>
  <si>
    <t>400-59-6265</t>
  </si>
  <si>
    <t>โต๊ะทำงาน  (งานรักษาความสงบ)</t>
  </si>
  <si>
    <t>400-38-2835</t>
  </si>
  <si>
    <t>โต๊ะประชุม (อาคารดับเพลิงชั้นล่าง)</t>
  </si>
  <si>
    <t>ถังเก็บน้ำกรีนทรี</t>
  </si>
  <si>
    <t>437-51-0021</t>
  </si>
  <si>
    <t>432-48-0622</t>
  </si>
  <si>
    <t>พัดลมโคจรติดผนัง</t>
  </si>
  <si>
    <t>432-54-0750</t>
  </si>
  <si>
    <t>ไฟสัญญาณฉุกเฉิน (487)</t>
  </si>
  <si>
    <t>ไฟสัญญาณฉุกเฉิน</t>
  </si>
  <si>
    <t>487-39-0009</t>
  </si>
  <si>
    <t>487-39-0010</t>
  </si>
  <si>
    <t>487-39-0011</t>
  </si>
  <si>
    <t>487-39-0012</t>
  </si>
  <si>
    <t>487-39-0013</t>
  </si>
  <si>
    <t>404-40-0150</t>
  </si>
  <si>
    <t>404-40-0151</t>
  </si>
  <si>
    <t>ป้าย</t>
  </si>
  <si>
    <t>081-41-0004</t>
  </si>
  <si>
    <t>403-49-0186</t>
  </si>
  <si>
    <t>เครื่องคำนวณเลข (415)</t>
  </si>
  <si>
    <t>เครื่องคำนวณเลข</t>
  </si>
  <si>
    <t>415-34-0050</t>
  </si>
  <si>
    <t>415-34-0051</t>
  </si>
  <si>
    <t>400-43-3748/1</t>
  </si>
  <si>
    <t>432-54-0744</t>
  </si>
  <si>
    <t>เครื่องปรับอากาศ COOL SQUARE (ห้องรับรอง)</t>
  </si>
  <si>
    <t>เครื่องปรับอากาศ COOL SQUARE (รองสุวรรณฯ)</t>
  </si>
  <si>
    <t>เครื่องปรับอากาศ COOL SQUARE (ห้องโถงนายกฯ)</t>
  </si>
  <si>
    <t>เครื่องปรับอากาศ COOL SQUARE (รองนพวรรณฯ)</t>
  </si>
  <si>
    <t>เครื่องปรับอากาศ (เลขาฯเผ่าชัยฯ)</t>
  </si>
  <si>
    <t>เครื่องปรับอากาศยี่ห้อ UNIMASTER แบบแขวน (ห้องหัวหน้าฝ่ายบริหารฯ)</t>
  </si>
  <si>
    <t>เครื่องปรับอากาศ (ห้องหัวหน้าสำนักปลัดฯ)</t>
  </si>
  <si>
    <t xml:space="preserve">ตู้เหล็กเก็บเอกสาร (งานธุรการ) </t>
  </si>
  <si>
    <t>เครื่องปรับอากาศ (ห้องหัวหน้าบรรยงฯ)</t>
  </si>
  <si>
    <t>เครื่องปรับอากาศ (ห้องหัวหน้างานป้องกันฯ)</t>
  </si>
  <si>
    <t>เครื่องปรับอากาศ (ห้องรองยุทธนาฯ)</t>
  </si>
  <si>
    <t>เครื่องปรับอากาศ (ห้องรองสมเกียรติฯ)</t>
  </si>
  <si>
    <t>ตรวจสอบภายใน</t>
  </si>
  <si>
    <t>จอคอมพิวเตอร์ (หัวหน้าสำนักปลัด)</t>
  </si>
  <si>
    <t>เครื่องพิมพ์คอมพิวเตอร์ (หัวหน้าสำนักปลัด)</t>
  </si>
  <si>
    <t>ซีพียูคอมพิวเตอร์ (หัวหน้าสำนักปลัด)</t>
  </si>
  <si>
    <t>2.  ครุภัณฑ์ยานพาหนะและขนส่ง</t>
  </si>
  <si>
    <t>3. ครุภัณฑ์การเกษตร</t>
  </si>
  <si>
    <t>4. ครุภัณฑ์ไฟฟ้าและวิทยุ</t>
  </si>
  <si>
    <t>5. ครุภัณฑ์โฆษณาและเผยแพร่</t>
  </si>
  <si>
    <t>6. ครุภัณฑ์วิทยาศาสตร์หรือการแพทย์</t>
  </si>
  <si>
    <t>7. ครุภัณฑ์งานบ้านงานครัว</t>
  </si>
  <si>
    <t>8. ครุภัณฑ์โรงงาน</t>
  </si>
  <si>
    <t>9. ครุภัณฑ์เครื่องดับเพลิง</t>
  </si>
  <si>
    <t>10. ครุภัณฑ์กีฬา</t>
  </si>
  <si>
    <t>401-46-6155</t>
  </si>
  <si>
    <t>401-46-6162</t>
  </si>
  <si>
    <t>420-33-0017</t>
  </si>
  <si>
    <t>415-40-0113</t>
  </si>
  <si>
    <t>เครื่องโทรสาร</t>
  </si>
  <si>
    <t>จอ LCD</t>
  </si>
  <si>
    <t>456-52-0065</t>
  </si>
  <si>
    <t>หมายเลขเครื่องยนต์ TD 25-T00811 เลขตัวถัง RGD21-</t>
  </si>
  <si>
    <t>B07920 4 สูบ 2494 ซีซี ทะเบียน ลป บ 7840</t>
  </si>
  <si>
    <t>หมายเลขเครื่องยนต์ Z16-T32787 4 สูบ 1595 ซีซี</t>
  </si>
  <si>
    <t xml:space="preserve">2 เพลา 4 ล้อ แบบ CGD21SFU1%DX ทะเบียน ลป </t>
  </si>
  <si>
    <t>รถยนต์กระบะปิ๊กอัพ ยี่ห้อมาสด้า สีแดง 2500 ลักลี่</t>
  </si>
  <si>
    <t>แบบ Fighter เครื่องยนต์ดีเซล หมายเลขเครื่องยนต์</t>
  </si>
  <si>
    <t>WLAT138145 หมายเลขตัวถังรถ MM8UNDD3100</t>
  </si>
  <si>
    <t>121095 2 เพลา 96 แรงม้า ทะเบียน ลป บท 9904</t>
  </si>
  <si>
    <t>รถยนต์ดับเพลิงชนิดมีบันได้เลื่อนอัตโนมัติ ยี่ห้อเมอศซี-</t>
  </si>
  <si>
    <t>เดสเบนซ์ รุ่น 1422252 (RHD) เครื่องยนต์ดีเซล 218 แรงม้า</t>
  </si>
  <si>
    <t>พร้อมติดตั้งเครื่องสูบน้ำดับเพลิง ยี่ห้อ ZIGLER รุ่น Ed 16/8</t>
  </si>
  <si>
    <t>2M หมายเลขเครื่องยนต์ 441-60520611695 ทะเบียน</t>
  </si>
  <si>
    <t>ลป ผ 6905 (หน่วย 1)</t>
  </si>
  <si>
    <t>รถยนต์กู้ภัยเอนกประสงค์ ยี่ห้อนิสสัน รุ่น CLG87FHSB</t>
  </si>
  <si>
    <t>หมายเลขเครื่องยนต์ FE6-047591B เลขตัวถังรถยนต์</t>
  </si>
  <si>
    <t>CLG87F-00753 จำนวน 6 สูบ 180 แรงม้า ทะเบียน</t>
  </si>
  <si>
    <t>รถยนต์ดับเพลิง ยี่ห้อมิตซูบิชิ ชนิดมีถังน้ำในตัว 6 ล้อ</t>
  </si>
  <si>
    <t>190 แรงม้า บรรจุน้ำ 2,000 ลิตร เครื่องยนต์ดีเซล แบบ</t>
  </si>
  <si>
    <t>FUSO หมายเลขเครื่องยนต์ 6D13-TJ0220 หมายเลข</t>
  </si>
  <si>
    <t>ตัวถัง FK457H-TJ0220 4 สูบ สีแดง ทะเบียน ลป บท</t>
  </si>
  <si>
    <t>รถยนต์ดับเพลิงชนิดมีบันไดเลื่อนอัตโนมัติ ยี่ห้อ IVEGO</t>
  </si>
  <si>
    <t>แบบ MP 380 E7 H หมายเลขเครื่องยนต์ FLAT8210</t>
  </si>
  <si>
    <t>K877479661 หมายเลขตัวถังรถยนต์ WJME3TPTOOC-</t>
  </si>
  <si>
    <t>รถยนต์บรรทุกน้ำ ยี่ห้อมิตซูบิชิ บรรจุน้ำ 6,000 ลิตร 6 ล้อ</t>
  </si>
  <si>
    <t>160 แรงม้า เครื่องยนต์ดีเซล แบบ FD415H พร้อม</t>
  </si>
  <si>
    <t>อุปกรณ์ประจำรถ สีแดง หมายเลขเครื่องยนต์ 6D14-</t>
  </si>
  <si>
    <t>725620 เลขตัวถังรถยนต์ FK415H-A30799 ทะเบียน</t>
  </si>
  <si>
    <t>รถยนต์บรรทุกน้ำ ยี่ห้ออีซูซุ บรรจุน้ำ 12,000 ลิตร 10 ล้อ</t>
  </si>
  <si>
    <t>รถยนต์บรรทุกน้ำ ยี่ห้อฮีโน่ บรรจุน้ำ 12,000 ลิตร 10 ล้อ</t>
  </si>
  <si>
    <t>210 แรงม้า เครื่องยนต์ดีเซล แบบFM1JNKA หมายเลข</t>
  </si>
  <si>
    <t>เครื่องยนต์ J08C-F13943 เลขตัวถังรถยนต์ FM1JNKA-</t>
  </si>
  <si>
    <t>หมายเลขเครื่องยนต์ 6SD1136041 เลขตัวถังรถยนต์</t>
  </si>
  <si>
    <t>รถยนต์บรรทุกน้ำ ยี่ห้ออีซูซุ บรรจุน้ำ 5,000 ลิตร 6 ล้อ</t>
  </si>
  <si>
    <t>หมายเลขเครื่องยนต์ 6HH1325422 เลขตัวถังรถยนต์</t>
  </si>
  <si>
    <t>รถยนต์บรรทุกน้ำ ยี่ห้ออีซูซุ รุ่น FTR34JXXXU ขนาด</t>
  </si>
  <si>
    <t>ความจุไม่น้อยกว่า 6,000 ลิตร จำนวน 6 สูบ 4 จังหวะ</t>
  </si>
  <si>
    <t>กำลังแรงม้า 240 แรงม้า เครื่องยนต์ดีเซล หมายเลข</t>
  </si>
  <si>
    <t>เครื่องยนต์ 6HH1-UF1906 ทะเบียน บห 2540 หมายเลข</t>
  </si>
  <si>
    <t>เครื่องยนต์ 6HH1-UF1907 ทะเบียน บห 2541 หมายเลข</t>
  </si>
  <si>
    <t>รถยนต์ดับเพลิง ยี่ห้ออีซูซุ ชนิดมีถังน้ำ 6 ล้อ บรรจุ</t>
  </si>
  <si>
    <t>4,000 ลิตร เครื่องยนต์ดีเซล หมายเลขเครื่องยนต์</t>
  </si>
  <si>
    <t>6HH1327483 หมายเลขตัวถัง FTR33H24-3000276</t>
  </si>
  <si>
    <t>งานศูนย์บริการร่วมฯ</t>
  </si>
  <si>
    <t>เก้าอี้ทำงานชนิดเบาะหนัง พนักพิงสูง มีที่วางแขน สีดำ</t>
  </si>
  <si>
    <t>401-63-9371</t>
  </si>
  <si>
    <t>401-63-9372</t>
  </si>
  <si>
    <t>ตู้เหล็กบานเลื่อนทึบ ยี่ห้อ Taiyo รุ่น R-015 สีดำ</t>
  </si>
  <si>
    <t>406-63-1301</t>
  </si>
  <si>
    <t>เครื่องคอมพิวเตอร์ CPU ลูกข่าย (ฝากงานร้องทุกข์เก็บ)</t>
  </si>
  <si>
    <t>401-63-9373</t>
  </si>
  <si>
    <t>416-63-1706</t>
  </si>
  <si>
    <t>416-63-1705</t>
  </si>
  <si>
    <t>416-63-1742</t>
  </si>
  <si>
    <t>งานธุรการ+สารบรรณ</t>
  </si>
  <si>
    <t>CPU ยี่ห้อ SVOA รุ่น Professinoal S series</t>
  </si>
  <si>
    <t>จอแสดงภาพ ยี่ห้อ SVOA รุ่น Professinoal S series</t>
  </si>
  <si>
    <t>416-63-1691</t>
  </si>
  <si>
    <t>416-63-1692</t>
  </si>
  <si>
    <t>จอคอมพิวเตอร์ AOC รุ่น e943Fws</t>
  </si>
  <si>
    <t>จอมอนิเตอร์ LED ยี่ห้อ AOC รุ่น E960SW</t>
  </si>
  <si>
    <t>เครื่องพิมพ์ Canon Pixma รุ่น MP287</t>
  </si>
  <si>
    <t>416-55-0077 (ต.)</t>
  </si>
  <si>
    <t>416-55-0075 (ต.)</t>
  </si>
  <si>
    <t>416-55-0096 (ต.)</t>
  </si>
  <si>
    <t>416-55-0120 (ต.)</t>
  </si>
  <si>
    <t>401-58-0845 (ต)</t>
  </si>
  <si>
    <t>401-58-0846 (ต)</t>
  </si>
  <si>
    <t>เก้าอี้สำนักงานขนาดกลาง</t>
  </si>
  <si>
    <t>401-56-0485 (ต.)</t>
  </si>
  <si>
    <t>160 แรงม้า จุน้ำ 2,000 ลิตร เครื่องยนต์ดีเซล แบบ</t>
  </si>
  <si>
    <t>FK415FFREDH1 เลขเครื่อง 6D14-735088 เลขตัวถัง</t>
  </si>
  <si>
    <t>FK415F-A3247 6 สูบ สีแดง พร้อมอุปกรณ์ เลขทะเบียน</t>
  </si>
  <si>
    <t>ลป ผ 5981</t>
  </si>
  <si>
    <t>จอ LED ACER</t>
  </si>
  <si>
    <t>รับโอน</t>
  </si>
  <si>
    <t>โต๊ะทำงานระดับ 3-6</t>
  </si>
  <si>
    <t>เครื่องพิมพ์ Canon Pixma รุ่น E500</t>
  </si>
  <si>
    <t xml:space="preserve">เครื่องสำรองไฟ </t>
  </si>
  <si>
    <t>401-57-0835 (ต)</t>
  </si>
  <si>
    <t>2**</t>
  </si>
  <si>
    <t>401-55-0332 (ต)</t>
  </si>
  <si>
    <t>401-55-0330 (ต)</t>
  </si>
  <si>
    <t>401-55-0329 (ต)</t>
  </si>
  <si>
    <t>406-58-0083 (ต)</t>
  </si>
  <si>
    <t>406-58-0085 (ต)</t>
  </si>
  <si>
    <t>ตู้เอกสารชนิดไม้</t>
  </si>
  <si>
    <t>สตูล</t>
  </si>
  <si>
    <t>เครื่องปริ้นเตอร์ Canon</t>
  </si>
  <si>
    <t>416-55-0079 (ต)</t>
  </si>
  <si>
    <t>416-55-0009 (ต)</t>
  </si>
  <si>
    <t>416-55-0014 (ต)</t>
  </si>
  <si>
    <t>416-55-0015 (ต)</t>
  </si>
  <si>
    <t>416-55-0016 (ต)</t>
  </si>
  <si>
    <t>416-55-0017 (ต)</t>
  </si>
  <si>
    <t>416-55-0018 (ต)</t>
  </si>
  <si>
    <t>416-55-0019 (ต)</t>
  </si>
  <si>
    <t>416-55-0020 (ต)</t>
  </si>
  <si>
    <t>416-55-0021 (ต)</t>
  </si>
  <si>
    <t>416-55-0022 (ต)</t>
  </si>
  <si>
    <t>416-55-0023 (ต)</t>
  </si>
  <si>
    <t>416-55-0025 (ต)</t>
  </si>
  <si>
    <t>416-55-0026 (ต)</t>
  </si>
  <si>
    <t>416-55-0027 (ต)</t>
  </si>
  <si>
    <t>416-55-0028 (ต)</t>
  </si>
  <si>
    <t>416-55-0029 (ต)</t>
  </si>
  <si>
    <t>416-55-0031 (ต)</t>
  </si>
  <si>
    <t>416-55-0032 (ต)</t>
  </si>
  <si>
    <t>416-55-0033 (ต)</t>
  </si>
  <si>
    <t>416-55-0034 (ต)</t>
  </si>
  <si>
    <t>416-55-0035 (ต)</t>
  </si>
  <si>
    <t>416-55-0036 (ต)</t>
  </si>
  <si>
    <t>416-55-0042 (ต)</t>
  </si>
  <si>
    <t>416-55-0043 (ต)</t>
  </si>
  <si>
    <t>416-55-0062 (ต)</t>
  </si>
  <si>
    <t>416-56-0112 (ต)</t>
  </si>
  <si>
    <t>416-56-0130 (ต)</t>
  </si>
  <si>
    <t>424-58-0005 (ต)</t>
  </si>
  <si>
    <t>400-58-0254 (ต)</t>
  </si>
  <si>
    <t>401-57-0831 (ต)</t>
  </si>
  <si>
    <t>424-56-0002 (ต)</t>
  </si>
  <si>
    <t>185-48-0023</t>
  </si>
  <si>
    <t>185-48-0024</t>
  </si>
  <si>
    <t>185-48-0025</t>
  </si>
  <si>
    <t>185-48-0026</t>
  </si>
  <si>
    <t>185-48-0027</t>
  </si>
  <si>
    <t>185-48-0028</t>
  </si>
  <si>
    <t>185-48-0029</t>
  </si>
  <si>
    <t>185-48-0030</t>
  </si>
  <si>
    <t>185-48-0031</t>
  </si>
  <si>
    <t>185-48-0032</t>
  </si>
  <si>
    <t>185-48-0033</t>
  </si>
  <si>
    <t>185-48-0034</t>
  </si>
  <si>
    <t>185-48-0035</t>
  </si>
  <si>
    <t>185-48-0036</t>
  </si>
  <si>
    <t>185-48-0037</t>
  </si>
  <si>
    <t>185-48-0038</t>
  </si>
  <si>
    <t>185-48-0039</t>
  </si>
  <si>
    <t>185-48-0040</t>
  </si>
  <si>
    <t>185-48-0041</t>
  </si>
  <si>
    <t>185-48-0042</t>
  </si>
  <si>
    <t>185-48-0043</t>
  </si>
  <si>
    <t>185-48-0044</t>
  </si>
  <si>
    <t>185-48-0045</t>
  </si>
  <si>
    <t>185-48-0046</t>
  </si>
  <si>
    <t>185-48-0047</t>
  </si>
  <si>
    <t>185-48-0048</t>
  </si>
  <si>
    <t>185-48-0049</t>
  </si>
  <si>
    <t>185-48-0050</t>
  </si>
  <si>
    <t>185-48-0051</t>
  </si>
  <si>
    <t>185-48-0052</t>
  </si>
  <si>
    <t>185-48-0053</t>
  </si>
  <si>
    <t>185-48-0054</t>
  </si>
  <si>
    <t>185-48-0055</t>
  </si>
  <si>
    <t>185-48-0056</t>
  </si>
  <si>
    <t>185-48-0057</t>
  </si>
  <si>
    <t>185-48-0058</t>
  </si>
  <si>
    <t>185-48-0059</t>
  </si>
  <si>
    <t>185-48-0060</t>
  </si>
  <si>
    <t>185-48-0061</t>
  </si>
  <si>
    <t>185-48-0062</t>
  </si>
  <si>
    <t>185-48-0063</t>
  </si>
  <si>
    <t>185-48-0064</t>
  </si>
  <si>
    <t>185-48-0065</t>
  </si>
  <si>
    <t>185-48-0066</t>
  </si>
  <si>
    <t>185-48-0067</t>
  </si>
  <si>
    <t>185-48-0068</t>
  </si>
  <si>
    <t>185-48-0069</t>
  </si>
  <si>
    <t>185-48-0070</t>
  </si>
  <si>
    <t>185-48-0071</t>
  </si>
  <si>
    <t>185-48-0072</t>
  </si>
  <si>
    <t>185-48-0073</t>
  </si>
  <si>
    <t>185-48-0074</t>
  </si>
  <si>
    <t>185-48-0075</t>
  </si>
  <si>
    <t>185-48-0076</t>
  </si>
  <si>
    <t>185-48-0077</t>
  </si>
  <si>
    <t>185-48-0078</t>
  </si>
  <si>
    <t>185-48-0079</t>
  </si>
  <si>
    <t>185-48-0080</t>
  </si>
  <si>
    <t>185-48-0081</t>
  </si>
  <si>
    <t>185-48-0082</t>
  </si>
  <si>
    <t>185-48-0083</t>
  </si>
  <si>
    <t>185-48-0084</t>
  </si>
  <si>
    <t>185-48-0085</t>
  </si>
  <si>
    <t>185-48-0086</t>
  </si>
  <si>
    <t>185-48-0087</t>
  </si>
  <si>
    <t>185-48-0088</t>
  </si>
  <si>
    <t>185-48-0089</t>
  </si>
  <si>
    <t>185-48-0090</t>
  </si>
  <si>
    <t>185-48-0091</t>
  </si>
  <si>
    <t>185-48-0092</t>
  </si>
  <si>
    <t>185-48-0093</t>
  </si>
  <si>
    <t>185-48-0094</t>
  </si>
  <si>
    <t>185-48-0095</t>
  </si>
  <si>
    <t>185-48-0096</t>
  </si>
  <si>
    <t>185-48-0097</t>
  </si>
  <si>
    <t>185-48-0098</t>
  </si>
  <si>
    <t>185-48-0099</t>
  </si>
  <si>
    <t>185-48-0100</t>
  </si>
  <si>
    <t>185-48-0101</t>
  </si>
  <si>
    <t>185-48-0102</t>
  </si>
  <si>
    <t>185-48-0103</t>
  </si>
  <si>
    <t>185-48-0104</t>
  </si>
  <si>
    <t>185-48-0105</t>
  </si>
  <si>
    <t>185-48-0106</t>
  </si>
  <si>
    <t>185-48-0107</t>
  </si>
  <si>
    <t>185-48-0108</t>
  </si>
  <si>
    <t>185-48-0109</t>
  </si>
  <si>
    <t>185-48-0110</t>
  </si>
  <si>
    <t>185-48-0111</t>
  </si>
  <si>
    <t>185-48-0112</t>
  </si>
  <si>
    <t>185-48-0113</t>
  </si>
  <si>
    <t>185-48-0114</t>
  </si>
  <si>
    <t>185-48-0115</t>
  </si>
  <si>
    <t>185-48-0116</t>
  </si>
  <si>
    <t>185-48-0117</t>
  </si>
  <si>
    <t>185-48-0118</t>
  </si>
  <si>
    <t>185-48-0119</t>
  </si>
  <si>
    <t>185-48-0120</t>
  </si>
  <si>
    <t>185-48-0121</t>
  </si>
  <si>
    <t>185-48-0122</t>
  </si>
  <si>
    <t>273-45-0001</t>
  </si>
  <si>
    <t>273-45-0002</t>
  </si>
  <si>
    <t>273-45-0003</t>
  </si>
  <si>
    <t>273-45-0004</t>
  </si>
  <si>
    <t>273-45-0005</t>
  </si>
  <si>
    <t>273-45-0006</t>
  </si>
  <si>
    <t>273-45-0007</t>
  </si>
  <si>
    <t>273-45-0008</t>
  </si>
  <si>
    <t>273-45-0009</t>
  </si>
  <si>
    <t>273-45-0010</t>
  </si>
  <si>
    <t>401-54-0015 (ต)</t>
  </si>
  <si>
    <t>401-54-0016 (ต)</t>
  </si>
  <si>
    <t>401-58-0888 (ต)</t>
  </si>
  <si>
    <t>เก้าอี้เอนกประสงค์ขาเหล็กชุบโครเมี่ยม</t>
  </si>
  <si>
    <t>401-58-0865 (ต)</t>
  </si>
  <si>
    <t>400-56-0126 (ต)</t>
  </si>
  <si>
    <t>เครื่องโทรสาร ยี่ห้อชาร์ป</t>
  </si>
  <si>
    <t>400-56-0121 (ต)</t>
  </si>
  <si>
    <t>โต๊ะประชุมครึ่งวงกลม เคลือบผิวเมลามิน</t>
  </si>
  <si>
    <t>400-56-0122 (ต)</t>
  </si>
  <si>
    <t>400-56-0118 (ต)</t>
  </si>
  <si>
    <t>400-56-0119 (ต)</t>
  </si>
  <si>
    <t>ชุดโต๊ะรูปตัวแอล (โต๊ะทำงานไม้+โต๊ะเข้ามุม+โต๊ะวางคอมฯ)</t>
  </si>
  <si>
    <t>ตู้เหล็กเก็บเอกสาร ชนิด 2 บาน</t>
  </si>
  <si>
    <t>เครื่องจ่ายไฟ PREAMP CONFERENCE</t>
  </si>
  <si>
    <t>430-55-0001 (ต)</t>
  </si>
  <si>
    <t>เครื่องจ่ายไฟ (424)</t>
  </si>
  <si>
    <t>เครื่องพิมพ์เลเซอร์ Printer HL-2130</t>
  </si>
  <si>
    <t>416-55-0054 (ต)</t>
  </si>
  <si>
    <t>จอมอนิเตอร์ LCD 18.5</t>
  </si>
  <si>
    <t>416-55-0093 (ต)</t>
  </si>
  <si>
    <t>เครื่องปริ้นเตอร์ Canon E510</t>
  </si>
  <si>
    <t>เครื่องปรับอากาศ COOL SQUARE (ห้องรองฯ กุ้ง ชั้น 2)</t>
  </si>
  <si>
    <t>1**</t>
  </si>
  <si>
    <t>รถยนต์ดับเพลิง ยี่ห้ออีซูซุ ชนิดมีถังน้ำในตัว 6 ล้อ 145</t>
  </si>
  <si>
    <t>แรงม้า เครื่องยนต์ดีเซล หมายเลขเครื่องยนต์ 6BB1-219563</t>
  </si>
  <si>
    <t>หมายเลขตัวถังรถ 3406314 (ลป น 7016) #10</t>
  </si>
  <si>
    <t>004-25-0008</t>
  </si>
  <si>
    <t>รถยนต์ดับเพลิง ยี่ห้ออีซูซุ ชนิดมีถังน้ำในตัว 6 ล้อ 160</t>
  </si>
  <si>
    <t>แรงม้า เครื่องยนต์ดีเซล หมายเลขเครื่องยนต์ 6D14-722751</t>
  </si>
  <si>
    <t xml:space="preserve">หมายเลขตัวถังรถ FK415F-A31059 (ลป น 7740) </t>
  </si>
  <si>
    <t>#15</t>
  </si>
  <si>
    <t>004-35-0010</t>
  </si>
  <si>
    <t>4**</t>
  </si>
  <si>
    <t>ชุดโซฟาพร้อมโต๊ะกลาง</t>
  </si>
  <si>
    <t>298-63-0012</t>
  </si>
  <si>
    <t>สารบรรณ</t>
  </si>
  <si>
    <t>เครื่องวัดอุณหภูมิระบบอินฟราเรดทางหน้าผาก</t>
  </si>
  <si>
    <t>298-64-0049</t>
  </si>
  <si>
    <t>ธุรการ</t>
  </si>
  <si>
    <t>(ใช้งานกลางแจ้งและในอาคารพร้อมขาตั้ง,ADAPTER)</t>
  </si>
  <si>
    <t>298-64-0050</t>
  </si>
  <si>
    <t>ระบบบัตรคิวพร้อมติดตั้ง</t>
  </si>
  <si>
    <t>493-64-0004</t>
  </si>
  <si>
    <t>เครื่องพิมพ์ Multifunction</t>
  </si>
  <si>
    <t>เครื่องวัดอุณหภูมิ ชนิดไม่สัมผัส (มือถือ)</t>
  </si>
  <si>
    <t>298-63-0011</t>
  </si>
  <si>
    <t>298-63-0030</t>
  </si>
  <si>
    <t>298-63-0031</t>
  </si>
  <si>
    <t>298-63-0032</t>
  </si>
  <si>
    <t>กล้องถ่ายภาพ ระบบดิจิตอล</t>
  </si>
  <si>
    <t>452-64-0090</t>
  </si>
  <si>
    <t>420-64-0374</t>
  </si>
  <si>
    <t>420-64-0375</t>
  </si>
  <si>
    <t>420-64-0376</t>
  </si>
  <si>
    <t>420-64-0377</t>
  </si>
  <si>
    <t>ชุดอุปกรณ์สำหรับประชุมทางไกล (478)</t>
  </si>
  <si>
    <t>ชุดอุปกรณ์สำหรับประชุมทางไกล</t>
  </si>
  <si>
    <t>478-64-0001</t>
  </si>
  <si>
    <t>ตู้เหล็ก แบบ 2 บาน</t>
  </si>
  <si>
    <t>406-64-1314</t>
  </si>
  <si>
    <t>406-64-1315</t>
  </si>
  <si>
    <t>406-64-1316</t>
  </si>
  <si>
    <t>055-64-0250</t>
  </si>
  <si>
    <t>055-64-0251</t>
  </si>
  <si>
    <t>055-64-0252</t>
  </si>
  <si>
    <t>055-64-0264</t>
  </si>
  <si>
    <t>โทรศัพท์สำนักงาน</t>
  </si>
  <si>
    <t>423-64-0056</t>
  </si>
  <si>
    <t>423-64-0057</t>
  </si>
  <si>
    <t>423-64-0058</t>
  </si>
  <si>
    <t>420-64-0385</t>
  </si>
  <si>
    <t>420-64-0386</t>
  </si>
  <si>
    <t>งาน อปพร.</t>
  </si>
  <si>
    <t>401-64-9726</t>
  </si>
  <si>
    <t>420-64-0387</t>
  </si>
  <si>
    <t>เครื่องปรับอากาศ แบบแขวน 30,300 BTU</t>
  </si>
  <si>
    <t>เครื่องปรับอากาศ แบบแขวน 31,000 BTU</t>
  </si>
  <si>
    <t>เครื่องปรับอากาศ แบบติดผนัง 24,000 BTU</t>
  </si>
  <si>
    <t>เครื่องปรับอากาศ แบบแขวน 25,900 BTU</t>
  </si>
  <si>
    <t>420-64-0388</t>
  </si>
  <si>
    <t>420-64-0389</t>
  </si>
  <si>
    <t>เครื่องปรับอากาศ แบบแขวน 48,450 BTU (ห้องนายกฯ)</t>
  </si>
  <si>
    <t>420-64-0390</t>
  </si>
  <si>
    <t>เครื่องปรับอากาศ แบบแขวน 37,000 BTU (ห้องปลัดฯ)</t>
  </si>
  <si>
    <t>เครื่องปรับอากาศ แบบแขวน 37,000 BTU (ห้องโถง จนท.ฯ)</t>
  </si>
  <si>
    <t>420-64-0391</t>
  </si>
  <si>
    <t>420-64-0392</t>
  </si>
  <si>
    <t>420-64-0393</t>
  </si>
  <si>
    <t>เครื่องปรับอากาศ แบบแขวน 30,627 BTU (ห้องรองฯกิตติ)</t>
  </si>
  <si>
    <t>เครื่องปรับอากาศ แบบแขวน 30,627 BTU</t>
  </si>
  <si>
    <t>420-64-0395</t>
  </si>
  <si>
    <t>420-64-0396</t>
  </si>
  <si>
    <t>เครื่องปรับอากาศ แบบแขวน 12,100 BTU (ห้องปฏิบัติงาน จนท.)</t>
  </si>
  <si>
    <t>พัดลมดูดอากาศ ขนาด 12 นิ้ว</t>
  </si>
  <si>
    <t>432-64-1332</t>
  </si>
  <si>
    <t>เลื่อยโซ่ยนต์ (068)</t>
  </si>
  <si>
    <t>เลื่อยโซ่ยนต์ เครื่องยนต์เบนซิน 2 จังหวะ สูบเดียว</t>
  </si>
  <si>
    <t>ขนาด 1.5 แรงม้า บาร์โซ่ไม่น้อยกว่า 12 นิ้ว ระบบ</t>
  </si>
  <si>
    <t>สตาร์ทเครื่องแบบเชือกดึงสตาร์ทมือ</t>
  </si>
  <si>
    <t>068-64-0048</t>
  </si>
  <si>
    <t>068-64-0049</t>
  </si>
  <si>
    <t>068-64-0050</t>
  </si>
  <si>
    <t>068-64-0051</t>
  </si>
  <si>
    <t>068-64-0052</t>
  </si>
  <si>
    <t>เครื่องสูบน้ำ (ไดโว่) ชนิดปั๊มแช่จุ่มใต้น้ำ 250 วัตต์</t>
  </si>
  <si>
    <t>055-64-0254</t>
  </si>
  <si>
    <t>055-64-0255</t>
  </si>
  <si>
    <t>055-64-0256</t>
  </si>
  <si>
    <t>055-64-0257</t>
  </si>
  <si>
    <t>055-64-0258</t>
  </si>
  <si>
    <t>เครื่องสูบน้ำ (แบบหอยโข่ง) สูบน้ำได้ 1000 ลิตรต่อนาที</t>
  </si>
  <si>
    <t>5 แรงม้า ปริมาตรกระบอกสูบ 163 ซีซี</t>
  </si>
  <si>
    <t>055-64-0259</t>
  </si>
  <si>
    <t>055-64-0260</t>
  </si>
  <si>
    <t>055-64-0261</t>
  </si>
  <si>
    <t>055-64-0262</t>
  </si>
  <si>
    <t>055-64-0263</t>
  </si>
  <si>
    <t>เครื่องปั๊มน้ำ (หอยโข่ง) (อาคาร 7 ชั้น 1) 220 โวลต์</t>
  </si>
  <si>
    <t>เครื่องปั๊มน้ำอัตโนมัติ (ถังกลม) (อาคาร 2) 300 วัตต์</t>
  </si>
  <si>
    <t>เครื่องปั๊มน้ำอัตโนมัติ (ถังกลม) (อาคาร 7 ชั้น 4) 150 วัตต์</t>
  </si>
  <si>
    <t>456-64-0128</t>
  </si>
  <si>
    <t>ธุรการ+สารบรรณ</t>
  </si>
  <si>
    <t>เครื่องทำลายเอกสาร</t>
  </si>
  <si>
    <t>470-64-0018</t>
  </si>
  <si>
    <t>470-64-0017</t>
  </si>
  <si>
    <t>401-64-9786</t>
  </si>
  <si>
    <t>401-64-9787</t>
  </si>
  <si>
    <t>เก้าอี้สำนักงานชนิดเบาะหนัง พนักพิงกลาง มีวางแขน</t>
  </si>
  <si>
    <t>ชั้นวางรองเท้า (พิพิธภัณฑ์หอปูมละกอน)</t>
  </si>
  <si>
    <t>404-54-0001</t>
  </si>
  <si>
    <t>404-54-0002</t>
  </si>
  <si>
    <t>404-54-0003</t>
  </si>
  <si>
    <t>404-54-0004</t>
  </si>
  <si>
    <t>เครื่องปรับอากาศ ยี่ห้อ UNIMASTER 13000 BTU</t>
  </si>
  <si>
    <t>420-61-0292</t>
  </si>
  <si>
    <t>เครื่องฟอกอากาศ (431)</t>
  </si>
  <si>
    <t>เครื่องฟอกอากาศ แบบแขวน ยี่ห้อ AWAC รุ่น AP 1000C</t>
  </si>
  <si>
    <t>เครื่องฟอกอากาศ แบบตั้งพื้นเคลื่อนย้ายได้ ยี่ห้อ AWAC รุ่น HB-D-Y100</t>
  </si>
  <si>
    <t>เครื่องฟอกอากาศ แบบตั้งพื้นเคลื่อนย้ายได้ ยี่ห้อ AWAC รุ่น HB-D-Y101</t>
  </si>
  <si>
    <t>เครื่องฟอกอากาศ แบบตั้งพื้นเคลื่อนย้ายได้ ยี่ห้อ AWAC รุ่น HB-D-Y102</t>
  </si>
  <si>
    <t>431-64-0003</t>
  </si>
  <si>
    <t>431-64-0004</t>
  </si>
  <si>
    <t>431-64-0005</t>
  </si>
  <si>
    <t>431-64-0006</t>
  </si>
  <si>
    <t>431-64-0007</t>
  </si>
  <si>
    <t>431-64-0008</t>
  </si>
  <si>
    <t>431-64-0009</t>
  </si>
  <si>
    <t>431-64-0010</t>
  </si>
  <si>
    <t>431-64-0011</t>
  </si>
  <si>
    <t>423-64-0055</t>
  </si>
  <si>
    <t>โทรศัพท์สำนักงาน แบบมีสาย</t>
  </si>
  <si>
    <t>ครุภัณฑ์การศึกษา</t>
  </si>
  <si>
    <t>(500)</t>
  </si>
  <si>
    <t>บอร์ดแสดงแผนที่ (พิพิธภัณฑ์หอปูมละกอน)</t>
  </si>
  <si>
    <t>500-54-0008</t>
  </si>
  <si>
    <t>เครื่องทำน้ำร้อน - เย็น</t>
  </si>
  <si>
    <t>439-59-0082</t>
  </si>
  <si>
    <t xml:space="preserve">ตู้เหล็กใส่เอกสารกระจก 2 บาน </t>
  </si>
  <si>
    <t>งานสารบรรณ</t>
  </si>
  <si>
    <t>งานธุรการ</t>
  </si>
  <si>
    <t>ตู้เก็บแฟ้มเอกสาร</t>
  </si>
  <si>
    <t>รายละเอียดสิ่งปลูกสร้าง สำนักปลัดเทศบาล</t>
  </si>
  <si>
    <t>อสังหาริมทรัพย์</t>
  </si>
  <si>
    <t>หอนาฬิกา</t>
  </si>
  <si>
    <t>183-00-0001</t>
  </si>
  <si>
    <t>1 ม.ค. 2500</t>
  </si>
  <si>
    <t>สำนักปลัดฯ</t>
  </si>
  <si>
    <t>โรงจอดรถเทศบาล</t>
  </si>
  <si>
    <t>281-16-0001</t>
  </si>
  <si>
    <t>รั้วบริเวณด้านทิศตะวันตกอาคารดับเพลิง</t>
  </si>
  <si>
    <t>277-41-0011</t>
  </si>
  <si>
    <t>ป้ายแสดงประวัติจังหวัดลำปาง (สะพานรัษฎาภิเศก)</t>
  </si>
  <si>
    <t>273-46-0011</t>
  </si>
  <si>
    <t>ป้ายแสดงประวัติจังหวัดลำปาง (วัดศรีรองเมือง)</t>
  </si>
  <si>
    <t>273-46-0012</t>
  </si>
  <si>
    <t>ป้ายแสดงประวัติจังหวัดลำปาง (วัดพระแก้วดอนเต้า)</t>
  </si>
  <si>
    <t>ป้ายแสดงประวัติจังหวัดลำปาง (วัดป่าฝาง)</t>
  </si>
  <si>
    <t>ป้ายแสดงประวัติจังหวัดลำปาง (วัดปงสนุก)</t>
  </si>
  <si>
    <t>ป้ายแสดงประวัติจังหวัดลำปาง (บ้านเสานัก)</t>
  </si>
  <si>
    <t>ป้ายแสดงประวัติจังหวัดลำปาง (อนุสาวรีย์พ่อเจ้าทิพย์ช้าง)</t>
  </si>
  <si>
    <t>ป้ายแสดงประวัติจังหวัดลำปาง (กาดกองต้า)</t>
  </si>
  <si>
    <t>ป้ายแสดงประวัติจังหวัดลำปาง (หลวงพ่อดำ)</t>
  </si>
  <si>
    <t>ป้ายแสดงประวัติจังหวัดลำปาง (ศาลเจ้าพ่อหลักเมือง)</t>
  </si>
  <si>
    <t>ป้ายแสดงประวัติจังหวัดลำปาง (สวนเขลางค์)</t>
  </si>
  <si>
    <t>ป้ายแสดงประวัติจังหวัดลำปาง (สวนห้าแยกฯ)</t>
  </si>
  <si>
    <t>ป้ายชี้ทางสถานที่สำคัญ (ก่อนถึงร้านแสงฟ้า)</t>
  </si>
  <si>
    <t>ป้ายชี้ทางสถานที่สำคัญ (หน้าวัดสวนดอก)</t>
  </si>
  <si>
    <t>ป้ายชี้ทางสถานที่สำคัญ (หน้าห้างทองช้างสวัสดิ์)</t>
  </si>
  <si>
    <t>ป้ายชี้ทางสถานที่สำคัญ (ก่อนถึงวัดท่ามะโอ)</t>
  </si>
  <si>
    <t>ป้ายชี้ทางสถานที่สำคัญ (เลยวัดประตูต้นผึ้ง)</t>
  </si>
  <si>
    <t>ป้ายชี้ทางสถานที่สำคัญ (ตรงข้ามแขวงป่าไม้เดิม)</t>
  </si>
  <si>
    <t>ป้ายชี้ทางสถานที่สำคัญ (ตรงข้ามสวนประตูเวียง)</t>
  </si>
  <si>
    <t>ป้ายชี้ทางสถานที่สำคัญ (ก่อนถึงร้านรสเจ็บ)</t>
  </si>
  <si>
    <t>ป้ายชี้ทางสถานที่สำคัญ (ตีนสะพานพัฒนาฯ)</t>
  </si>
  <si>
    <t>ป้ายชี้ทางสถานที่สำคัญ (หน้าสะพานแขวน)</t>
  </si>
  <si>
    <t>ป้ายชี้ทางสถานที่สำคัญ (ตรงข้ามข้าวต้มสะพานแขวน)</t>
  </si>
  <si>
    <t>ป้ายชี้ทางสถานที่สำคัญ (หน้าค่าย)</t>
  </si>
  <si>
    <t>ป้ายชี้ทางสถานที่สำคัญ (ตรงข้ามหน้าค่าย)</t>
  </si>
  <si>
    <t>ป้ายชี้ทางสถานที่สำคัญ (ตรงข้ามโลตัส)</t>
  </si>
  <si>
    <t>ป้ายชี้ทางสถานที่สำคัญ (ก่องถึงไฟแดง)</t>
  </si>
  <si>
    <t>ป้ายชี้ทางสถานที่สำคัญ (ตรงข้ามปั๊ม)</t>
  </si>
  <si>
    <t>ป้ายชี้ทางสถานที่สำคัญ (หน้าอาชีวะ)</t>
  </si>
  <si>
    <t>ป้ายชี้ทางสถานที่สำคัญ (หน้าเวียงลคอร)</t>
  </si>
  <si>
    <t>ป้ายชี้ทางสถานที่สำคัญ (เลยโรงพยาบาลราม)</t>
  </si>
  <si>
    <t>ป้ายชี้ทางสถานที่สำคัญ (แยกขนส่ง)</t>
  </si>
  <si>
    <t>ป้ายชี้ทางสถานที่สำคัญ (เลย TS MOTOR)</t>
  </si>
  <si>
    <t>ป้ายชี้ทางสถานที่สำคัญ (เลยแยกเชียงใหม่)</t>
  </si>
  <si>
    <t>ป้ายชี้ทางสถานที่สำคัญ (ฝั่งตรงข้ามแยก ชม.)</t>
  </si>
  <si>
    <t>ป้ายชี้ทางสถานที่สำคัญ (หน้าคลัง ESSO)</t>
  </si>
  <si>
    <t>ป้ายชี้ทางสถานที่สำคัญ (หน้าสยามทีวี)</t>
  </si>
  <si>
    <t>ป้ายชี้ทางสถานที่สำคัญ (ฝั่งตรงข้าม ธ.กสิกร)</t>
  </si>
  <si>
    <t>ป้ายชี้ทางสถานที่สำคัญ (หน้า ธ.ไทยพาณิชย์)</t>
  </si>
  <si>
    <t>ป้ายชี้ทางสถานที่สำคัญ (เลยแยกบุญกว้าง)</t>
  </si>
  <si>
    <t>ป้ายชี้ทางสถานที่สำคัญ (ใกล้หน้าหมูจุ่มพีพี)</t>
  </si>
  <si>
    <t>ป้ายชี้ทางสถานที่สำคัญ (สหกรณ์เดินรถ)</t>
  </si>
  <si>
    <t>ป้ายชี้ทางสถานที่สำคัญ (หน้าโรงพักสบตุ๋ย)</t>
  </si>
  <si>
    <t>ป้ายชี้ทางสถานที่สำคัญ (เยื้องปั๊ม ปตท.)</t>
  </si>
  <si>
    <t>ป้ายชี้ทางสถานที่สำคัญ (ตรงข้ามปั๊ม ปตท.)</t>
  </si>
  <si>
    <t>ป้ายชี้ทางสถานที่สำคัญ (หน้าภัทรภูมิ)</t>
  </si>
  <si>
    <t>ป้ายชี้ทางสถานที่สำคัญ (หน้าบ้านหมอแสน)</t>
  </si>
  <si>
    <t>ป้ายชี้ทางสถานที่สำคัญ (ตีนสะพานรัษฎา)</t>
  </si>
  <si>
    <t>ป้ายชี้ทางสถานที่สำคัญ (ตรงข้ามศาลเก่า)</t>
  </si>
  <si>
    <t>ป้ายชี้ทางสถานที่สำคัญ (ก่อนถึงวัดศรีล้อม)</t>
  </si>
  <si>
    <t>ป้ายชี้ทางสถานที่สำคัญ (หน้าโรงเรียนพินิจ)</t>
  </si>
  <si>
    <t>ป้ายชี้ทางสถานที่สำคัญ (ตรงข้ามร้านแวะกำ)</t>
  </si>
  <si>
    <t>ป้ายชี้ทางสถานที่สำคัญ (หน้าร้านโกเหลียง)</t>
  </si>
  <si>
    <t>ป้ายชี้ทางสถานที่สำคัญ (หน้าร้านนายใบ้)</t>
  </si>
  <si>
    <t>ป้ายชี้ทางสถานที่สำคัญ (หน้าโรงแรมเวียงทอง)</t>
  </si>
  <si>
    <t>ป้ายชี้ทางสถานที่สำคัญ (ก่อนถึงร้าน Lucky)</t>
  </si>
  <si>
    <t>ป้ายชี้ทางสถานที่สำคัญ (หน้าสถานีรถม้าเวียงทอง)</t>
  </si>
  <si>
    <t>ป้ายชี้ทางสถานที่สำคัญ (หน้าเซเว่นหน้า รพ.)</t>
  </si>
  <si>
    <t>ป้ายชี้ทางสถานที่สำคัญ (ก่อนถึงแยกประตูชัย)</t>
  </si>
  <si>
    <t>ป้ายชี้ทางสถานที่สำคัญ (ตรงข้ามไปรษณีย์ในเมือง)</t>
  </si>
  <si>
    <t>ป้ายชี้ทางสถานที่สำคัญ (แยกหมอพิเชษฐ)</t>
  </si>
  <si>
    <t>ป้ายชี้ทางสถานที่สำคัญ (แยกส้มตำสะพานช้างเผือก)</t>
  </si>
  <si>
    <t>ป้ายชี้ทางสถานที่สำคัญ (วัดประตูป่อง)</t>
  </si>
  <si>
    <t>ป้ายชี้ทางสถานที่สำคัญ (ทางไปหลวงพ่อเกษม)</t>
  </si>
  <si>
    <t>ป้ายชี้ทางสถานที่สำคัญ (ตรงข้ามหลวงพ่อเกษม)</t>
  </si>
  <si>
    <t>ป้ายชี้ทางสถานที่สำคัญ (หน้าโรงเรียนอนุบาล)</t>
  </si>
  <si>
    <t>ป้ายชี้ทางสถานที่สำคัญ (ก่อนข้ามสะพานพัฒนา)</t>
  </si>
  <si>
    <t>ป้ายชี้ทางสถานที่สำคัญ (แยกวัดศรีบุญโยง)</t>
  </si>
  <si>
    <t>ป้ายชี้ทางสถานที่สำคัญ (สหกรณ์ครู)</t>
  </si>
  <si>
    <t>ป้ายชี้ทางสถานที่สำคัญ (หน้าไปรษณีย์)</t>
  </si>
  <si>
    <t>ป้ายชี้ทางสถานที่สำคัญ (ตรงข้ามข้าวต้มบาทเดียว)</t>
  </si>
  <si>
    <t>ก่อสร้างห้องน้ำสำหรับผู้พิการฯ บริเวณอาคารทะเบียนราษฎรฯ ขนาด 6 ตรม.</t>
  </si>
  <si>
    <t>ป้ายข้อมูลสถานที่ท่องเที่ยวเชิงอนุรักษ์ (วัดศรีชุม)</t>
  </si>
  <si>
    <t>185-60-0132</t>
  </si>
  <si>
    <t>185-60-0133</t>
  </si>
  <si>
    <t>ป้ายข้อมูลสถานที่ท่องเที่ยวเชิงอนุรักษ์ (กู่เจ้าย่าสุตา)</t>
  </si>
  <si>
    <t>185-60-0134</t>
  </si>
  <si>
    <t>ป้ายข้อมูลสถานที่ท่องเที่ยวเชิงอนุรักษ์ (วัดไชยมงคล)</t>
  </si>
  <si>
    <t>185-60-0135</t>
  </si>
  <si>
    <t>ป้ายข้อมูลสถานที่ท่องเที่ยวเชิงอนุรักษ์ (วัดประตูป่อง)</t>
  </si>
  <si>
    <t>185-60-0136</t>
  </si>
  <si>
    <t>ป้ายข้อมูลสถานที่ท่องเที่ยวเชิงอนุรักษ์ (หออะม๊อก)</t>
  </si>
  <si>
    <t>185-60-0137</t>
  </si>
  <si>
    <t>ป้ายข้อมูลสถานที่ท่องเที่ยวเชิงอนุรักษ์ (บ้านเสานัก)</t>
  </si>
  <si>
    <t>ก่อสร้างโรงจอดรถยนต์พร้อมช่องจอดรถ</t>
  </si>
  <si>
    <t xml:space="preserve">    เครื่องฟอกอากาศ</t>
  </si>
  <si>
    <t xml:space="preserve">    เลื่อยโซ่ยนต์</t>
  </si>
  <si>
    <t xml:space="preserve">   ชุดอุปกรณ์สำหรับประชุมทางไกล</t>
  </si>
  <si>
    <t>11. ครุภัณฑ์การศึกษา</t>
  </si>
  <si>
    <t>12. ครุภัณฑ์คอมพิวเตอร์</t>
  </si>
  <si>
    <t>400-65-6897</t>
  </si>
  <si>
    <t>เก้าอี้พนักพิง</t>
  </si>
  <si>
    <t>401-65-9903</t>
  </si>
  <si>
    <t>ตู้โชว์</t>
  </si>
  <si>
    <t>406-65-1382</t>
  </si>
  <si>
    <t>406-65-1383</t>
  </si>
  <si>
    <t>งานกรุผิวตู้</t>
  </si>
  <si>
    <t>406-65-1384</t>
  </si>
  <si>
    <t>ม่าน (434)</t>
  </si>
  <si>
    <t>ม่านม้วนหน้าต่าง</t>
  </si>
  <si>
    <t>434-65-0087</t>
  </si>
  <si>
    <t>434-65-0088</t>
  </si>
  <si>
    <t>434-65-0089</t>
  </si>
  <si>
    <t>ผ้าม่านปรับแสง หน้าต่าง</t>
  </si>
  <si>
    <t>434-65-0084</t>
  </si>
  <si>
    <t>ผ้าม่านปรับแสง ประตู</t>
  </si>
  <si>
    <t>434-65-0085</t>
  </si>
  <si>
    <t>434-65-0086</t>
  </si>
  <si>
    <t>โทรทัศน์ แอล อี ดี (LED TV) แบบ Smart TV</t>
  </si>
  <si>
    <t>โทรทัศน์ แอล อี ดี (LED TV) 55 นิ้ว (ห้องนายกฯ)</t>
  </si>
  <si>
    <t>456-65-0137</t>
  </si>
  <si>
    <t>ฝ่ายประสานงาน อปท</t>
  </si>
  <si>
    <t>456-65-0138</t>
  </si>
  <si>
    <t>456-65-0139</t>
  </si>
  <si>
    <t>456-65-0140</t>
  </si>
  <si>
    <t>เครื่องช่วยหายใจ</t>
  </si>
  <si>
    <t>264-65-0026</t>
  </si>
  <si>
    <t>264-65-0027</t>
  </si>
  <si>
    <t>264-65-0028</t>
  </si>
  <si>
    <t>อุปกรณ์สำหรับประชุมทางไกล (Video Conference)</t>
  </si>
  <si>
    <t>478-65-0004</t>
  </si>
  <si>
    <t>478-65-0002</t>
  </si>
  <si>
    <t>400-65-6847</t>
  </si>
  <si>
    <t>งานธุรการ+งานเลขาฯ</t>
  </si>
  <si>
    <t>400-65-6848</t>
  </si>
  <si>
    <t>400-65-6849</t>
  </si>
  <si>
    <t>400-65-6850</t>
  </si>
  <si>
    <t>400-65-6851</t>
  </si>
  <si>
    <t>478-65-0003</t>
  </si>
  <si>
    <t>400-65-6852</t>
  </si>
  <si>
    <t>400-65-6853</t>
  </si>
  <si>
    <t>400-65-6854</t>
  </si>
  <si>
    <t>โต๊ะต่อมุม</t>
  </si>
  <si>
    <t>400-65-6858</t>
  </si>
  <si>
    <t>โต๊ะทำงาน (ตัวแอล)</t>
  </si>
  <si>
    <t>400-65-6859</t>
  </si>
  <si>
    <t>400-65-6860</t>
  </si>
  <si>
    <t>400-65-6861</t>
  </si>
  <si>
    <t>งานธุรการ+งานเลขา</t>
  </si>
  <si>
    <t>401-65-9823</t>
  </si>
  <si>
    <t>401-65-9824</t>
  </si>
  <si>
    <t>401-65-9825</t>
  </si>
  <si>
    <t>401-65-9830</t>
  </si>
  <si>
    <t>401-65-9831</t>
  </si>
  <si>
    <t>401-65-9832</t>
  </si>
  <si>
    <t>401-65-9833</t>
  </si>
  <si>
    <t>401-65-9834</t>
  </si>
  <si>
    <t>401-65-9835</t>
  </si>
  <si>
    <t>401-65-9836</t>
  </si>
  <si>
    <t>401-65-9837</t>
  </si>
  <si>
    <t>ชุดรับแขกเบาะหนัง</t>
  </si>
  <si>
    <t>403-65-0201</t>
  </si>
  <si>
    <t>ตู้ไม้</t>
  </si>
  <si>
    <t>406-65-1358</t>
  </si>
  <si>
    <t>406-65-1359</t>
  </si>
  <si>
    <t>406-65-1360</t>
  </si>
  <si>
    <t>ตู้บานเลื่อนกระจก</t>
  </si>
  <si>
    <t>406-65-1361</t>
  </si>
  <si>
    <t>406-65-1362</t>
  </si>
  <si>
    <t>406-65-1363</t>
  </si>
  <si>
    <t>ตู้บานเลื่อนทึบ</t>
  </si>
  <si>
    <t>406-65-1364</t>
  </si>
  <si>
    <t>406-65-1365</t>
  </si>
  <si>
    <t>406-65-1366</t>
  </si>
  <si>
    <t>406-65-1367</t>
  </si>
  <si>
    <t>406-65-1368</t>
  </si>
  <si>
    <t>406-65-1369</t>
  </si>
  <si>
    <t>447-65-0051</t>
  </si>
  <si>
    <t>โทรทัศน์ แอล อี ดี (LED TV)</t>
  </si>
  <si>
    <t>456-65-0135</t>
  </si>
  <si>
    <t>456-65-0136</t>
  </si>
  <si>
    <t>ตู้เหล็กบานเลื่อนกระจก</t>
  </si>
  <si>
    <t>406-65-1355</t>
  </si>
  <si>
    <t>ฝ่ายนิติการ</t>
  </si>
  <si>
    <t>434-65-0073</t>
  </si>
  <si>
    <t>434-65-0074</t>
  </si>
  <si>
    <t>434-65-0075</t>
  </si>
  <si>
    <t>434-65-0076</t>
  </si>
  <si>
    <t>434-65-0077</t>
  </si>
  <si>
    <t>434-65-0078</t>
  </si>
  <si>
    <t>434-65-0079</t>
  </si>
  <si>
    <t>434-65-0080</t>
  </si>
  <si>
    <t>434-65-0081</t>
  </si>
  <si>
    <t>434-65-0082</t>
  </si>
  <si>
    <t>434-65-0083</t>
  </si>
  <si>
    <t>งานนิติการ</t>
  </si>
  <si>
    <t>โต๊ะ (พร้อมเก้าอี้)</t>
  </si>
  <si>
    <t>โต๊ะทำงาน ระดับ 3-6</t>
  </si>
  <si>
    <t>400-47-5373</t>
  </si>
  <si>
    <t>เก้าอี้ทำงานชนิดเบาะหนัง</t>
  </si>
  <si>
    <t>401-63-9362</t>
  </si>
  <si>
    <t>เก้าอี้ผู้บริหาร</t>
  </si>
  <si>
    <t>401-64-9722</t>
  </si>
  <si>
    <t>406-24-0200</t>
  </si>
  <si>
    <t>406-24-0500</t>
  </si>
  <si>
    <t>406-28-0283</t>
  </si>
  <si>
    <t>406-34-0567</t>
  </si>
  <si>
    <t>ตู้เหล็กเก็บเอกสาร 15 ลิ้นชัก</t>
  </si>
  <si>
    <t>406-41-0938</t>
  </si>
  <si>
    <t>ตู้เหล็กเก็บเอกสาร 4 ลิ้นชัก</t>
  </si>
  <si>
    <t>406-41-0939</t>
  </si>
  <si>
    <t>ตู้เก็บเอกสารบานเลื่อนกระจก</t>
  </si>
  <si>
    <t>406-47-1132</t>
  </si>
  <si>
    <t>406-47-1133</t>
  </si>
  <si>
    <t>Monitor</t>
  </si>
  <si>
    <t>416-55-0682</t>
  </si>
  <si>
    <t>416-55-0693</t>
  </si>
  <si>
    <t>คอมพิวเตอร์โน๊ตบุ๊ค</t>
  </si>
  <si>
    <t>416-60-1231</t>
  </si>
  <si>
    <t>เครื่องพิมพ์เลเซอร์ หรือ LED ขาวดำ</t>
  </si>
  <si>
    <t>416-63-1403</t>
  </si>
  <si>
    <t>เครื่องสำรองไฟฟ้า ขนาด 1 KVA</t>
  </si>
  <si>
    <t>CPU เครื่องคอมพิวเตอร์ประมวลผล แบบที่1</t>
  </si>
  <si>
    <t>416-63-1697</t>
  </si>
  <si>
    <t>จอแสดงภาพขนาดไม่น้อยกว่า 19 นิ้ว</t>
  </si>
  <si>
    <t>416-63-1698</t>
  </si>
  <si>
    <t>เครื่องพิมพ์แบบฉีดหมึกพร้อมติดตั้งถังหมึก(ink Tang)</t>
  </si>
  <si>
    <t>416-63-1710</t>
  </si>
  <si>
    <t>416-63-1759</t>
  </si>
  <si>
    <t>400-64-6836</t>
  </si>
  <si>
    <t>เครื่องวัดอุณหภูมิอินฟราเรด</t>
  </si>
  <si>
    <t>416-65-2052</t>
  </si>
  <si>
    <t>416-65-2053</t>
  </si>
  <si>
    <t>416-65-2054</t>
  </si>
  <si>
    <t>416-65-2055</t>
  </si>
  <si>
    <t>เครื่องพิมพ์ (Printer)</t>
  </si>
  <si>
    <t>416-65-2088</t>
  </si>
  <si>
    <t>416-65-2089</t>
  </si>
  <si>
    <t>416-65-2094</t>
  </si>
  <si>
    <t>416-65-2056</t>
  </si>
  <si>
    <t>416-65-2057</t>
  </si>
  <si>
    <t>416-65-2092</t>
  </si>
  <si>
    <t>416-65-2066</t>
  </si>
  <si>
    <t>416-65-2067</t>
  </si>
  <si>
    <t>416-65-2095</t>
  </si>
  <si>
    <t>เครื่องสำรองไฟฟ้า</t>
  </si>
  <si>
    <t>416-65-2102</t>
  </si>
  <si>
    <t>416-65-2103</t>
  </si>
  <si>
    <t>416-65-2068</t>
  </si>
  <si>
    <t>416-65-2069</t>
  </si>
  <si>
    <t>416-65-2104</t>
  </si>
  <si>
    <t>416-65-2105</t>
  </si>
  <si>
    <t>416-65-2106</t>
  </si>
  <si>
    <t>416-65-2070</t>
  </si>
  <si>
    <t>416-65-2071</t>
  </si>
  <si>
    <t>416-65-2072</t>
  </si>
  <si>
    <t>416-65-2073</t>
  </si>
  <si>
    <t>416-65-2107</t>
  </si>
  <si>
    <t>416-65-2108</t>
  </si>
  <si>
    <t>416-65-2110</t>
  </si>
  <si>
    <t>416-65-2074</t>
  </si>
  <si>
    <t>416-65-2075</t>
  </si>
  <si>
    <t>416-65-2101</t>
  </si>
  <si>
    <t>416-65-2109</t>
  </si>
  <si>
    <t>เครื่องคอมพิวเตอร์โน๊ตบุ๊ค</t>
  </si>
  <si>
    <t>416-65-2078</t>
  </si>
  <si>
    <t>416-65-2079</t>
  </si>
  <si>
    <t>416-65-2080</t>
  </si>
  <si>
    <t>416-65-2081</t>
  </si>
  <si>
    <t>416-65-2082</t>
  </si>
  <si>
    <t>416-65-2083</t>
  </si>
  <si>
    <t>416-65-2084</t>
  </si>
  <si>
    <t>416-65-2085</t>
  </si>
  <si>
    <t>416-65-2086</t>
  </si>
  <si>
    <t>416-65-2087</t>
  </si>
  <si>
    <t>416-65-2090</t>
  </si>
  <si>
    <t>416-65-2093</t>
  </si>
  <si>
    <t>416-65-2100</t>
  </si>
  <si>
    <t>416-65-2076</t>
  </si>
  <si>
    <t>บริหารงานทั่วไป</t>
  </si>
  <si>
    <t>416-65-2077</t>
  </si>
  <si>
    <t>เครื่องคอมพิวเตอร์สำหรับงานสำนักงาน</t>
  </si>
  <si>
    <t>416-65-1974</t>
  </si>
  <si>
    <t>งานร้องทุกข์</t>
  </si>
  <si>
    <t>416-65-1975</t>
  </si>
  <si>
    <t>416-65-1996</t>
  </si>
  <si>
    <t>416-65-2091</t>
  </si>
  <si>
    <t>ฝ่ายทะเบียน ฯ</t>
  </si>
  <si>
    <t>คอมพิวเตอร์แท็ปเล็ต</t>
  </si>
  <si>
    <t>416-65-2111</t>
  </si>
  <si>
    <t>416-65-1976</t>
  </si>
  <si>
    <t>416-65-1977</t>
  </si>
  <si>
    <t>416-65-1995</t>
  </si>
  <si>
    <t>เครื่องคอมพิวเตอร์โน๊ตบุ๊คสำหรับงานประมวลผล</t>
  </si>
  <si>
    <t>416-65-1960</t>
  </si>
  <si>
    <t>เครื่องพิมพ์แบบฉีดหมึกพร้อมติดตั้งถังหมึกพิมพ์</t>
  </si>
  <si>
    <t>416-65-1984</t>
  </si>
  <si>
    <t>416-65-1961</t>
  </si>
  <si>
    <t>416-65-2112</t>
  </si>
  <si>
    <t>เครื่องพิมพ์ (Printer) (หน้าห้องรองฯ สุรพล)</t>
  </si>
  <si>
    <t>เครื่องคอมพิวเตอร์โน๊ตบุ๊ค (ห้องประชุมชัยพฤกษ์)</t>
  </si>
  <si>
    <t>เครื่องคอมพิวเตอร์โน๊ตบุ๊ค (ห้องประชุมราชาวดี)</t>
  </si>
  <si>
    <t>298-65-0078</t>
  </si>
  <si>
    <t>298-65-0079</t>
  </si>
  <si>
    <t>เครื่องวัดอุณหภูมิอินฟราเรด(ห้องประชุมราชาวดี)</t>
  </si>
  <si>
    <t>เครื่องวัดอุณหภูมิอินฟราเรด(ห้องนายกฯ)</t>
  </si>
  <si>
    <t>298-65-0080</t>
  </si>
  <si>
    <t>298-65-0081</t>
  </si>
  <si>
    <t>รถยนต์ปิคอัพ TOYOTA (สีน้ำตาล เทา) ทะเบียน กง 2608 ลป.</t>
  </si>
  <si>
    <t>002-45-0055</t>
  </si>
  <si>
    <t>งานรักษาความสงบฯ</t>
  </si>
  <si>
    <t>รถจักรยานยนต์ตรวจการณ์ YAMAHA รุ่น WR155R(B3M500) หมายเลขเครื่อง: G3N8E-0004928 หมายเลขตัวถัง: MH3DG381111004928 เครื่องยนต์เบนซิน 1 สูบ 4 จังหวะ ระบบความร้อนด้วยน้ำ สีน้ำเงิน (รับประกันสินค้า 5 ปี หรือ 50,000 กม. อย่างใดอย่างหนึ่งถึงก่อน)</t>
  </si>
  <si>
    <t>024-65-0110</t>
  </si>
  <si>
    <t>งานป้องกันฯ ฝ่ายปกครอง สำนักปลัดเทศบาล</t>
  </si>
  <si>
    <t>รถจักรยานยนต์ตรวจการณ์ YAMAHA รุ่น WR155R(B3M500) หมายเลขเครื่อง G3N8E-0005013 หมายเลขตัวถัง: MH3DG381111005005 เครื่องยนต์เบนซิน 1 สูบ 4 จังหวะ ระบบความร้อนด้วยน้ำ สีน้ำเงิน (รับประกันสินค้า 5 ปี หรือ 50,000 กม. อย่างใดอย่างหนึ่งถึงก่อน)</t>
  </si>
  <si>
    <t>เครื่องมัลติมีเดียโปรเจคเตอร์ Panasonic LCD รุ่น PT-MZ880</t>
  </si>
  <si>
    <t>โดรน (อากาศยานไร้คนขับสำหรับถ่ายภาพทางอากาศ) Autel EVO2 Pro-single</t>
  </si>
  <si>
    <t>480-65-0001</t>
  </si>
  <si>
    <t>โดรน (480)</t>
  </si>
  <si>
    <t>ติดตั้งเสาสัญญาณวิทยุสื่อสาร</t>
  </si>
  <si>
    <t>106-63-0001</t>
  </si>
  <si>
    <t>เครื่องรับส่งวิทยุระบบ VHF/FM ชนิดมือถือ 5 วัตต์</t>
  </si>
  <si>
    <t>464-65-0211</t>
  </si>
  <si>
    <t>464-65-0212</t>
  </si>
  <si>
    <t>464-65-0213</t>
  </si>
  <si>
    <t>464-65-0214</t>
  </si>
  <si>
    <t>464-65-0215</t>
  </si>
  <si>
    <t>464-65-0216</t>
  </si>
  <si>
    <t>464-65-0217</t>
  </si>
  <si>
    <t>464-65-0218</t>
  </si>
  <si>
    <t>464-65-0219</t>
  </si>
  <si>
    <t>464-65-0220</t>
  </si>
  <si>
    <t>464-65-0221</t>
  </si>
  <si>
    <t>464-65-0222</t>
  </si>
  <si>
    <t>464-65-0223</t>
  </si>
  <si>
    <t>464-65-0224</t>
  </si>
  <si>
    <t>464-65-0225</t>
  </si>
  <si>
    <t>464-65-0226</t>
  </si>
  <si>
    <t>464-65-0227</t>
  </si>
  <si>
    <t>464-65-0228</t>
  </si>
  <si>
    <t>464-65-0229</t>
  </si>
  <si>
    <t>464-65-0230</t>
  </si>
  <si>
    <t>464-65-0231</t>
  </si>
  <si>
    <t>464-65-0232</t>
  </si>
  <si>
    <t>464-65-0233</t>
  </si>
  <si>
    <t>464-65-0234</t>
  </si>
  <si>
    <t>464-65-0235</t>
  </si>
  <si>
    <t>464-65-0236</t>
  </si>
  <si>
    <t>464-65-0237</t>
  </si>
  <si>
    <t>464-65-0238</t>
  </si>
  <si>
    <t>464-65-0239</t>
  </si>
  <si>
    <t>464-65-0240</t>
  </si>
  <si>
    <t>464-65-0241</t>
  </si>
  <si>
    <t>464-65-0242</t>
  </si>
  <si>
    <t>464-65-0243</t>
  </si>
  <si>
    <t>464-65-0244</t>
  </si>
  <si>
    <t>464-65-0245</t>
  </si>
  <si>
    <t>464-65-0246</t>
  </si>
  <si>
    <t>464-65-0247</t>
  </si>
  <si>
    <t>464-65-0248</t>
  </si>
  <si>
    <t>464-65-0249</t>
  </si>
  <si>
    <t>464-65-0250</t>
  </si>
  <si>
    <t>งานป้องกันและบรรเทาสาธารณภัย ฝ่ายปกครอง สำนักปลัดเทศบาล</t>
  </si>
  <si>
    <t>400-24-0509</t>
  </si>
  <si>
    <t>400-27-0739</t>
  </si>
  <si>
    <t>400-30-1756</t>
  </si>
  <si>
    <t>400-42-4478</t>
  </si>
  <si>
    <t>ชุดโต๊ะทำงานขนาด 0.90*2.40*0.80 เมตร</t>
  </si>
  <si>
    <t>416-47-0211</t>
  </si>
  <si>
    <t>งานทะเบียนราษฎร</t>
  </si>
  <si>
    <t>สำรองห้องประชุมราชาวดี</t>
  </si>
  <si>
    <t>ห้องประชุมราชาวดี</t>
  </si>
  <si>
    <t>ห้องชัยพกฤษ์</t>
  </si>
  <si>
    <t>เก็บไว้ที่ห้องราชาวดีชั้น4</t>
  </si>
  <si>
    <t>ห้องประชุมราชพฤกษ์</t>
  </si>
  <si>
    <t>แจ้งว่าอยู่ที่งานป้องกัน</t>
  </si>
  <si>
    <t>งานป้องกัน ปงสนุก</t>
  </si>
  <si>
    <t>งานป้องกัน  รอจำหน่าย</t>
  </si>
  <si>
    <t>ห้อง อปพร.</t>
  </si>
  <si>
    <t>ห้องผู้บริหาร (ชั้น2ช่าง)</t>
  </si>
  <si>
    <t>งานสวน โรงพัสดุ</t>
  </si>
  <si>
    <t>ห้องประชุมราชาวดี (ห้องควบคุม)</t>
  </si>
  <si>
    <t xml:space="preserve">ห้องประชุมราชาวดี </t>
  </si>
  <si>
    <t>โกดังร่องสามดวง</t>
  </si>
  <si>
    <t>ห้องนายก</t>
  </si>
  <si>
    <t>งานเลขา</t>
  </si>
  <si>
    <t>ไม่พบ</t>
  </si>
  <si>
    <t>เครื่องปรับอากาศ COOL SQUARE</t>
  </si>
  <si>
    <t>ห้องศูนย์ข้อมูลข่าวสาร (ชั้น2)</t>
  </si>
  <si>
    <t>ติดรถยนต์ ลปบ 2571</t>
  </si>
  <si>
    <t>ห้องประชุมสภา</t>
  </si>
  <si>
    <t xml:space="preserve">ติดรถยนต์ </t>
  </si>
  <si>
    <t>ห้องวิทยุ</t>
  </si>
  <si>
    <t>ห้องประธานสภา</t>
  </si>
  <si>
    <t>ห้องฝ่ายทะเบียนราษฎร</t>
  </si>
  <si>
    <t>ศูนย์ร้องทุกข์ (ชั้น1)</t>
  </si>
  <si>
    <t>ห้องสมาชิกสภา</t>
  </si>
  <si>
    <t>ศูนย์รถยนต์กลาง</t>
  </si>
  <si>
    <t>ห้องหัวหน้าสำนักปลัด</t>
  </si>
  <si>
    <t>งานป้องกัน</t>
  </si>
  <si>
    <t>ห้องรองสุรพล</t>
  </si>
  <si>
    <t>ห้องรองนพดล (ชั้น4)</t>
  </si>
  <si>
    <t>ห้องรองกิตติ</t>
  </si>
  <si>
    <t>อปพร.</t>
  </si>
  <si>
    <t>ฝ่ายประสานงาน อปท.</t>
  </si>
  <si>
    <t>หน้าห้อง</t>
  </si>
  <si>
    <t>ข้างบันไดด้านล่าง</t>
  </si>
  <si>
    <t>ชั้น 4</t>
  </si>
  <si>
    <t>จนท.คุมเครื่องเสียง</t>
  </si>
  <si>
    <t>ห้องประชุม</t>
  </si>
  <si>
    <t>ห้องประชาสัมพันธ์</t>
  </si>
  <si>
    <t>ประธานและโกแดง</t>
  </si>
  <si>
    <t>ห้องเก็บของ</t>
  </si>
  <si>
    <t>หน้าห้องน้ำ</t>
  </si>
  <si>
    <t>หน้าห้องประชุมสภา</t>
  </si>
  <si>
    <t>กองการเจ้าหน้าที่ยืมใช้ (คุณธงชัย)</t>
  </si>
  <si>
    <t>หน้าห้องครัว กองยุทธฯ</t>
  </si>
  <si>
    <t>หน้าโต๊ะฝ่ายนิติการ</t>
  </si>
  <si>
    <t>ฝากกองยุทธฯ</t>
  </si>
  <si>
    <t>ห้องสอบสวน</t>
  </si>
  <si>
    <t>ในห้องสอบสวน</t>
  </si>
  <si>
    <t>ท่องเที่ยว(บริจาค)</t>
  </si>
  <si>
    <t>ถนนสายวัฒนธรรม(รับโอนจากสาธารณสุข)</t>
  </si>
  <si>
    <t>ห้องนายกฯ</t>
  </si>
  <si>
    <t>ประตูหน้าทางเข้าห้องโถง</t>
  </si>
  <si>
    <t>ห้องปลัดชาตรี</t>
  </si>
  <si>
    <t>ห้องรับรองผู้บริหาร</t>
  </si>
  <si>
    <t>หน้าห้องรองกิตติ</t>
  </si>
  <si>
    <t>หน้าห้องปลัดชาตรี</t>
  </si>
  <si>
    <t>นายกฯ</t>
  </si>
  <si>
    <t>โอนให้งานกิจการสภา</t>
  </si>
  <si>
    <t>งานป้องกัน หน่วย 1</t>
  </si>
  <si>
    <t>งานป้องกัน หน่วย 2</t>
  </si>
  <si>
    <t xml:space="preserve">งานป้องกัน หน่วย 1 </t>
  </si>
  <si>
    <t>งานป้องกัน หน่วย 1 2 3</t>
  </si>
  <si>
    <t>งานป้องกัน หน่วย 2 (เบอร์ 2)</t>
  </si>
  <si>
    <t>งานป้องกัน หน่วย 1 (เบอร์ 1)</t>
  </si>
  <si>
    <t>งานป้องกัน หน่วย 1 (เบอร์ 2)</t>
  </si>
  <si>
    <t>งานป้องกัน หน่วย 1 (เบอร์ 3)</t>
  </si>
  <si>
    <t>ถังน้ำมัน 0.25 ลิตร ความจุถังน้ำมันโซ่ 0.15 ลิตร</t>
  </si>
  <si>
    <t>หัวฉีดดับเพลิงแบบมีด้ามปืน มีคันโยก เปิด-ปิด น้ำ</t>
  </si>
  <si>
    <t xml:space="preserve">หัวฉีดดับเพลิงแบบมีด้ามปืน มีคันโยก เปิด-ปิด น้ำ </t>
  </si>
  <si>
    <t>งานป้องกัน หน่วย 2 (ห้องธุรการ)</t>
  </si>
  <si>
    <t>งานป้องกัน หน่วย 2 เบอร์ 32</t>
  </si>
  <si>
    <t>งานป้องกัน หน่วย 1 เบอร์ 35</t>
  </si>
  <si>
    <t>งานป้องกัน หน่วย 1 (ห้องธุรการ)</t>
  </si>
  <si>
    <t>งานป้องกัน หน่วย 1 (รถเบอร์ 19)</t>
  </si>
  <si>
    <t>งานป้องกัน หน่วย 1 (ห้องศูนย์วิทยุ)</t>
  </si>
  <si>
    <t>งานป้องกัน หน่วย 1 ธุรการ</t>
  </si>
  <si>
    <t>งานป้องกัน หน่วย 2 รับโอนจาก กจ</t>
  </si>
  <si>
    <t>024-65-0111</t>
  </si>
  <si>
    <t>งานป้องกัน+F225:F237และบรรเทาสาธารณภัย ฝ่ายปกครอง สำนักปลัดเทศบาล</t>
  </si>
  <si>
    <t>กระบะปิ๊กอัพ</t>
  </si>
  <si>
    <t>ลป 80-8484</t>
  </si>
  <si>
    <t>034804 ทะเบียน ลป บท 4207</t>
  </si>
  <si>
    <t>ทะเบียน ลป บบ 8417</t>
  </si>
  <si>
    <t>ลป 80-8482</t>
  </si>
  <si>
    <t>11299 ทะเบียน ลป บท 7739</t>
  </si>
  <si>
    <t xml:space="preserve">FXZ23NZ24-3001319 ทะเบียน ลป บบ 6386 </t>
  </si>
  <si>
    <t xml:space="preserve">FTR33F24-3000122 ทะเบียน ลป บบ 8418 </t>
  </si>
  <si>
    <t xml:space="preserve">ตัวถัง MP1FTR34JHT000472 </t>
  </si>
  <si>
    <t>ตัวถัง MP1FTR34JHT000473</t>
  </si>
  <si>
    <t xml:space="preserve">ลม 5242 </t>
  </si>
  <si>
    <t xml:space="preserve">    มู่ลี่</t>
  </si>
  <si>
    <t xml:space="preserve">   โดรน</t>
  </si>
  <si>
    <t xml:space="preserve">    3.8  หอนาฬิกา</t>
  </si>
  <si>
    <t xml:space="preserve">    3.9  ป้ายประชาสัมพันธ์</t>
  </si>
  <si>
    <t xml:space="preserve">    3.10  สระว่ายน้ำ</t>
  </si>
  <si>
    <t xml:space="preserve">    3.11  สะพาน</t>
  </si>
  <si>
    <t xml:space="preserve">    3.12  รั้ว</t>
  </si>
  <si>
    <t xml:space="preserve">    3.13  อื่น ๆ</t>
  </si>
  <si>
    <t xml:space="preserve">          3.13.1  หอกระจายข่าว</t>
  </si>
  <si>
    <t xml:space="preserve">          3.13.2  ก่อสร้างห้องน้ำสำหรับผู้พิการ</t>
  </si>
  <si>
    <t xml:space="preserve">          3.13.3  ก่อสร้างศาลพระภูมิ</t>
  </si>
  <si>
    <t xml:space="preserve">    3.4  ฌาปนสถาน</t>
  </si>
  <si>
    <t xml:space="preserve">          3.13.4  ป้ายแสดงประวัติ</t>
  </si>
  <si>
    <t xml:space="preserve">          3.13.5 รั้วบริเวณด้านทิศตะวันออกอาคารดับเพลิง  </t>
  </si>
  <si>
    <t xml:space="preserve">          3.13.6  โรงจอดรถเทศบาล</t>
  </si>
  <si>
    <t xml:space="preserve">          3.13.7  ก่อสร้างโรงจอดรถยนต์</t>
  </si>
  <si>
    <t xml:space="preserve">          3.13.8  ติดตั้งเสาสัญญาณวิทยุสื่อสาร</t>
  </si>
  <si>
    <t>งานรักษาความสงบ(เทศกิจ)</t>
  </si>
  <si>
    <t>รายละเอียดชำรุด/เสื่อมสภาพ/หมดความจำเป็น  สำนักปลัดเทศบาล</t>
  </si>
  <si>
    <t>สำนักปลัด</t>
  </si>
  <si>
    <t xml:space="preserve">งานป้องกัน หน่วย 2 </t>
  </si>
  <si>
    <t xml:space="preserve">เบอร์ 2  </t>
  </si>
  <si>
    <t xml:space="preserve">เบอร์ 3  </t>
  </si>
  <si>
    <t xml:space="preserve">เบอร์ 4  </t>
  </si>
  <si>
    <t>เบอร์ 17</t>
  </si>
  <si>
    <t>เบอร์ 19</t>
  </si>
  <si>
    <t>เบอร์ 21</t>
  </si>
  <si>
    <t>เบอร์ 22</t>
  </si>
  <si>
    <t>เบอร์ 18</t>
  </si>
  <si>
    <t>เบอร์ 14</t>
  </si>
  <si>
    <t>เบอร์ 6</t>
  </si>
  <si>
    <t>เบอร์ 8</t>
  </si>
  <si>
    <t>เบอร์ 1 บรรทุกน้ำ</t>
  </si>
  <si>
    <t>เบอร์ 2  บรรทุกน้ำ</t>
  </si>
  <si>
    <t>ณ  กันยายน  2566</t>
  </si>
  <si>
    <t>สภาโอนให้งานธุรการ</t>
  </si>
  <si>
    <t>สภาโอนให้งานรักษาความสงบ</t>
  </si>
  <si>
    <t>เครื่องดูดฝุน (438)</t>
  </si>
  <si>
    <t>เครื่องดูดฝุ่น MATRIX รุ่น WS115_H</t>
  </si>
  <si>
    <t>438-66-0011</t>
  </si>
  <si>
    <t>งานธุรการ ฝ่ายบริหารงานทั่วไป</t>
  </si>
  <si>
    <t>ใช้งานศูนย์รถยนต์กลาง</t>
  </si>
  <si>
    <t>406-66-1388</t>
  </si>
  <si>
    <t>เก้าอี้สำนักงานพนักพิงสูง ชนิดเบาะหนัง</t>
  </si>
  <si>
    <t>401-66-9905</t>
  </si>
  <si>
    <t>โต๊ะทำงานเหล็กพร้อมกระจกแบบ7ลิ้นชัก</t>
  </si>
  <si>
    <t>400-66-6907</t>
  </si>
  <si>
    <t>28 ต.ต.65</t>
  </si>
  <si>
    <t>โต๊ะทำงานเหล็กพร้อมกระจก</t>
  </si>
  <si>
    <t>400-66-6965</t>
  </si>
  <si>
    <t xml:space="preserve">งานธุรการ </t>
  </si>
  <si>
    <t>401-66-9935</t>
  </si>
  <si>
    <t>26 ก.ค. 66</t>
  </si>
  <si>
    <t>401-66-9936</t>
  </si>
  <si>
    <t>เครื่องชาร์จและฟื้นฟูแบตเตอรี่</t>
  </si>
  <si>
    <t>469-66-0006</t>
  </si>
  <si>
    <t>469-66-0007</t>
  </si>
  <si>
    <t>3 ส.ค.66</t>
  </si>
  <si>
    <t>3 ส.ค. 66</t>
  </si>
  <si>
    <t xml:space="preserve">เครื่องสแกนเนอร์ </t>
  </si>
  <si>
    <t>416-66-2203</t>
  </si>
  <si>
    <t>28 ส.ค. 66</t>
  </si>
  <si>
    <t>เครื่องคอมพิวเตอร์สำหรับประมวลผล แบบที่ 2 ยี่ห้อ acer</t>
  </si>
  <si>
    <t>416-66-2231</t>
  </si>
  <si>
    <t xml:space="preserve">4 ก.ย. 66 </t>
  </si>
  <si>
    <t>ฝ่ายประสานงาน อปท. งานกฎหมาย สำนักปลัดเทศบาล</t>
  </si>
  <si>
    <t>จอแสดงภาพขนาด 23นิ้ว</t>
  </si>
  <si>
    <t>416-66-2232</t>
  </si>
  <si>
    <t>เครื่องสำรองไฟฟ้า ขนาด 1000/VA</t>
  </si>
  <si>
    <t>416-66-2233</t>
  </si>
  <si>
    <t>เครื่องพิมพ์เลเซอร์ หรือ LED ขาวดำ brother  HL-1210W</t>
  </si>
  <si>
    <t>416-66-2234</t>
  </si>
  <si>
    <t>30 ส.ค. 66</t>
  </si>
  <si>
    <t>งานส่งเสริมการท่องเที่ยว ฝ่ายอำนวยการ สำนักปลัดเทศบาล</t>
  </si>
  <si>
    <t>เครื่องพิมพ์ Multifunction แบบฉีดหมึก brother รุ่น T720DW</t>
  </si>
  <si>
    <t>416-66-2239</t>
  </si>
  <si>
    <t>416-66-2240</t>
  </si>
  <si>
    <t>416-66-2241</t>
  </si>
  <si>
    <t>416-66-2242</t>
  </si>
  <si>
    <t>416-66-2243</t>
  </si>
  <si>
    <t>416-66-2244</t>
  </si>
  <si>
    <t>416-66-2245</t>
  </si>
  <si>
    <t>ฝ่ายทะเบียนราษฎรฯ สำนักปลัดเทศบาล</t>
  </si>
  <si>
    <t>เครื่องสำรองไฟฟ้า ขนาด 800/VA</t>
  </si>
  <si>
    <t>416-66-2246</t>
  </si>
  <si>
    <t>416-66-2247</t>
  </si>
  <si>
    <t>416-66-2248</t>
  </si>
  <si>
    <t>416-66-2249</t>
  </si>
  <si>
    <t>416-66-2250</t>
  </si>
  <si>
    <t>416-66-2251</t>
  </si>
  <si>
    <t>416-66-2252</t>
  </si>
  <si>
    <t>416-66-2253</t>
  </si>
  <si>
    <t>416-66-2254</t>
  </si>
  <si>
    <t xml:space="preserve"> งานธุรการ สำนักปลัดเทศบาล</t>
  </si>
  <si>
    <t>เครื่องทำน้ำเย็นแบบใช้ขวด ยี่ห้อ Standard</t>
  </si>
  <si>
    <t>439-47-0069</t>
  </si>
  <si>
    <t>31 พ.ค. 47</t>
  </si>
  <si>
    <t>(รับโอนจาก) งานศูนย์บริการสาธารณสุข 3 (สุขสวัสดิ์)</t>
  </si>
  <si>
    <t>เครื่องปรับอากาศแบบแยกส่วนชนิดแขวน 9,000 BTU</t>
  </si>
  <si>
    <t>420-54-0154</t>
  </si>
  <si>
    <t>420-54-0155</t>
  </si>
  <si>
    <t>420-54-0156</t>
  </si>
  <si>
    <t>420-54-0157</t>
  </si>
  <si>
    <t>420-54-0158</t>
  </si>
  <si>
    <t>420-54-0159</t>
  </si>
  <si>
    <t>420-54-0160</t>
  </si>
  <si>
    <t>420-54-0161</t>
  </si>
  <si>
    <t>420-54-0162</t>
  </si>
  <si>
    <t>420-54-0165</t>
  </si>
  <si>
    <t>420-54-0166</t>
  </si>
  <si>
    <t>420-54-0167</t>
  </si>
  <si>
    <t>(โอนมาจาก) ฝ่ายบริหารงานทั่วไป สำนักการศึกษา</t>
  </si>
  <si>
    <t>หุ่นจำลองคนผู้ชาย แบบลอยตัวพร้อมเสื้อผ้า 1 ตัว</t>
  </si>
  <si>
    <t>หุ่นจำลองคนผู้หญิง แบบลอยตัวพร้อมเสื้อผ้า 1 ตัว</t>
  </si>
  <si>
    <t>เค้าโครงร่างแม่ค้าผู้หญิงแบบเต็มตัว</t>
  </si>
  <si>
    <t>ตัวอย่างจำลองสินค้าเบ็ดเตล็ด</t>
  </si>
  <si>
    <t>อุปกรณ์ตกแต่งในตลาด 1 ชุด</t>
  </si>
  <si>
    <t>Lound Speaker</t>
  </si>
  <si>
    <t>500-54-0001</t>
  </si>
  <si>
    <t>500-54-0002</t>
  </si>
  <si>
    <t>500-54-0004</t>
  </si>
  <si>
    <t>500-54-0006</t>
  </si>
  <si>
    <t>500-54-0007</t>
  </si>
  <si>
    <t>459-54-0006</t>
  </si>
  <si>
    <t>459-54-0002</t>
  </si>
  <si>
    <t>1 ม.ค. 54</t>
  </si>
  <si>
    <t>งานส่งเสริมการท่องเที่ยว สำนักปลัดเทศบาล</t>
  </si>
  <si>
    <t>Sequence Controller (local)</t>
  </si>
  <si>
    <t>430-54-0007</t>
  </si>
  <si>
    <t>PM 3 Player Whith controller (local) (ชุดตลาด)</t>
  </si>
  <si>
    <t>455-54-0003</t>
  </si>
  <si>
    <t xml:space="preserve">PM 3 Player Whith controller (local) </t>
  </si>
  <si>
    <t>455-54-0005</t>
  </si>
  <si>
    <t>ชุดวีดีทัศน์ ประกอบด้วย Stereo Amplifier</t>
  </si>
  <si>
    <t>Stereo Amplifier</t>
  </si>
  <si>
    <t>462-54-0002</t>
  </si>
  <si>
    <t>462-54-0003</t>
  </si>
  <si>
    <t>462-54-0004</t>
  </si>
  <si>
    <t>462-54-0005</t>
  </si>
  <si>
    <t>LCD TV 40 นิ้ว ระดับความละเอียดจอภาพไม่น้อยกว่า 1366 (ชุดเจ้าแม่สุชาดา)</t>
  </si>
  <si>
    <t>456-54-0001</t>
  </si>
  <si>
    <t>456-54-0002</t>
  </si>
  <si>
    <t>LCD TV 40 นิ้ว ขาประกอบด้วย  (ชุดเจ้าแม่สุชาดา)</t>
  </si>
  <si>
    <t>1 ม.ค.54</t>
  </si>
  <si>
    <t>Sensorwith Supply</t>
  </si>
  <si>
    <t>Sensorwith Supply (488)</t>
  </si>
  <si>
    <t>488-54-0005</t>
  </si>
  <si>
    <t>1ม.ค.54</t>
  </si>
  <si>
    <t>เครื่องเล่นสื่อ (448)</t>
  </si>
  <si>
    <t>เครื่องเล่นสื่อโสต สำหรับชุดเจ้าเมืองและตำนาน</t>
  </si>
  <si>
    <t>จอสัมผัส ขนาด 27 นิ้ว ชุดมัลติมีเดียสำหรับลงคำ</t>
  </si>
  <si>
    <t>เครื่องควบคุมลำดับ ชุดมัลติมีเดียสำหรับลงคำปฎิญาณ</t>
  </si>
  <si>
    <t>448-59-0015</t>
  </si>
  <si>
    <t>448-59-0016</t>
  </si>
  <si>
    <t>448-59-0018</t>
  </si>
  <si>
    <t>448-59-0017</t>
  </si>
  <si>
    <t>25 พ.ย. 58</t>
  </si>
  <si>
    <t>โปรแกรมลงคำปฎิญาณ (ซอฟแวร์)</t>
  </si>
  <si>
    <t>416-59-1706</t>
  </si>
  <si>
    <t>ตู้วางชุดจอระบบสัมผัส</t>
  </si>
  <si>
    <t>406-59-1228</t>
  </si>
  <si>
    <t>25 พ.ย.58</t>
  </si>
  <si>
    <t>ฉากถ่ายรูปนางงาม</t>
  </si>
  <si>
    <t>490-59-0015</t>
  </si>
  <si>
    <t>25 ม.ค.58</t>
  </si>
  <si>
    <t>เครื่องวัดอุณหภูมิ ยี่ห้อ CIG LL,MO-T260</t>
  </si>
  <si>
    <t>298-63-0015</t>
  </si>
  <si>
    <t>9 มิ.ย. 63</t>
  </si>
  <si>
    <t>(โอนมาจาก) ฝ่ายบริหารงานทั่วไป สำนักการศึกษา (รับบริจาค/การไฟฟ้าฝ่ายผลิตแห่งประเทศไทย)</t>
  </si>
  <si>
    <t>อาคารหอปูมละกอน</t>
  </si>
  <si>
    <t>005-94-0001</t>
  </si>
  <si>
    <t>ลป52006/1074 รับโอนมาจากฝ่ายบริหารงานทั่วไป สำนักการศึกษา</t>
  </si>
  <si>
    <t>อาคารหอปูมละกอน (ปรับปรุงต่อเติมห้องทำงาน)</t>
  </si>
  <si>
    <t>5 ม.ค. 2494</t>
  </si>
  <si>
    <t>อาคารหอปูมละกอน (ปรับปรุงอาคารเป็นพิพิธภัณฑ์)</t>
  </si>
  <si>
    <t>อาคารหอปูมละกอน (ก่อสร้างร้านถ่ายรูป อาคารหอปูมละกอน)</t>
  </si>
  <si>
    <t>5 ก.ค.47</t>
  </si>
  <si>
    <t>4 ม.ค. 54</t>
  </si>
  <si>
    <t>5 ต.ค. 54</t>
  </si>
  <si>
    <t xml:space="preserve">   เครื่องฉายภาพทึบแสง เครื่องเล่นสื่อ</t>
  </si>
  <si>
    <t xml:space="preserve">Sensorwith Supply </t>
  </si>
  <si>
    <t xml:space="preserve">ป้าย </t>
  </si>
  <si>
    <r>
      <rPr>
        <b/>
        <sz val="12"/>
        <color theme="1"/>
        <rFont val="Sarabun, Arial"/>
      </rPr>
      <t xml:space="preserve">รายละเอียดครุภัณฑ์ของสำนักปลัดเทศบาล </t>
    </r>
    <r>
      <rPr>
        <b/>
        <sz val="12"/>
        <color rgb="FF0000FF"/>
        <rFont val="Sarabun, Arial"/>
      </rPr>
      <t>(รับโอน)</t>
    </r>
  </si>
  <si>
    <t>ลำดับที่</t>
  </si>
  <si>
    <t>เลขที่หนังสือ</t>
  </si>
  <si>
    <t>หมวดครุภัณฑ์</t>
  </si>
  <si>
    <t>วัน</t>
  </si>
  <si>
    <t>เดือน</t>
  </si>
  <si>
    <t>ปี</t>
  </si>
  <si>
    <t>หน่วยงาน</t>
  </si>
  <si>
    <t>ได้มาจาก</t>
  </si>
  <si>
    <t>แหล่งที่มา</t>
  </si>
  <si>
    <t>งานธุรการ สป.</t>
  </si>
  <si>
    <t>เงินรายได้</t>
  </si>
  <si>
    <t>เครื่องปรับอากาศแบบแยกส่วนชนิดแขวน 24,000 BTU</t>
  </si>
  <si>
    <t>เครื่องปรับอากาศแบบแยกส่วนชนิดแขวน 25,000 BTU</t>
  </si>
  <si>
    <t>เครื่องปรับอากาศแบบแยกส่วนชนิดแขวน 18,000 BTU</t>
  </si>
  <si>
    <t>เครื่องเล่นสื่อโสต สำหรับชุดเจ้าเมืองและตำนานนางสุชาดา</t>
  </si>
  <si>
    <r>
      <rPr>
        <b/>
        <sz val="12"/>
        <color theme="1"/>
        <rFont val="Sarabun, Arial"/>
      </rPr>
      <t xml:space="preserve">รายละเอียดครุภัณฑ์ของสำนักปลัดเทศบาล </t>
    </r>
    <r>
      <rPr>
        <b/>
        <sz val="12"/>
        <color rgb="FF0000FF"/>
        <rFont val="Sarabun, Arial"/>
      </rPr>
      <t>(โอนออก)</t>
    </r>
  </si>
  <si>
    <t>โอนให้</t>
  </si>
  <si>
    <t>ครุภัณฑ์ยานพาหนะและขนส่ง</t>
  </si>
  <si>
    <t>ฝ่ายบริหารงานคลัง</t>
  </si>
  <si>
    <r>
      <rPr>
        <b/>
        <sz val="12"/>
        <color theme="1"/>
        <rFont val="Sarabun, Arial"/>
      </rPr>
      <t>รายละเอียดครุภัณฑ์</t>
    </r>
    <r>
      <rPr>
        <b/>
        <sz val="12"/>
        <color rgb="FFFF0000"/>
        <rFont val="Sarabun, Arial"/>
      </rPr>
      <t>ต่ำกว่าเกณฑ์</t>
    </r>
    <r>
      <rPr>
        <b/>
        <sz val="12"/>
        <color theme="1"/>
        <rFont val="Sarabun, Arial"/>
      </rPr>
      <t xml:space="preserve">ของสำนักปลัดเทศบาล </t>
    </r>
    <r>
      <rPr>
        <b/>
        <sz val="12"/>
        <color rgb="FF0000FF"/>
        <rFont val="Sarabun, Arial"/>
      </rPr>
      <t>(โอนออก)</t>
    </r>
  </si>
  <si>
    <t>สแกนเนอร์ (416)</t>
  </si>
  <si>
    <r>
      <rPr>
        <b/>
        <sz val="12"/>
        <color theme="1"/>
        <rFont val="Sarabun, Arial"/>
      </rPr>
      <t xml:space="preserve">รายละเอียดอาคารของสำนักปลัดเทศบาล </t>
    </r>
    <r>
      <rPr>
        <b/>
        <sz val="12"/>
        <color rgb="FF0000FF"/>
        <rFont val="Sarabun, Arial"/>
      </rPr>
      <t>(รับโอน)</t>
    </r>
  </si>
  <si>
    <r>
      <rPr>
        <b/>
        <sz val="12"/>
        <color theme="1"/>
        <rFont val="Sarabun, Arial"/>
      </rPr>
      <t xml:space="preserve">รายละเอียดอาคารของสำนักปลัดเทศบาล </t>
    </r>
    <r>
      <rPr>
        <b/>
        <sz val="12"/>
        <color rgb="FF0000FF"/>
        <rFont val="Sarabun, Arial"/>
      </rPr>
      <t>(โอนออก)</t>
    </r>
  </si>
  <si>
    <t>หน่วย 1 (โต๊ะ 2 ตัว)</t>
  </si>
  <si>
    <t>หน้าห้องปลัด</t>
  </si>
  <si>
    <t>ห้องเลขา</t>
  </si>
  <si>
    <t>ห้องปลัด</t>
  </si>
  <si>
    <t>ห้องนายก(ห้องเลขา)</t>
  </si>
  <si>
    <t>ธุรการ(พี่หนุ่ย)</t>
  </si>
  <si>
    <t>งานเลขาฯ (ห้องเลขา)</t>
  </si>
  <si>
    <t>งานอปพร</t>
  </si>
  <si>
    <t>เทศกิจ</t>
  </si>
  <si>
    <t>เลขทะเบียนผิด</t>
  </si>
  <si>
    <t>ฝ่ายทะเบียน</t>
  </si>
  <si>
    <t>รอจำหน่าย</t>
  </si>
  <si>
    <t>ธนันกรกานต์</t>
  </si>
  <si>
    <t>หอปูม ชั้น1</t>
  </si>
  <si>
    <t>(ซ้ำโต๊ะดิว)</t>
  </si>
  <si>
    <t>ห้องโถงส่วนกลาง(หน้าห้องนายก)</t>
  </si>
  <si>
    <t>ศูนย์ข้อมูลข่าวสารชั้น2</t>
  </si>
  <si>
    <t>ศูนย์บริการนอกเวลา</t>
  </si>
  <si>
    <t>ศูนย์บริการร่วมชั้น1</t>
  </si>
  <si>
    <t>งานป้องกัน หน่วย 1 (สุระกฤษ หน่อคำ)</t>
  </si>
  <si>
    <t>งานป้องกัน หน่วย 1 (นันทวัติ สิทธิมา)</t>
  </si>
  <si>
    <t>หอปูม ชั้น1 (โอนมาจาก) ฝ่ายบริหารงานทั่วไป สำนักการศึกษา</t>
  </si>
  <si>
    <t>หอปูม ชั้น2 (โอนมาจาก) ฝ่ายบริหารงานทั่วไป สำนักการศึกษา</t>
  </si>
  <si>
    <t>งานส่งเสริมการท่องเที่ยว 
สำนักปลัดเทศบาล</t>
  </si>
  <si>
    <t>ณ ตุลาคม 2566</t>
  </si>
  <si>
    <t>ณัฐพัชร์ฯ</t>
  </si>
  <si>
    <t>วรดลฯ</t>
  </si>
  <si>
    <t>นางทับทิมฯ</t>
  </si>
  <si>
    <t>นายศุภชัยฯ</t>
  </si>
  <si>
    <t>นางจิตรวีฯ</t>
  </si>
  <si>
    <t>ธนันกรกานต์ฯ (รับโอนจากสำนักช่าง)</t>
  </si>
  <si>
    <t>นภาเพ็ญฯ</t>
  </si>
  <si>
    <t>ณัฐพัชร์ฯ (ห้องงานเลขา)</t>
  </si>
  <si>
    <t>คนึงสุขฯ</t>
  </si>
  <si>
    <t>ศิริกัญญาฯ</t>
  </si>
  <si>
    <t>วิทวัสฯ</t>
  </si>
  <si>
    <t>รองนายกสุรพลฯ</t>
  </si>
  <si>
    <t>เลิศลักษณ์ฯ</t>
  </si>
  <si>
    <t>หัวหน้าสำนักปลัด</t>
  </si>
  <si>
    <t>สำนักปลัด ชั้น3</t>
  </si>
  <si>
    <t>ธนันกรกานต์ฯ</t>
  </si>
  <si>
    <t>นางสาวนภาเพ็ญ 
(รับโอนจากกองวิชาการ)</t>
  </si>
  <si>
    <t>ศุภรัตน์ฯ</t>
  </si>
  <si>
    <t>ภัทราวดีฯ</t>
  </si>
  <si>
    <t>นริศราฯ</t>
  </si>
  <si>
    <t>ทับทิมฯ</t>
  </si>
  <si>
    <t>ศุภชัยฯ</t>
  </si>
  <si>
    <t>ฝ่ายบริหารงานทั่วไป</t>
  </si>
  <si>
    <t>ปรัชญาฯ</t>
  </si>
  <si>
    <t>แสงดาว</t>
  </si>
  <si>
    <t>รองปลัดนพดล</t>
  </si>
  <si>
    <t>รองปลัดนพดลฯ</t>
  </si>
  <si>
    <t>รองนายกกิตติฯ</t>
  </si>
  <si>
    <t>หน้าห้องรองนายกกิตติฯ</t>
  </si>
  <si>
    <t>รุ่งนภาฯ</t>
  </si>
  <si>
    <t>เลขานนทวัชร์ฯ</t>
  </si>
  <si>
    <t>เลขาเศรษฐวุฒิฯ</t>
  </si>
  <si>
    <t>รองนายกดวงเดือนฯ</t>
  </si>
  <si>
    <t>วรรณเสด็จฯ</t>
  </si>
  <si>
    <t>ผกามาศฯ</t>
  </si>
  <si>
    <t>มีชัยฯ</t>
  </si>
  <si>
    <t>ประภากรฯ</t>
  </si>
  <si>
    <t>รวีวรรณฯ</t>
  </si>
  <si>
    <t>จิตรวีฯ</t>
  </si>
  <si>
    <t>กนิษฐาฯ</t>
  </si>
  <si>
    <t>รองนายกดวงเดือน</t>
  </si>
  <si>
    <t>รองปลัดกิตติธัชฯ</t>
  </si>
  <si>
    <t>เลขาพีระยศฯ</t>
  </si>
  <si>
    <t>รุ่งพรฯ</t>
  </si>
  <si>
    <t>ห้องรองปลัดนพดลฯ</t>
  </si>
  <si>
    <t>อำนาจฯ</t>
  </si>
  <si>
    <t>ห้องรองนายกกิตติฯ</t>
  </si>
  <si>
    <t xml:space="preserve">งานท่องเที่ยว </t>
  </si>
  <si>
    <t>(รับโอนจากสำนักการศึกษา)</t>
  </si>
  <si>
    <t>หอปูม ชั้น2 (โอนมาจาก) 
ฝ่ายบริหารงานทั่วไป สำนักการศึกษา</t>
  </si>
  <si>
    <t>ห้องรับรองผู้บริหาร / งานป้องกัน 
หน่วย 2 รับมาจากงานเลขา</t>
  </si>
  <si>
    <t>ห้องประชุมชัยพฤกษ์ 
(กองการเจ้าหน้าที่)</t>
  </si>
  <si>
    <t>งานป้องกัน หน่วย 1 
(ห้องหัวหน้า ป้องกัน)</t>
  </si>
  <si>
    <t>(รับโอนจากธุรการ สป)</t>
  </si>
  <si>
    <t>งานป้องกัน หน่วย 1 
ห้องเตรียมพร้อม</t>
  </si>
  <si>
    <t>งานป้องกัน หน่วย 1 
(ห้องน้ำเตรียมพร้อม)</t>
  </si>
  <si>
    <t>(โอนมาจาก) ฝ่ายบริหารงานทั่วไป
สำนักการศึกษา</t>
  </si>
  <si>
    <t>ไพทันฯ</t>
  </si>
  <si>
    <t>หอปูม ชั้น2 (โอนมาจาก)
ฝ่ายบริหารงานทั่วไป สำนักการศึกษา</t>
  </si>
  <si>
    <t>(อปพร)งานป้องกัน หน่วย 1</t>
  </si>
  <si>
    <t>(อปพร)</t>
  </si>
  <si>
    <t>หัวหน้าสำนักปลัด
งานป้องกัน หน่วย 1</t>
  </si>
  <si>
    <t>(โอนมาจาก) ฝ่ายบริหารงานทั่วไป 
สำนักการศึกษา</t>
  </si>
  <si>
    <t>เทศกิจ รุ่งพรฯ</t>
  </si>
  <si>
    <t>เทศกิจ ไพทันฯ</t>
  </si>
  <si>
    <t>เทศกิจ พิทักษ์ฯ</t>
  </si>
  <si>
    <t>เทศกิจ สมหมายฯ</t>
  </si>
  <si>
    <t>เทศกิจ ศิริมงคลฯ</t>
  </si>
  <si>
    <t>เทศกิจ ชัยชนะฯ</t>
  </si>
  <si>
    <t>เทศกิจ อำนาจฯ</t>
  </si>
  <si>
    <t>เทศกิจ พีระพัฒน์ฯ</t>
  </si>
  <si>
    <t>เทศกิจ อภินัยฯ</t>
  </si>
  <si>
    <t>เทศกิจ ชาภีมฯ</t>
  </si>
  <si>
    <t xml:space="preserve">งานบริหารทั่วไป </t>
  </si>
  <si>
    <t>งานรท่องเที่ยว</t>
  </si>
  <si>
    <t xml:space="preserve">งานรท่องเที่ยว </t>
  </si>
  <si>
    <t>หอปูม ชั้น1 (รับโอนจากสำนักการศึกษา)</t>
  </si>
  <si>
    <t>อิชยาพรฯ</t>
  </si>
  <si>
    <t>จันจิราฯ</t>
  </si>
  <si>
    <t>พันทิพาฯ</t>
  </si>
  <si>
    <t>อินทิชาฯ</t>
  </si>
  <si>
    <t>รองปลัดกิตติธัช</t>
  </si>
  <si>
    <t>งานป้องกัน หน่วย 1 
(ห้องธุรการ)</t>
  </si>
  <si>
    <t>เก้าอี้สำนักงานพนักพิงสูง ขนาด (ก)64x(ล)75x(ส)115 ซม.</t>
  </si>
  <si>
    <t>เก้าอี้สำนักงานพนักพิงสูง ขนาด (ก)64x(ล)75x(ส)118 ซม.</t>
  </si>
  <si>
    <t>จักรยานนั่งพิงควบคุมความดันโลหิตสูง</t>
  </si>
  <si>
    <t>ใช้งานสำรองห้องประชุม
ราชาวดี</t>
  </si>
  <si>
    <t>งานป้องกัน หน่วย 1 
ห้องธุรการ</t>
  </si>
  <si>
    <t>หัวหน้าฝ่ายบริหาร
งานขนส่ง</t>
  </si>
  <si>
    <t>หอปูม ชั้น2 (โอนมาจาก)  
ฝ่ายบริหารงานทั่วไป 
สำนักการศึกษา</t>
  </si>
  <si>
    <t>แสงดาวฯ</t>
  </si>
  <si>
    <t>กาณฑ์พิรญาณ์ฯ</t>
  </si>
  <si>
    <t>ปรัชญาฯ (สภาโอนให้งานธุรการ)</t>
  </si>
  <si>
    <t>ห้องปลัด (สภาโอนให้งานธุรการ)</t>
  </si>
  <si>
    <t>เลขานนทวัชร์ฯ (สภาโอนให้งานธุรการ)</t>
  </si>
  <si>
    <t>ณ กันยายน 2566</t>
  </si>
  <si>
    <t>เครื่องสลับสัญญาณภาพ (ห้องประชุมราชพฤกษ์)</t>
  </si>
  <si>
    <t>∕</t>
  </si>
  <si>
    <t>ไม่มีมูลค่า</t>
  </si>
  <si>
    <t>เก้าอี้ฟังบรรยายมีแป้นรองเขียน</t>
  </si>
  <si>
    <t>เก้าอี้เบาะนวมขาเหล็กชุบเก้าอี้แบบมีที่วางแขน</t>
  </si>
  <si>
    <t>ฝ่ายบริหารทั่วไป</t>
  </si>
  <si>
    <t>เกี้ประชุมชนิดผ้าฝ้าย</t>
  </si>
  <si>
    <t>ไม่สามารถประเมินได้</t>
  </si>
  <si>
    <t>เครื่องพิมพ์ดีด</t>
  </si>
  <si>
    <t>พัดลมดูดอากาศ(432)</t>
  </si>
  <si>
    <t>จำหน่ายพร้อมการปรับปรุงห้อง</t>
  </si>
  <si>
    <t>รถยนต์ดับเพลิง ยี่ห้ออีซูซุ ชนิดมีถังน้ำ ในตัว 6 ล้อ 145 แรงม้า เครื่องยนต์ ดีเซล หมายเลขเครื่องยนต์ 6BB1-219563 หมายเลขตัวถังรถ 3406314 (ลป น 7016) #10</t>
  </si>
  <si>
    <t>ไม่สามารถประเมินราคาได้</t>
  </si>
  <si>
    <t>รถยนต์ดับเพลิง ยี่ห้ออีซูซุ ชนิดมีถังน้ำ ในตัว 6 ล้อ 160 แรงม้า เครื่องยนต์ ดีเซล หมายเลขเครื่องยนต์ 6D14-722751 หมายเลขตัวถังรถ FK415F-A31059  (ลป น 7740) #15</t>
  </si>
  <si>
    <t>รถยนต์ดับเพลิง ยี่หเอมิตซูบิชิ ชนิดมีถังน้ำในตัว 6 ล้อ 160 แรงม้า จุน้ำ 2,000 ลิตร เครื่องยนต์ดีเซล แบบ FK415FFREDH1 เลขเครื่อง 6D14-735088 เลขตัวถัง FK415F-A3247 6สูบ สีแดง พร้อมอุปกรณ์ เลขทะเบียน ลป ผ 5981</t>
  </si>
  <si>
    <t>รถจักรยานยนต์สายตรวจ KAWASAKI ทะเบียน กษน 46 ลป</t>
  </si>
  <si>
    <t>รถจักรยานยนต์สายตรวจ KAWASAKI ทะเบียน กษธ 945 ลป</t>
  </si>
  <si>
    <t>เครื่องสูบน้ำไฟฟ้าพร้อมอุปกรณ์</t>
  </si>
  <si>
    <t>ครุภัณฑ์โฆษณาและผยแพร่</t>
  </si>
  <si>
    <t>กล้องโทรทัศน์วงจรปิดชนิดโดมปรับมุมคงที่ภาพสี FIX DOME COLOR</t>
  </si>
  <si>
    <t>กล้องโทรทัศน์วงจรปิดชนิดปรับมุมคงที่ภาพสี FIX CAMERA COLOR</t>
  </si>
  <si>
    <t>454-55-2239</t>
  </si>
  <si>
    <t>ชุดควบคุมกล้องวงจรปิด (ชั้น 1 อาคาร ดับเพลิง ศูนย์ 1 )</t>
  </si>
  <si>
    <t>เครื่องบันทุกสัญญาณภาพฯ(477)</t>
  </si>
  <si>
    <t>โทรทัศน์สี(456)</t>
  </si>
  <si>
    <t>เครื่องถอดแถบบันทึกเสียง</t>
  </si>
  <si>
    <t>ผ้าม่านหน้าต่าง ชนิดผ้าซาติน มีจีบหลุยส์ มีภู่ระบาย ขนาด 3.8 x 2.3 ม.</t>
  </si>
  <si>
    <t>ผ้าม่านหน้าต่าง ชนิดผ้าซาติน มีจีบหลุยส์ มีภู่ระบาย ขนาด 3.7 x 2.8 ม.</t>
  </si>
  <si>
    <t>ผ้าม่านหน้าต่าง ชนิดผ้าซาติน มีจีบหลุยส์ มีภู่ระบาย ขนาด 3.8 x 2.8 ม.</t>
  </si>
  <si>
    <t>ครุภัณฑ์คอมพิวเตอร์รืออิเล็กทรอนิกส์</t>
  </si>
  <si>
    <t>งานูนย์บริการร่วมฯ</t>
  </si>
  <si>
    <t>จอภาพ LED</t>
  </si>
  <si>
    <t>เครื่องคอมพิวเตอร์ แบบ Touch Screen (ฝ่ายบริหาร มนัส)</t>
  </si>
  <si>
    <t>DIGITAL VIDIO RECCORDER NETWORK 16 ช่อง</t>
  </si>
  <si>
    <t>ชุดควบคุมและตรวจสอบความปลอดภัยส่วนกลาง</t>
  </si>
  <si>
    <t>ระบบ Application ร้องทุกข์บน Smartphone</t>
  </si>
  <si>
    <t>งานศูนย์บริการรวมฯ</t>
  </si>
  <si>
    <t>ครุภัณฑ์ต่ำกว่าเกณฑ์</t>
  </si>
  <si>
    <t>400-58-0257(ต)</t>
  </si>
  <si>
    <t>งานศูนย์บริการร่วม</t>
  </si>
  <si>
    <t>400-58-0258(ต)</t>
  </si>
  <si>
    <t>400-55-0011(ต)</t>
  </si>
  <si>
    <t>โทรศัพท์ FUJITEL รุ่น FT-028</t>
  </si>
  <si>
    <t>400-58-0259(ต)</t>
  </si>
  <si>
    <t>ครุภัณฑ์คอมพิวเตอร์หรืออิเล็กรอนิกส์</t>
  </si>
  <si>
    <t>416-55-0062(ต)</t>
  </si>
  <si>
    <t xml:space="preserve">ป้ายทางออก  Exit Sign  Slimeline  แบบไฟ LED </t>
  </si>
  <si>
    <t>081-67-0041</t>
  </si>
  <si>
    <t>(อาคารศูนย์เยาวชน โฮงละกอน)</t>
  </si>
  <si>
    <t>081-67-0042</t>
  </si>
  <si>
    <t>081-67-0038</t>
  </si>
  <si>
    <t>081-67-0039</t>
  </si>
  <si>
    <t>081-67-0040</t>
  </si>
  <si>
    <t>081-67-0043</t>
  </si>
  <si>
    <t>081-67-0044</t>
  </si>
  <si>
    <t>081-67-0045</t>
  </si>
  <si>
    <t>081-67-0046</t>
  </si>
  <si>
    <t>081-67-0047</t>
  </si>
  <si>
    <t>081-67-0048</t>
  </si>
  <si>
    <t>ป้ายโลโก้ตราสัญญาลักษณ์เทศบาล</t>
  </si>
  <si>
    <t>081-67-0049</t>
  </si>
  <si>
    <t>081-67-0050</t>
  </si>
  <si>
    <t>081-67-0051</t>
  </si>
  <si>
    <t>081-67-0052</t>
  </si>
  <si>
    <t>400-67-6969</t>
  </si>
  <si>
    <t>400-66-6966</t>
  </si>
  <si>
    <t>โต๊ะวางคอมพิวเตอร์</t>
  </si>
  <si>
    <t>400-67-7519</t>
  </si>
  <si>
    <t>เก้าอี้อเนกประสงค์</t>
  </si>
  <si>
    <t>401-67-9940</t>
  </si>
  <si>
    <t>401-67-9941</t>
  </si>
  <si>
    <t>401-67-9942</t>
  </si>
  <si>
    <t>401-67-9943</t>
  </si>
  <si>
    <t>401-67-9944</t>
  </si>
  <si>
    <t>401-67-9945</t>
  </si>
  <si>
    <t>401-67-9946</t>
  </si>
  <si>
    <t>401-67-9947</t>
  </si>
  <si>
    <t>401-67-9948</t>
  </si>
  <si>
    <t>401-67-9949</t>
  </si>
  <si>
    <t>401-67-9950</t>
  </si>
  <si>
    <t>401-67-9951</t>
  </si>
  <si>
    <t>401-67-9952</t>
  </si>
  <si>
    <t>401-67-9953</t>
  </si>
  <si>
    <t>401-67-9954</t>
  </si>
  <si>
    <t>401-67-9955</t>
  </si>
  <si>
    <t>401-67-9956</t>
  </si>
  <si>
    <t>401-67-9957</t>
  </si>
  <si>
    <t>401-67-9958</t>
  </si>
  <si>
    <t>401-67-9959</t>
  </si>
  <si>
    <t>401-67-9960</t>
  </si>
  <si>
    <t>401-67-9961</t>
  </si>
  <si>
    <t>401-67-9962</t>
  </si>
  <si>
    <t>401-67-9963</t>
  </si>
  <si>
    <t>401-67-9964</t>
  </si>
  <si>
    <t>401-67-9965</t>
  </si>
  <si>
    <t>401-67-9966</t>
  </si>
  <si>
    <t>401-67-9967</t>
  </si>
  <si>
    <t>401-67-9968</t>
  </si>
  <si>
    <t>401-67-9969</t>
  </si>
  <si>
    <t>401-67-9970</t>
  </si>
  <si>
    <t>401-67-9971</t>
  </si>
  <si>
    <t>401-67-9972</t>
  </si>
  <si>
    <t>401-67-9973</t>
  </si>
  <si>
    <t>401-67-9974</t>
  </si>
  <si>
    <t>401-67-9975</t>
  </si>
  <si>
    <t>401-67-9976</t>
  </si>
  <si>
    <t>401-67-9977</t>
  </si>
  <si>
    <t>401-67-9978</t>
  </si>
  <si>
    <t>401-67-9979</t>
  </si>
  <si>
    <t>401-67-9980</t>
  </si>
  <si>
    <t>401-67-9981</t>
  </si>
  <si>
    <t>401-67-9982</t>
  </si>
  <si>
    <t>401-67-9983</t>
  </si>
  <si>
    <t>401-67-9984</t>
  </si>
  <si>
    <t>401-67-9985</t>
  </si>
  <si>
    <t>401-67-9986</t>
  </si>
  <si>
    <t>401-67-9987</t>
  </si>
  <si>
    <t>401-67-9988</t>
  </si>
  <si>
    <t>401-67-9989</t>
  </si>
  <si>
    <t>401-67-9990</t>
  </si>
  <si>
    <t>401-67-9991</t>
  </si>
  <si>
    <t>401-67-9992</t>
  </si>
  <si>
    <t>401-67-9993</t>
  </si>
  <si>
    <t>401-67-9994</t>
  </si>
  <si>
    <t>401-67-9995</t>
  </si>
  <si>
    <t>401-67-9996</t>
  </si>
  <si>
    <t>401-67-9997</t>
  </si>
  <si>
    <t>401-67-9998</t>
  </si>
  <si>
    <t>401-67-9999</t>
  </si>
  <si>
    <t>401-67-10000</t>
  </si>
  <si>
    <t>401-67-10001</t>
  </si>
  <si>
    <t>401-67-10002</t>
  </si>
  <si>
    <t>401-67-10003</t>
  </si>
  <si>
    <t>401-67-10004</t>
  </si>
  <si>
    <t>401-67-10005</t>
  </si>
  <si>
    <t>401-67-10006</t>
  </si>
  <si>
    <t>401-67-10007</t>
  </si>
  <si>
    <t>401-67-10008</t>
  </si>
  <si>
    <t>401-67-10009</t>
  </si>
  <si>
    <t>401-67-10010</t>
  </si>
  <si>
    <t>401-67-10011</t>
  </si>
  <si>
    <t>401-67-10012</t>
  </si>
  <si>
    <t>401-67-10013</t>
  </si>
  <si>
    <t>401-67-10014</t>
  </si>
  <si>
    <t>401-67-10015</t>
  </si>
  <si>
    <t>401-67-10016</t>
  </si>
  <si>
    <t>401-67-10017</t>
  </si>
  <si>
    <t>401-67-10018</t>
  </si>
  <si>
    <t>401-67-10019</t>
  </si>
  <si>
    <t>401-67-10020</t>
  </si>
  <si>
    <t>401-67-10021</t>
  </si>
  <si>
    <t>401-67-10022</t>
  </si>
  <si>
    <t>401-67-10023</t>
  </si>
  <si>
    <t>401-67-10024</t>
  </si>
  <si>
    <t>401-67-10025</t>
  </si>
  <si>
    <t>401-67-10026</t>
  </si>
  <si>
    <t>401-67-10027</t>
  </si>
  <si>
    <t>401-67-10028</t>
  </si>
  <si>
    <t>401-67-10029</t>
  </si>
  <si>
    <t>401-67-10030</t>
  </si>
  <si>
    <t>401-67-10031</t>
  </si>
  <si>
    <t>401-67-10032</t>
  </si>
  <si>
    <t>401-67-10033</t>
  </si>
  <si>
    <t>401-67-10034</t>
  </si>
  <si>
    <t>401-67-10035</t>
  </si>
  <si>
    <t>401-67-10036</t>
  </si>
  <si>
    <t>401-67-10037</t>
  </si>
  <si>
    <t>401-67-10038</t>
  </si>
  <si>
    <t>401-67-10039</t>
  </si>
  <si>
    <t>เก้าอี้สำนักงาน Taiyo รุ่น CA555A</t>
  </si>
  <si>
    <t>401-67-10135</t>
  </si>
  <si>
    <t>403-66-0202</t>
  </si>
  <si>
    <t>ตู้ล็อกเกอร์</t>
  </si>
  <si>
    <t>406-67-1463</t>
  </si>
  <si>
    <t>406-67-1464</t>
  </si>
  <si>
    <t>406-66-1398</t>
  </si>
  <si>
    <t>ลป52006/018</t>
  </si>
  <si>
    <t>เครื่องปรับอากาศแบบฝังฝ้าเพดาน FCU</t>
  </si>
  <si>
    <t>420-67-0469</t>
  </si>
  <si>
    <t>งานธุรการ สป. (อาคารศูนย์เยาวชน โฮงละกอน)</t>
  </si>
  <si>
    <t>สำนักการศึกษา</t>
  </si>
  <si>
    <t>เงินงบประมาณ</t>
  </si>
  <si>
    <t>420-67-0470</t>
  </si>
  <si>
    <t>420-67-0471</t>
  </si>
  <si>
    <t>420-67-0472</t>
  </si>
  <si>
    <t>420-67-0473</t>
  </si>
  <si>
    <t>420-67-0474</t>
  </si>
  <si>
    <t>420-67-0475</t>
  </si>
  <si>
    <t>420-67-0476</t>
  </si>
  <si>
    <t>เครื่องปรับอากาศแบบฝังฝ้าเพดาน CDF</t>
  </si>
  <si>
    <t>420-67-0477</t>
  </si>
  <si>
    <t>420-67-0478</t>
  </si>
  <si>
    <t>420-67-0479</t>
  </si>
  <si>
    <t>420-67-0480</t>
  </si>
  <si>
    <t>420-67-0481</t>
  </si>
  <si>
    <t>420-67-0482</t>
  </si>
  <si>
    <t>ตู้คอลโทรลไฟฟ้า</t>
  </si>
  <si>
    <t>466-67-0074</t>
  </si>
  <si>
    <t>ไฟฉุกเฉิน  Emergency LED</t>
  </si>
  <si>
    <t>487-67-0040</t>
  </si>
  <si>
    <t>487-67-0041</t>
  </si>
  <si>
    <t>487-67-0042</t>
  </si>
  <si>
    <t>487-67-0043</t>
  </si>
  <si>
    <t>487-67-0044</t>
  </si>
  <si>
    <t>487-67-0045</t>
  </si>
  <si>
    <t>487-67-0046</t>
  </si>
  <si>
    <t>487-67-0047</t>
  </si>
  <si>
    <t>487-67-0048</t>
  </si>
  <si>
    <t>487-67-0049</t>
  </si>
  <si>
    <t>487-67-0050</t>
  </si>
  <si>
    <t>487-67-0051</t>
  </si>
  <si>
    <t>487-67-0052</t>
  </si>
  <si>
    <t>487-67-0053</t>
  </si>
  <si>
    <t>ลป52004/493</t>
  </si>
  <si>
    <t>รถยนต์กระบะ บธ9399</t>
  </si>
  <si>
    <t>ครุภัณฑ์ยานพาหนะ</t>
  </si>
  <si>
    <t>002-45-0053</t>
  </si>
  <si>
    <t>งานศูนย์รถยนต์กลาง  สำนักปลัด</t>
  </si>
  <si>
    <t>งานควบคุมอาคารและผังเมือง  ส่วนการโยธา  สำนักช่าง</t>
  </si>
  <si>
    <t>ลป52009/752</t>
  </si>
  <si>
    <t>คอมพิวเตอร์ (CPU)</t>
  </si>
  <si>
    <t>งานธุรการ  สำนักปลัดเทศบาล</t>
  </si>
  <si>
    <t>งานธุรการ  กองการเจ้าหน้าที่</t>
  </si>
  <si>
    <t>416-51-0486</t>
  </si>
  <si>
    <t>ลป52009/428</t>
  </si>
  <si>
    <t>416-51-0367</t>
  </si>
  <si>
    <t>416-51-0473</t>
  </si>
  <si>
    <t>ลแ52003/1322</t>
  </si>
  <si>
    <t>ลู่วิ่งไฟฟ้า ยี่ฮ้อ Bolzen</t>
  </si>
  <si>
    <t>806-61-0024</t>
  </si>
  <si>
    <t>งานป้องกันบรรเทาสาธารณภัย</t>
  </si>
  <si>
    <t>กองสาธารณสุขและสิ่งแวดล้อม</t>
  </si>
  <si>
    <t>เงินงบประมาณค้างจ่าย</t>
  </si>
  <si>
    <t>จักรยานปั่น ยี่ฮ้อ Engineer</t>
  </si>
  <si>
    <t>806-61-0032</t>
  </si>
  <si>
    <t>806-61-0029</t>
  </si>
  <si>
    <t>งานรักษาความสงบเรียบร้อย</t>
  </si>
  <si>
    <t xml:space="preserve"> ลป52004/493 โอนจากงานควบคุมอาคารและผังเมือง  ส่วนการโยธา  สำนักช่าง</t>
  </si>
  <si>
    <t>ลป52004/531</t>
  </si>
  <si>
    <t>เครื่องปรับอากาศแบบแยกส่วน  ชนิดตั้งพื้นหรือแขวนขนาด 31,124  บีทียู</t>
  </si>
  <si>
    <t>420-58-0202</t>
  </si>
  <si>
    <t>ก.ย.</t>
  </si>
  <si>
    <t>สำนักปลัดเทศบาล</t>
  </si>
  <si>
    <t>ส่วนการโยธา  สำนักช่าง</t>
  </si>
  <si>
    <t>420-59-0257</t>
  </si>
  <si>
    <t>420-59-0258</t>
  </si>
  <si>
    <t>จอคอม (Monitor)</t>
  </si>
  <si>
    <t>ลป.52003/277</t>
  </si>
  <si>
    <t>416-55-0030</t>
  </si>
  <si>
    <t>416-55-0024</t>
  </si>
  <si>
    <t>ฝ่ายบริหารกิจการสภา</t>
  </si>
  <si>
    <t>ลป.52001 ทท/782</t>
  </si>
  <si>
    <t>เครื่องปรับอากาศแบบแยกส่วนชนิดแขวน 36,000 BTU</t>
  </si>
  <si>
    <t>หุ่นไฟเบอร์จำลองคนผู้ชาย แบบลอยตัวพร้อมเสื้อผ้า 1 ตัว</t>
  </si>
  <si>
    <t>หุ่นไฟเบอร์จำลองคนผู้หญิง แบบลอยตัวพร้อมเสื้อผ้า 1 ตัว</t>
  </si>
  <si>
    <t>Laund Speaker</t>
  </si>
  <si>
    <t>Sequence Controller local</t>
  </si>
  <si>
    <t>PM3 Player With controller local (ชุดตลาดนานาชาติ)</t>
  </si>
  <si>
    <t>PM3 Player With controller local</t>
  </si>
  <si>
    <t>LCD TV 40 นิ้ว ระดับความละเอียดจอภาพไม่น้อยกว่า 1366 ชุดเจ้าแม่สุชาดา</t>
  </si>
  <si>
    <t>Support For Lcd 40 นิ้ว ขาประกอบ ชุดเจ้าแม่สุชาดา</t>
  </si>
  <si>
    <t>จอสัมผัสขนาด 27 นิ้ว ชุดมัลติมีเดียสำหรับลงคำปฏิญาณ</t>
  </si>
  <si>
    <t>เครื่องควบคุมลำดับ ชุดมัลติมีเดียสำหรับลงคำปฏิญาณ</t>
  </si>
  <si>
    <t>เครื่องเล่่นสื่อโสต สำหรับชุดมัลติมีเดียลงคำปฏิญาณ</t>
  </si>
  <si>
    <t>โปรแกรมลงคำปฏิญาณ ซอฟแวร์</t>
  </si>
  <si>
    <t>เครื่องวัดอุณหภูมิ ยี่ห้อ CIG LL MO-T260</t>
  </si>
  <si>
    <t>ลป.52001/78</t>
  </si>
  <si>
    <t>เครื่องปรับอากาศ ยี่ห้อ คูลลสแคว์ ขนาด 25,000 บีทียู</t>
  </si>
  <si>
    <t>เครื่องคอมพิวเตอร์ CPU HP COMPAQ DX 2700</t>
  </si>
  <si>
    <t>420-40-0156</t>
  </si>
  <si>
    <t>420-40-0160</t>
  </si>
  <si>
    <t>สำนักช่าง</t>
  </si>
  <si>
    <t>งานป้องกันและบรรเทาสาธารณภัย</t>
  </si>
  <si>
    <t>กองยุทธศาสตร์</t>
  </si>
  <si>
    <t>ลป.52001/287</t>
  </si>
  <si>
    <t xml:space="preserve">ไมค์ประชุม </t>
  </si>
  <si>
    <t>สำนักปลัดเทศบาล (ห้องประชุมราชาวดี)</t>
  </si>
  <si>
    <t>กองสาธารณสุขและสิ่งแวดล้อม (ห้องประชุมพุทธรักษา)</t>
  </si>
  <si>
    <t>ครุภัณฑ์ไฟฟ้าละวิทยุ</t>
  </si>
  <si>
    <t>อาคารศูนย์นันทนาการสร้างสรรค์ (โฮงละกอน)</t>
  </si>
  <si>
    <t>013-21-0001</t>
  </si>
  <si>
    <t>ลป 52006/018 ลงวันที่ 7 พฤษภาคม 2567  รับโอนมาจาก สำนักการศึกษา</t>
  </si>
  <si>
    <t>ลป 52006/018</t>
  </si>
  <si>
    <t>อาคาร</t>
  </si>
  <si>
    <t>งานธุรการ  ฝ่ายบริหารงานทั่วไป  สำนักปลัดเทศบาล</t>
  </si>
  <si>
    <t>รหัสสินทรัพย์</t>
  </si>
  <si>
    <t>*ชนิดสินทรัพย์</t>
  </si>
  <si>
    <t>รายละเอียดสินทรัพย์</t>
  </si>
  <si>
    <t>*วันที่ได้มา
(วว/ดด/ปปปป)</t>
  </si>
  <si>
    <t>*ราคาสินทรัพย์ (ราคาทุน) (บาท)</t>
  </si>
  <si>
    <t>*ได้มาโดย</t>
  </si>
  <si>
    <t>สถานที่ตั้ง</t>
  </si>
  <si>
    <t>งานที่รับผิดชอบ</t>
  </si>
  <si>
    <t>เครืองทำลายเอกสาร (470)</t>
  </si>
  <si>
    <t>470-66-0020</t>
  </si>
  <si>
    <t>เครืองทำลายเอกสาร ยี่ห้อ IDEAL รุ่น 3104</t>
  </si>
  <si>
    <t>ซื้อ/จ้าง</t>
  </si>
  <si>
    <t>งานบริหารทั่วไป</t>
  </si>
  <si>
    <t>เครืองปรับอากาศ (420)</t>
  </si>
  <si>
    <t>420-67-0485</t>
  </si>
  <si>
    <t>เครื่องปรับอากาศ แบบติดผนัง Midia 24,000 BTU</t>
  </si>
  <si>
    <t>รับบริจาค</t>
  </si>
  <si>
    <t>สำนักปลัดเทศบาล (งานเลขา)</t>
  </si>
  <si>
    <t>420-67-0489</t>
  </si>
  <si>
    <t>เครื่องปรับอากาศแบบติดผนัง Midia 30,000 BTU</t>
  </si>
  <si>
    <t>52003/1404</t>
  </si>
  <si>
    <t>420-66-0468</t>
  </si>
  <si>
    <t>เครื่องปรับอากาศแบบแยกส่วน ขนาด 30,000 BTU</t>
  </si>
  <si>
    <t>52003/100</t>
  </si>
  <si>
    <t>420-66-0467</t>
  </si>
  <si>
    <t>เครื่องปรับอากาศแบบแยกส่วน ขนาด 18,000 BTU</t>
  </si>
  <si>
    <t>420-66-0463</t>
  </si>
  <si>
    <t>เครื่องปรับอากาศแบบแยกส่วนขนาด 36,167 BTU</t>
  </si>
  <si>
    <t>52003/119</t>
  </si>
  <si>
    <t>420-66-0464</t>
  </si>
  <si>
    <t>เครื่องปรับอากาศแบบแยกส่วนขนาด 30,026 BTU</t>
  </si>
  <si>
    <t>52003/118</t>
  </si>
  <si>
    <t>ตู้ไม้บานเปิด 6 บานประตู 180x40x165 ซม.</t>
  </si>
  <si>
    <t>สำนักปลัดเทศบาล (ห้องรองกิตติธัช)</t>
  </si>
  <si>
    <t>52003/127</t>
  </si>
  <si>
    <t xml:space="preserve"> ตู้เก็บเอกสารสำนักงานชนิดรางเลื่อน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</si>
  <si>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สำนักปลัด (ฝ่ายทะเบียนราษฯ)</t>
  </si>
  <si>
    <t>ตู้เก็บเอกสารสำนักงานชนิดรางเลื่อน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</si>
  <si>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โต๊ะทำงานผู้บริหารแบบตัวแอล ขนาด 180x160x75 ซม. ทำจากไม้พาร์ติเคิล แผ่นพื้นบนโต๊ะเคลือบลามีน มีลิ้นชักด้านข้าง 9 ลิ้นชัก</t>
  </si>
  <si>
    <t>สำนักปลัด (ห้องรองกิตติธัช)</t>
  </si>
  <si>
    <t>ชุดรับแขก โครงไม้เบาะหนัง ประกอบด้วย โซฟา 1 ที่นั่ง 80x84x84 ซม. 1ตัว โซฟา 2 ที่นั่ง 145x84x84 ซม. 2ตัว โต๊ะกลางหน้ากระจก 110x55x40 จำนวน 1 ตัว</t>
  </si>
  <si>
    <t>สำนักปลัด (ห้องรองกิตติธัช) ชั้น 4</t>
  </si>
  <si>
    <t>รถบรรทุก (006)</t>
  </si>
  <si>
    <t>006-67-0018</t>
  </si>
  <si>
    <t>รถบรรทุกดีเซลขนาด 6  ตัน  6ล้อ  ปริมาตรกรบอกสูบ  7684  ซีซี แบบบรรทุกน้ำ 6,000  ลิตร</t>
  </si>
  <si>
    <t>เรือท้องแบน (029)</t>
  </si>
  <si>
    <t>029-66-0002</t>
  </si>
  <si>
    <t>เรือท้องแบน อลูมิเนียม ขนาด 16 ฟุต พร้อมเครื่องยนต์</t>
  </si>
  <si>
    <t>สว่านไฟฟ้า (059)</t>
  </si>
  <si>
    <t>059-67-00374</t>
  </si>
  <si>
    <t>สว่านไฟฟ้าไร้สาย ยี่ห้อ Makita สามารถปรับได้ 3 โหมด ความเร็วรอบตัวเปล่า (rpm) สูง 0-1, 900 ต่ำ 0-500.
แรงบิดส่งสูงสุด (torque) Hard/Soft : 50/27 นิวตันเมตร (ของแท้)
- สว่านไฟฟ้าไร้สาย จำนวน 1 เครื่อง
- แบตเตอรี่ลิเธียม ขนาด 18V /6.0Ah จำนวน 2 ก้อน</t>
  </si>
  <si>
    <t>52003/102</t>
  </si>
  <si>
    <t>เครื่องพิมพ์  (416)</t>
  </si>
  <si>
    <t>416-67-2442</t>
  </si>
  <si>
    <t>เครื่องพิมพ์ Multifunction เลเซอร์ หรือ LED cannon</t>
  </si>
  <si>
    <t>52003/1301</t>
  </si>
  <si>
    <t>หมายเหตุเลขเดิม 416-67-2505</t>
  </si>
  <si>
    <t>แท็บเลต (416)</t>
  </si>
  <si>
    <t>416-66-2304</t>
  </si>
  <si>
    <t xml:space="preserve">	แท็บเลต</t>
  </si>
  <si>
    <t>52003/196</t>
  </si>
  <si>
    <t>หมายเหตุเลขเดิม 416-66-2318</t>
  </si>
  <si>
    <t>416-66-2313</t>
  </si>
  <si>
    <t>เครื่องคอมพิวเตอร์ All in one สำหรับสำนักงาน</t>
  </si>
  <si>
    <t>52003/199</t>
  </si>
  <si>
    <t>หมายเหตุเลขเดิม 416-66-2329</t>
  </si>
  <si>
    <t>416-66-2314</t>
  </si>
  <si>
    <t>หมายเหตุเลขเดิม 416-66-2330</t>
  </si>
  <si>
    <t>416-66-2307</t>
  </si>
  <si>
    <t>หมายเหตุเลขเดิม 416-66-2323</t>
  </si>
  <si>
    <t>416-66-2315</t>
  </si>
  <si>
    <t>หมายเหตุเลขเดิม 416-66-2331</t>
  </si>
  <si>
    <t>416-66-2305</t>
  </si>
  <si>
    <t>หมาเหตุเลขเดิม 416-66-2319</t>
  </si>
  <si>
    <t>416-66-2306</t>
  </si>
  <si>
    <t>หมาเหตุเลขเดิม 416-66-2320</t>
  </si>
  <si>
    <t>416-66-2316</t>
  </si>
  <si>
    <t>หมายเหตุเลขเดิม 416-66-2332</t>
  </si>
  <si>
    <t>ชุดระบบกล้องวงจรปิด (454)</t>
  </si>
  <si>
    <t>454-67-0226</t>
  </si>
  <si>
    <t xml:space="preserve">ชุดระบบกล้องโทรทัศน์วงจรปิด (CCTV)
ประกอบด้วย
1.กล้องโทรทัศน์วงจรปิดชนิดทรงโดม 8 กล้อง กล้องละ 3,000
2.กล้องโทรทัศน์วงจรปิดชนิดทรงกระบอก 24 กล้อง กล้องละ 5,700
3.เครื่องบันทึกภาพผ่านเครือข่าย 16 ช่องสัญญาณ 2 เครื่อง เครื่องละ 57,000
4.อุปกรณ์กระจายสัญญาณแบบ poe 4 เครื่อง เครื่องละ 8,300
5.เครื่องสำรองไฟฟ้า ขนาด 2kVA/1200W 1 เครื่อง เครื่องละ 11,000
6.ทีวี LED DIGITAL 2 เครื่อง เครื่องละ 15,000
7.สายสัญญานตีเกลียว CAT6 UTP w/Cross filler 1000เมตร ราคา 20,000
8.สายสัญญานตีเกลียว CAT6 UTP w/Cross filler แบบมี สลิง 1500เมตร ราคา 37,500
9.สายไฟเบอร์ออฟติกมีสลิง single mode ขนาด 2 core มีลวดสลิงตลอดแนวสาย 1,800 เมตร ราคา 27,000
10.ค่าวัสดุ อุปกรณ์ ติดตั้ง 1 งาน ราคา 38,500 บาท
11. ค่าแรงติดตั้ง 1 งาน ราคา 18,000 บาท </t>
  </si>
  <si>
    <t>401-67-9939</t>
  </si>
  <si>
    <t>เก้าอี้ผู้บริหาร ยี้ห้อ MONO รุ่น AR THUR/H</t>
  </si>
  <si>
    <t>52003/252</t>
  </si>
  <si>
    <t>เก้าอี้อเนกประสงค์ ยี่ห้อ TK รุ่น LK-16</t>
  </si>
  <si>
    <t>เก้าอี้สำนักงาน Taiyo รุ่น CA555A สีดำ</t>
  </si>
  <si>
    <t>52003/99</t>
  </si>
  <si>
    <t>406-67-1470</t>
  </si>
  <si>
    <t>ตู้เหล็กแบบบานเลื่อนกระจก ขนาด120x40x88เซ็นติเมตร</t>
  </si>
  <si>
    <t>406-67-1471</t>
  </si>
  <si>
    <t>ตู้เหล็กแบบสองบาน ขนาด 920 x 460 x 1830 เซ็นติเมตร</t>
  </si>
  <si>
    <t>406-66-1423</t>
  </si>
  <si>
    <t>ตู้เหล็กแบบ 2 บาน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</si>
  <si>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สำนักปลัดเทศบาล (งานทะเบียนราษฯ)</t>
  </si>
  <si>
    <t>406-66-1424</t>
  </si>
  <si>
    <t>406-66-1425</t>
  </si>
  <si>
    <t>406-66-1426</t>
  </si>
  <si>
    <t>406-66-1427</t>
  </si>
  <si>
    <t>ตู้เหล็กแบบ 2 บาน ยี่ห้อ TAIYO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</t>
  </si>
  <si>
    <t>406-66-1428</t>
  </si>
  <si>
    <t>406-66-1429</t>
  </si>
  <si>
    <t>406-66-1430</t>
  </si>
  <si>
    <t>406-66-1431</t>
  </si>
  <si>
    <t>406-66-1432</t>
  </si>
  <si>
    <t>406-66-1433</t>
  </si>
  <si>
    <t>406-66-1434</t>
  </si>
  <si>
    <t>406-66-1435</t>
  </si>
  <si>
    <t>406-66-1436</t>
  </si>
  <si>
    <t>406-66-1437</t>
  </si>
  <si>
    <t>406-66-1438</t>
  </si>
  <si>
    <t>ตู้ล็อกเกอร์ 18 ช่อง ยี่ห้อ TAIYO รุ่น LK-018</t>
  </si>
  <si>
    <t>ตู้เหล็กบานเลื่อนกระจก ยี่ห้อ TAIYO รุ่น R-025</t>
  </si>
  <si>
    <t>481-66-0061</t>
  </si>
  <si>
    <t>โต๊ะหมู่บูชา 1 ชุด 9 ตัว</t>
  </si>
  <si>
    <t>52003/113</t>
  </si>
  <si>
    <t>โต๊ะทำงานเหล็ก พร้อมกระจก ยี่ห้อ TAIYO รุ่น TTD-50</t>
  </si>
  <si>
    <t>โต๊ะวางคอมพิวเตอร์ ยี่ห้อ ITM</t>
  </si>
  <si>
    <t>055-67-0298</t>
  </si>
  <si>
    <t>เครื่องสูบน้ำแบบหอยโข่งมอเตอร์ไฟฟ้า สูบน้ำได้ 450 ลิตรต่อนาที</t>
  </si>
  <si>
    <t>52003/270</t>
  </si>
  <si>
    <t>416-66-2308</t>
  </si>
  <si>
    <t>หมายเหตุเลขเดิม 416-66-2324</t>
  </si>
  <si>
    <t>416-66-2309</t>
  </si>
  <si>
    <t>หมายเหตุเลขเดิม 416-66-2325</t>
  </si>
  <si>
    <t>416-66-2310</t>
  </si>
  <si>
    <t>หมายเหตุเลขเดิม 416-66-2326</t>
  </si>
  <si>
    <t>416-66-2317</t>
  </si>
  <si>
    <t>เครื่องพิมพ์ Multifunction แบบหัวฉีดพร้อมติดตั้งถังหมึก</t>
  </si>
  <si>
    <t>งบกลาง</t>
  </si>
  <si>
    <t>หมายเหตุเลขเดิม 416-66-2333</t>
  </si>
  <si>
    <t>เครื่องสำรองไฟ (416)</t>
  </si>
  <si>
    <t>416-66-2311</t>
  </si>
  <si>
    <t>เครื่องสำรองไฟ ขนาด 1 kVA</t>
  </si>
  <si>
    <t>หมายเหตุเลขเดิม 416-66-2327</t>
  </si>
  <si>
    <t>416-66-2312</t>
  </si>
  <si>
    <t>หมายเหตุเลขเดิม 416-66-2328</t>
  </si>
  <si>
    <t>416-66-2319</t>
  </si>
  <si>
    <t>เครื่องสำรองไฟฟ้า ขนาด 1 kVA</t>
  </si>
  <si>
    <t>หมายเหตุเลชเดิม 416-66-2335</t>
  </si>
  <si>
    <t>416-66-2320</t>
  </si>
  <si>
    <t>หมายเหตุเลขเดิม 416-66-2482</t>
  </si>
  <si>
    <t>416-66-2321</t>
  </si>
  <si>
    <t>หมายเหตุเลขเดิม 416-66-2483</t>
  </si>
  <si>
    <t>416-66-2318</t>
  </si>
  <si>
    <t>สแกนเนอร์ สำหรับงานเก็บเอกสารรับศูนย์บริการ แบบที่ 1</t>
  </si>
  <si>
    <t>หมายเหตุเลฃเดิม 416-66-2334</t>
  </si>
  <si>
    <t>รวมทั้งหมด</t>
  </si>
  <si>
    <t>ณ  กันยายน  2567</t>
  </si>
  <si>
    <t>25-ก.ย.-66</t>
  </si>
  <si>
    <t>เครื่องทำลายเอกสาร ยี่ห้อ IDEAL รุ่น 3104</t>
  </si>
  <si>
    <t>27-ธ.ค. 2566</t>
  </si>
  <si>
    <t>19-มี.ค.-2567</t>
  </si>
  <si>
    <t>11 ก.ค. 2567</t>
  </si>
  <si>
    <t>18 ธ.ค. 2566</t>
  </si>
  <si>
    <t>15 พ.ย. 2566</t>
  </si>
  <si>
    <t>17 ธ.ค. 2566</t>
  </si>
  <si>
    <t>21-ธค-66</t>
  </si>
  <si>
    <t xml:space="preserve">งานธุรการ สป. </t>
  </si>
  <si>
    <t>406-66-1458</t>
  </si>
  <si>
    <t>406-66-1459</t>
  </si>
  <si>
    <t>19 ม.ค. 54</t>
  </si>
  <si>
    <t xml:space="preserve">งานท่องเที่ยว  </t>
  </si>
  <si>
    <t>หอปูม ชั้น2 (โอนมาจาก) 
ฝ่ายบริหารงานทั่วไป 
สำนักการศึกษา</t>
  </si>
  <si>
    <t>เครื่องปรับอากาศแบบแยกส่วนชนิดแขวน 24,000</t>
  </si>
  <si>
    <t xml:space="preserve">เครื่องปรับอากาศแบบแยกส่วนชนิดแขวน 25,000 </t>
  </si>
  <si>
    <t>เครื่องปรับอากาศแบบแยกส่วนชนิดแขวน 18,000</t>
  </si>
  <si>
    <t xml:space="preserve">เครื่องปรับอากาศแบบแยกส่วนชนิดแขวน </t>
  </si>
  <si>
    <t>สว่าน (059)</t>
  </si>
  <si>
    <t>059-67-0037</t>
  </si>
  <si>
    <t>สว่านไฟฟ้าไร้สาย ยี่ห้อ Makita</t>
  </si>
  <si>
    <t>ชุดระบบกล้องโทรทัศน์วงจรปิด (CCTV)</t>
  </si>
  <si>
    <t>23-4-2567</t>
  </si>
  <si>
    <t>15-11-2566</t>
  </si>
  <si>
    <t>โต๊ะหมู่</t>
  </si>
  <si>
    <t>10พ.ย.2566</t>
  </si>
  <si>
    <t>ราชาวดี</t>
  </si>
  <si>
    <t>26-7-2566</t>
  </si>
  <si>
    <t>6-2-567</t>
  </si>
  <si>
    <t>ครุภัณฑ์การเกษตร (ต)</t>
  </si>
  <si>
    <t>ณ กันยายน 2567</t>
  </si>
  <si>
    <t xml:space="preserve">  ชุดไฟเคลื่อนที่</t>
  </si>
  <si>
    <t xml:space="preserve">   เครื่องรับ-ส่งวิทยุ</t>
  </si>
  <si>
    <t xml:space="preserve">   สัญญาณไฟฉุกเฉินไฟไซเรนท์</t>
  </si>
  <si>
    <t xml:space="preserve">   เครื่องฉายภาพโปรเจกเตอร์  (447)</t>
  </si>
  <si>
    <t xml:space="preserve">   เครื่องเล่นสื่อ (448)</t>
  </si>
  <si>
    <t xml:space="preserve">ครุภัณฑ์วิทยาศาสตร์และการแพทย์ </t>
  </si>
  <si>
    <t>เครื่องวัดอุณหภูมิ (298)</t>
  </si>
  <si>
    <t xml:space="preserve">งานป้องกัน </t>
  </si>
  <si>
    <t>ลป 52006/018  
รับโอนมาจาก สำนักการศึกษา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</si>
</sst>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87" formatCode="_(* #,##0.00_);_(* \(#,##0.00\);_(* &quot;-&quot;??_);_(@_)"/>
    <numFmt numFmtId="188" formatCode="_-* #,##0_-;\-* #,##0_-;_-* &quot;-&quot;??_-;_-@_-"/>
    <numFmt numFmtId="189" formatCode="d\ ดดดด\ bbbb"/>
    <numFmt numFmtId="190" formatCode="dd\-mmm\-yyyy"/>
    <numFmt numFmtId="191" formatCode="d\-mmm\-yyyy"/>
    <numFmt numFmtId="192" formatCode="[$-107041E]d\ mmm\ yy;@"/>
    <numFmt numFmtId="193" formatCode="[$-101041E]d\ mmm\ yy;@"/>
  </numFmts>
  <fonts count="99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5"/>
      <color indexed="8"/>
      <name val="TH SarabunPSK"/>
      <family val="2"/>
    </font>
    <font>
      <sz val="15"/>
      <color indexed="8"/>
      <name val="TH SarabunPSK"/>
      <family val="2"/>
    </font>
    <font>
      <sz val="15"/>
      <color theme="1"/>
      <name val="TH SarabunPSK"/>
      <family val="2"/>
    </font>
    <font>
      <b/>
      <sz val="15"/>
      <color theme="1"/>
      <name val="TH SarabunPSK"/>
      <family val="2"/>
    </font>
    <font>
      <sz val="14"/>
      <color theme="1"/>
      <name val="TH SarabunPSK"/>
      <family val="2"/>
    </font>
    <font>
      <sz val="15"/>
      <name val="TH SarabunPSK"/>
      <family val="2"/>
    </font>
    <font>
      <b/>
      <sz val="15"/>
      <name val="TH SarabunPSK"/>
      <family val="2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u/>
      <sz val="12.65"/>
      <color theme="10"/>
      <name val="Tahoma"/>
      <family val="2"/>
      <charset val="222"/>
    </font>
    <font>
      <sz val="13"/>
      <name val="TH SarabunPSK"/>
      <family val="2"/>
    </font>
    <font>
      <b/>
      <sz val="16"/>
      <name val="TH SarabunPSK"/>
      <family val="2"/>
    </font>
    <font>
      <sz val="11"/>
      <color theme="1"/>
      <name val="TH SarabunPSK"/>
      <family val="2"/>
    </font>
    <font>
      <sz val="12"/>
      <name val="TH SarabunPSK"/>
      <family val="2"/>
    </font>
    <font>
      <sz val="13"/>
      <color theme="1"/>
      <name val="TH SarabunPSK"/>
      <family val="2"/>
    </font>
    <font>
      <sz val="10"/>
      <name val="Arial"/>
      <family val="2"/>
    </font>
    <font>
      <b/>
      <sz val="14"/>
      <name val="TH SarabunPSK"/>
      <family val="2"/>
    </font>
    <font>
      <b/>
      <sz val="16.5"/>
      <color theme="1"/>
      <name val="TH SarabunPSK"/>
      <family val="2"/>
    </font>
    <font>
      <b/>
      <sz val="16"/>
      <color theme="1"/>
      <name val="TH SarabunPSK"/>
      <family val="2"/>
    </font>
    <font>
      <sz val="16.5"/>
      <color theme="1"/>
      <name val="TH SarabunPSK"/>
      <family val="2"/>
    </font>
    <font>
      <b/>
      <sz val="16.5"/>
      <color rgb="FFFF0000"/>
      <name val="TH SarabunPSK"/>
      <family val="2"/>
    </font>
    <font>
      <sz val="16.5"/>
      <color indexed="10"/>
      <name val="TH SarabunPSK"/>
      <family val="2"/>
    </font>
    <font>
      <sz val="16.5"/>
      <color indexed="8"/>
      <name val="TH SarabunPSK"/>
      <family val="2"/>
    </font>
    <font>
      <sz val="11"/>
      <name val="Tahoma"/>
      <family val="2"/>
      <charset val="222"/>
      <scheme val="minor"/>
    </font>
    <font>
      <sz val="11"/>
      <name val="TH SarabunPSK"/>
      <family val="2"/>
    </font>
    <font>
      <sz val="15"/>
      <name val="Tahoma"/>
      <family val="2"/>
      <charset val="222"/>
      <scheme val="minor"/>
    </font>
    <font>
      <u val="double"/>
      <sz val="15"/>
      <name val="TH SarabunPSK"/>
      <family val="2"/>
    </font>
    <font>
      <b/>
      <u val="double"/>
      <sz val="15"/>
      <name val="TH SarabunPSK"/>
      <family val="2"/>
    </font>
    <font>
      <b/>
      <u val="doubleAccounting"/>
      <sz val="15"/>
      <name val="TH SarabunPSK"/>
      <family val="2"/>
    </font>
    <font>
      <sz val="16.5"/>
      <name val="TH SarabunPSK"/>
      <family val="2"/>
    </font>
    <font>
      <b/>
      <sz val="16.5"/>
      <name val="TH SarabunPSK"/>
      <family val="2"/>
    </font>
    <font>
      <b/>
      <u val="double"/>
      <sz val="15"/>
      <color indexed="8"/>
      <name val="TH SarabunPSK"/>
      <family val="2"/>
    </font>
    <font>
      <b/>
      <u val="doubleAccounting"/>
      <sz val="15"/>
      <color indexed="8"/>
      <name val="TH SarabunPSK"/>
      <family val="2"/>
    </font>
    <font>
      <sz val="13"/>
      <color indexed="8"/>
      <name val="TH SarabunPSK"/>
      <family val="2"/>
    </font>
    <font>
      <sz val="14.5"/>
      <name val="TH SarabunPSK"/>
      <family val="2"/>
    </font>
    <font>
      <sz val="14.5"/>
      <color indexed="8"/>
      <name val="TH SarabunPSK"/>
      <family val="2"/>
    </font>
    <font>
      <sz val="12"/>
      <color theme="1"/>
      <name val="TH SarabunPSK"/>
      <family val="2"/>
    </font>
    <font>
      <sz val="10.9"/>
      <name val="TH SarabunPSK"/>
      <family val="2"/>
    </font>
    <font>
      <sz val="11"/>
      <color indexed="8"/>
      <name val="TH SarabunPSK"/>
      <family val="2"/>
    </font>
    <font>
      <sz val="14"/>
      <color indexed="8"/>
      <name val="TH SarabunPSK"/>
      <family val="2"/>
    </font>
    <font>
      <sz val="10"/>
      <name val="TH SarabunPSK"/>
      <family val="2"/>
    </font>
    <font>
      <sz val="15"/>
      <color rgb="FFFF0000"/>
      <name val="TH SarabunPSK"/>
      <family val="2"/>
    </font>
    <font>
      <sz val="11"/>
      <color rgb="FFFF0000"/>
      <name val="Tahoma"/>
      <family val="2"/>
      <charset val="222"/>
      <scheme val="minor"/>
    </font>
    <font>
      <sz val="12"/>
      <color rgb="FFFF0000"/>
      <name val="TH SarabunPSK"/>
      <family val="2"/>
    </font>
    <font>
      <sz val="14"/>
      <color rgb="FFFF0000"/>
      <name val="TH SarabunPSK"/>
      <family val="2"/>
    </font>
    <font>
      <sz val="16"/>
      <color rgb="FFFF0000"/>
      <name val="TH SarabunPSK"/>
      <family val="2"/>
    </font>
    <font>
      <sz val="11"/>
      <color indexed="8"/>
      <name val="Tahoma"/>
      <family val="2"/>
      <charset val="222"/>
    </font>
    <font>
      <b/>
      <sz val="15"/>
      <color rgb="FFFF0000"/>
      <name val="TH SarabunPSK"/>
      <family val="2"/>
    </font>
    <font>
      <sz val="15"/>
      <color rgb="FFFF0000"/>
      <name val="Tahoma"/>
      <family val="2"/>
      <charset val="222"/>
      <scheme val="minor"/>
    </font>
    <font>
      <sz val="15"/>
      <color rgb="FFFF0000"/>
      <name val="Wingdings"/>
      <charset val="2"/>
    </font>
    <font>
      <sz val="15"/>
      <color rgb="FFFF0000"/>
      <name val="AngsanaUPC"/>
      <family val="1"/>
    </font>
    <font>
      <sz val="15"/>
      <color rgb="FFFF0000"/>
      <name val="TH SarabunPSK"/>
      <family val="2"/>
      <charset val="222"/>
    </font>
    <font>
      <sz val="11"/>
      <color theme="0"/>
      <name val="Tahoma"/>
      <family val="2"/>
      <charset val="222"/>
      <scheme val="minor"/>
    </font>
    <font>
      <sz val="15"/>
      <color theme="0"/>
      <name val="Tahoma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sz val="10"/>
      <color theme="1"/>
      <name val="Sarabun"/>
    </font>
    <font>
      <b/>
      <sz val="15"/>
      <name val="TH SarabunPSK"/>
      <family val="2"/>
      <charset val="222"/>
    </font>
    <font>
      <b/>
      <sz val="12"/>
      <color theme="1"/>
      <name val="Sarabun"/>
    </font>
    <font>
      <b/>
      <sz val="12"/>
      <color theme="1"/>
      <name val="Sarabun, Arial"/>
    </font>
    <font>
      <b/>
      <sz val="12"/>
      <color rgb="FF0000FF"/>
      <name val="Sarabun, Arial"/>
    </font>
    <font>
      <sz val="10"/>
      <color theme="1"/>
      <name val="Arial"/>
      <family val="2"/>
    </font>
    <font>
      <b/>
      <sz val="10"/>
      <color theme="1"/>
      <name val="Sarabun"/>
    </font>
    <font>
      <b/>
      <sz val="12"/>
      <color rgb="FFFF0000"/>
      <name val="Sarabun, Arial"/>
    </font>
    <font>
      <sz val="16"/>
      <color theme="1"/>
      <name val="&quot;TH SarabunPSK&quot;"/>
    </font>
    <font>
      <b/>
      <sz val="16"/>
      <color rgb="FF1F1F1F"/>
      <name val="&quot;TH SarabunPSK&quot;"/>
    </font>
    <font>
      <sz val="16"/>
      <color rgb="FF1F1F1F"/>
      <name val="&quot;TH SarabunPSK&quot;"/>
    </font>
    <font>
      <sz val="15"/>
      <color theme="0"/>
      <name val="TH SarabunPSK"/>
      <family val="2"/>
    </font>
    <font>
      <sz val="11"/>
      <color rgb="FFFF0000"/>
      <name val="TH SarabunPSK"/>
      <family val="2"/>
    </font>
    <font>
      <sz val="12"/>
      <name val="TH SarabunIT๙"/>
      <family val="2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theme="1"/>
      <name val="Tahoma"/>
      <family val="2"/>
    </font>
    <font>
      <sz val="11"/>
      <name val="Tahoma"/>
      <family val="2"/>
      <scheme val="minor"/>
    </font>
    <font>
      <sz val="10"/>
      <color rgb="FFFF0000"/>
      <name val="Sarabun"/>
      <charset val="222"/>
    </font>
    <font>
      <sz val="10"/>
      <color rgb="FFFF0000"/>
      <name val="Arial"/>
      <family val="2"/>
      <charset val="222"/>
    </font>
    <font>
      <sz val="10"/>
      <color rgb="FFFF0000"/>
      <name val="Sarabun"/>
    </font>
    <font>
      <b/>
      <sz val="10"/>
      <color rgb="FFFF0000"/>
      <name val="Sarabun"/>
      <charset val="222"/>
    </font>
    <font>
      <sz val="14"/>
      <color rgb="FFFF0000"/>
      <name val="TH SarabunPSK"/>
      <family val="2"/>
      <charset val="222"/>
    </font>
    <font>
      <b/>
      <sz val="10"/>
      <color theme="1"/>
      <name val="Arial"/>
      <family val="2"/>
    </font>
    <font>
      <sz val="10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rgb="FFFF0000"/>
      <name val="Tahoma"/>
      <family val="2"/>
      <scheme val="minor"/>
    </font>
    <font>
      <sz val="10"/>
      <color rgb="FFFF0000"/>
      <name val="Tahoma"/>
      <family val="2"/>
      <scheme val="minor"/>
    </font>
    <font>
      <b/>
      <sz val="10"/>
      <color rgb="FFFF0000"/>
      <name val="Sarabun"/>
    </font>
    <font>
      <sz val="13"/>
      <color rgb="FFFF0000"/>
      <name val="TH SarabunPSK"/>
      <family val="2"/>
    </font>
    <font>
      <sz val="16.5"/>
      <name val="TH SarabunPSK"/>
      <family val="2"/>
      <charset val="222"/>
    </font>
    <font>
      <sz val="12"/>
      <color theme="0"/>
      <name val="TH SarabunPSK"/>
      <family val="2"/>
    </font>
    <font>
      <sz val="10"/>
      <color theme="0"/>
      <name val="Tahoma"/>
      <family val="2"/>
      <scheme val="minor"/>
    </font>
    <font>
      <sz val="14"/>
      <color theme="1"/>
      <name val="TH SarabunIT๙"/>
      <family val="2"/>
    </font>
    <font>
      <sz val="15"/>
      <color theme="1"/>
      <name val="TH SarabunIT๙"/>
      <family val="2"/>
      <charset val="222"/>
    </font>
    <font>
      <sz val="15"/>
      <name val="TH SarabunIT๙"/>
      <family val="2"/>
      <charset val="222"/>
    </font>
    <font>
      <sz val="15"/>
      <name val="TH SarabunPSK"/>
      <family val="2"/>
      <charset val="22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50" fillId="0" borderId="0" applyFont="0" applyFill="0" applyBorder="0" applyAlignment="0" applyProtection="0"/>
  </cellStyleXfs>
  <cellXfs count="1280">
    <xf numFmtId="0" fontId="0" fillId="0" borderId="0" xfId="0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15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0" xfId="0" applyFont="1"/>
    <xf numFmtId="0" fontId="21" fillId="0" borderId="16" xfId="0" applyFont="1" applyBorder="1"/>
    <xf numFmtId="0" fontId="23" fillId="0" borderId="16" xfId="0" applyFont="1" applyBorder="1" applyAlignment="1">
      <alignment horizontal="center"/>
    </xf>
    <xf numFmtId="0" fontId="23" fillId="0" borderId="5" xfId="0" applyFont="1" applyBorder="1"/>
    <xf numFmtId="0" fontId="23" fillId="0" borderId="5" xfId="0" applyFont="1" applyBorder="1" applyAlignment="1">
      <alignment horizontal="center"/>
    </xf>
    <xf numFmtId="0" fontId="23" fillId="0" borderId="12" xfId="0" applyFont="1" applyBorder="1"/>
    <xf numFmtId="0" fontId="23" fillId="0" borderId="12" xfId="0" applyFont="1" applyBorder="1" applyAlignment="1">
      <alignment horizontal="center"/>
    </xf>
    <xf numFmtId="0" fontId="21" fillId="0" borderId="15" xfId="0" applyFont="1" applyBorder="1" applyAlignment="1">
      <alignment horizontal="right"/>
    </xf>
    <xf numFmtId="0" fontId="21" fillId="0" borderId="11" xfId="0" applyFont="1" applyBorder="1"/>
    <xf numFmtId="0" fontId="23" fillId="0" borderId="11" xfId="0" applyFont="1" applyBorder="1" applyAlignment="1">
      <alignment horizontal="center"/>
    </xf>
    <xf numFmtId="0" fontId="24" fillId="0" borderId="5" xfId="0" applyFont="1" applyBorder="1"/>
    <xf numFmtId="0" fontId="7" fillId="0" borderId="5" xfId="0" applyFont="1" applyBorder="1"/>
    <xf numFmtId="0" fontId="21" fillId="0" borderId="5" xfId="0" applyFont="1" applyBorder="1"/>
    <xf numFmtId="0" fontId="18" fillId="0" borderId="5" xfId="0" applyFont="1" applyBorder="1"/>
    <xf numFmtId="0" fontId="2" fillId="0" borderId="0" xfId="0" applyFont="1" applyAlignment="1">
      <alignment horizontal="center"/>
    </xf>
    <xf numFmtId="49" fontId="23" fillId="0" borderId="5" xfId="0" applyNumberFormat="1" applyFont="1" applyBorder="1" applyAlignment="1">
      <alignment horizontal="center"/>
    </xf>
    <xf numFmtId="49" fontId="23" fillId="0" borderId="16" xfId="0" applyNumberFormat="1" applyFont="1" applyBorder="1" applyAlignment="1">
      <alignment horizontal="center"/>
    </xf>
    <xf numFmtId="49" fontId="23" fillId="0" borderId="12" xfId="0" applyNumberFormat="1" applyFont="1" applyBorder="1" applyAlignment="1">
      <alignment horizontal="center"/>
    </xf>
    <xf numFmtId="49" fontId="23" fillId="0" borderId="15" xfId="0" applyNumberFormat="1" applyFont="1" applyBorder="1" applyAlignment="1">
      <alignment horizontal="center"/>
    </xf>
    <xf numFmtId="49" fontId="23" fillId="0" borderId="1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3" fontId="6" fillId="0" borderId="1" xfId="1" applyFont="1" applyBorder="1" applyAlignment="1">
      <alignment horizontal="center"/>
    </xf>
    <xf numFmtId="43" fontId="23" fillId="0" borderId="16" xfId="1" applyFont="1" applyBorder="1" applyAlignment="1">
      <alignment horizontal="center"/>
    </xf>
    <xf numFmtId="43" fontId="23" fillId="0" borderId="5" xfId="1" applyFont="1" applyBorder="1"/>
    <xf numFmtId="43" fontId="23" fillId="0" borderId="12" xfId="1" applyFont="1" applyBorder="1"/>
    <xf numFmtId="43" fontId="23" fillId="0" borderId="11" xfId="1" applyFont="1" applyBorder="1"/>
    <xf numFmtId="43" fontId="23" fillId="0" borderId="5" xfId="1" applyFont="1" applyFill="1" applyBorder="1"/>
    <xf numFmtId="43" fontId="2" fillId="0" borderId="0" xfId="1" applyFont="1"/>
    <xf numFmtId="0" fontId="8" fillId="0" borderId="9" xfId="0" applyFont="1" applyBorder="1" applyAlignment="1">
      <alignment horizontal="center"/>
    </xf>
    <xf numFmtId="0" fontId="27" fillId="0" borderId="0" xfId="0" applyFont="1"/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/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29" fillId="0" borderId="0" xfId="0" applyFont="1"/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30" fillId="0" borderId="1" xfId="0" applyFont="1" applyBorder="1"/>
    <xf numFmtId="0" fontId="29" fillId="0" borderId="1" xfId="0" applyFont="1" applyBorder="1"/>
    <xf numFmtId="0" fontId="8" fillId="0" borderId="9" xfId="0" applyFont="1" applyBorder="1"/>
    <xf numFmtId="43" fontId="8" fillId="0" borderId="1" xfId="3" applyFont="1" applyFill="1" applyBorder="1" applyAlignment="1"/>
    <xf numFmtId="0" fontId="33" fillId="0" borderId="5" xfId="0" applyFont="1" applyBorder="1" applyAlignment="1">
      <alignment horizontal="center"/>
    </xf>
    <xf numFmtId="43" fontId="33" fillId="0" borderId="5" xfId="1" applyFont="1" applyFill="1" applyBorder="1"/>
    <xf numFmtId="43" fontId="33" fillId="0" borderId="5" xfId="1" applyFont="1" applyBorder="1"/>
    <xf numFmtId="0" fontId="21" fillId="0" borderId="5" xfId="0" applyFont="1" applyBorder="1" applyAlignment="1">
      <alignment horizontal="right"/>
    </xf>
    <xf numFmtId="43" fontId="8" fillId="0" borderId="8" xfId="1" applyFont="1" applyFill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43" fontId="8" fillId="0" borderId="1" xfId="1" applyFont="1" applyFill="1" applyBorder="1" applyAlignment="1">
      <alignment vertical="center"/>
    </xf>
    <xf numFmtId="43" fontId="8" fillId="0" borderId="1" xfId="18" applyFont="1" applyFill="1" applyBorder="1" applyAlignment="1">
      <alignment horizontal="center"/>
    </xf>
    <xf numFmtId="43" fontId="8" fillId="0" borderId="1" xfId="21" applyFont="1" applyFill="1" applyBorder="1" applyAlignment="1">
      <alignment horizontal="center"/>
    </xf>
    <xf numFmtId="43" fontId="8" fillId="0" borderId="8" xfId="21" applyFont="1" applyFill="1" applyBorder="1" applyAlignment="1">
      <alignment horizontal="center"/>
    </xf>
    <xf numFmtId="43" fontId="8" fillId="0" borderId="1" xfId="1" applyFont="1" applyFill="1" applyBorder="1"/>
    <xf numFmtId="43" fontId="8" fillId="0" borderId="1" xfId="1" applyFont="1" applyFill="1" applyBorder="1" applyAlignment="1"/>
    <xf numFmtId="43" fontId="8" fillId="0" borderId="1" xfId="1" applyFont="1" applyFill="1" applyBorder="1" applyAlignment="1">
      <alignment horizontal="center" vertical="center"/>
    </xf>
    <xf numFmtId="43" fontId="8" fillId="0" borderId="8" xfId="1" applyFont="1" applyFill="1" applyBorder="1" applyAlignment="1">
      <alignment vertical="center"/>
    </xf>
    <xf numFmtId="0" fontId="8" fillId="0" borderId="9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33" fillId="0" borderId="12" xfId="0" applyFont="1" applyBorder="1" applyAlignment="1">
      <alignment horizontal="center"/>
    </xf>
    <xf numFmtId="43" fontId="33" fillId="0" borderId="12" xfId="1" applyFont="1" applyBorder="1"/>
    <xf numFmtId="0" fontId="21" fillId="4" borderId="17" xfId="0" applyFont="1" applyFill="1" applyBorder="1" applyAlignment="1">
      <alignment horizontal="right"/>
    </xf>
    <xf numFmtId="49" fontId="23" fillId="4" borderId="17" xfId="0" applyNumberFormat="1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43" fontId="23" fillId="4" borderId="17" xfId="1" applyFont="1" applyFill="1" applyBorder="1"/>
    <xf numFmtId="0" fontId="21" fillId="0" borderId="19" xfId="0" applyFont="1" applyBorder="1" applyAlignment="1">
      <alignment horizontal="right"/>
    </xf>
    <xf numFmtId="49" fontId="23" fillId="0" borderId="19" xfId="0" applyNumberFormat="1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43" fontId="23" fillId="0" borderId="21" xfId="1" applyFont="1" applyBorder="1"/>
    <xf numFmtId="0" fontId="23" fillId="0" borderId="24" xfId="0" applyFont="1" applyBorder="1"/>
    <xf numFmtId="0" fontId="23" fillId="0" borderId="22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5" fillId="0" borderId="1" xfId="0" applyFont="1" applyBorder="1"/>
    <xf numFmtId="15" fontId="45" fillId="0" borderId="1" xfId="0" applyNumberFormat="1" applyFont="1" applyBorder="1" applyAlignment="1">
      <alignment horizontal="center"/>
    </xf>
    <xf numFmtId="43" fontId="45" fillId="0" borderId="1" xfId="1" applyFont="1" applyFill="1" applyBorder="1" applyAlignment="1">
      <alignment horizontal="center"/>
    </xf>
    <xf numFmtId="43" fontId="9" fillId="0" borderId="6" xfId="1" applyFont="1" applyBorder="1" applyAlignment="1">
      <alignment horizontal="center"/>
    </xf>
    <xf numFmtId="43" fontId="27" fillId="0" borderId="0" xfId="1" applyFont="1"/>
    <xf numFmtId="0" fontId="45" fillId="0" borderId="0" xfId="0" applyFont="1"/>
    <xf numFmtId="0" fontId="4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57" fillId="0" borderId="0" xfId="0" applyFont="1"/>
    <xf numFmtId="43" fontId="8" fillId="0" borderId="1" xfId="1" applyFont="1" applyFill="1" applyBorder="1" applyAlignment="1">
      <alignment vertical="top"/>
    </xf>
    <xf numFmtId="43" fontId="8" fillId="0" borderId="1" xfId="1" applyFont="1" applyFill="1" applyBorder="1" applyAlignment="1">
      <alignment horizontal="center" vertical="top"/>
    </xf>
    <xf numFmtId="43" fontId="8" fillId="0" borderId="8" xfId="1" applyFont="1" applyFill="1" applyBorder="1" applyAlignment="1">
      <alignment horizontal="center" vertical="top"/>
    </xf>
    <xf numFmtId="43" fontId="9" fillId="0" borderId="8" xfId="1" applyFont="1" applyFill="1" applyBorder="1" applyAlignment="1">
      <alignment horizontal="center"/>
    </xf>
    <xf numFmtId="0" fontId="66" fillId="0" borderId="0" xfId="0" applyFont="1"/>
    <xf numFmtId="0" fontId="67" fillId="0" borderId="28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27" xfId="0" applyFont="1" applyBorder="1"/>
    <xf numFmtId="4" fontId="67" fillId="0" borderId="27" xfId="0" applyNumberFormat="1" applyFont="1" applyBorder="1" applyAlignment="1">
      <alignment horizontal="right"/>
    </xf>
    <xf numFmtId="0" fontId="61" fillId="0" borderId="28" xfId="0" applyFont="1" applyBorder="1" applyAlignment="1">
      <alignment horizontal="center"/>
    </xf>
    <xf numFmtId="0" fontId="61" fillId="0" borderId="27" xfId="0" applyFont="1" applyBorder="1"/>
    <xf numFmtId="0" fontId="61" fillId="0" borderId="27" xfId="0" applyFont="1" applyBorder="1" applyAlignment="1">
      <alignment horizontal="center"/>
    </xf>
    <xf numFmtId="4" fontId="61" fillId="0" borderId="27" xfId="0" applyNumberFormat="1" applyFont="1" applyBorder="1" applyAlignment="1">
      <alignment horizontal="right"/>
    </xf>
    <xf numFmtId="0" fontId="61" fillId="0" borderId="27" xfId="0" applyFont="1" applyBorder="1" applyAlignment="1">
      <alignment wrapText="1"/>
    </xf>
    <xf numFmtId="0" fontId="66" fillId="0" borderId="28" xfId="0" applyFont="1" applyBorder="1"/>
    <xf numFmtId="0" fontId="66" fillId="0" borderId="27" xfId="0" applyFont="1" applyBorder="1"/>
    <xf numFmtId="4" fontId="66" fillId="0" borderId="27" xfId="0" applyNumberFormat="1" applyFont="1" applyBorder="1"/>
    <xf numFmtId="0" fontId="66" fillId="0" borderId="29" xfId="0" applyFont="1" applyBorder="1"/>
    <xf numFmtId="4" fontId="61" fillId="7" borderId="30" xfId="0" applyNumberFormat="1" applyFont="1" applyFill="1" applyBorder="1" applyAlignment="1">
      <alignment horizontal="right"/>
    </xf>
    <xf numFmtId="4" fontId="66" fillId="0" borderId="0" xfId="0" applyNumberFormat="1" applyFont="1"/>
    <xf numFmtId="0" fontId="66" fillId="0" borderId="31" xfId="0" applyFont="1" applyBorder="1"/>
    <xf numFmtId="4" fontId="66" fillId="0" borderId="31" xfId="0" applyNumberFormat="1" applyFont="1" applyBorder="1"/>
    <xf numFmtId="4" fontId="67" fillId="0" borderId="27" xfId="0" applyNumberFormat="1" applyFont="1" applyBorder="1" applyAlignment="1">
      <alignment horizontal="center"/>
    </xf>
    <xf numFmtId="4" fontId="67" fillId="7" borderId="30" xfId="0" applyNumberFormat="1" applyFont="1" applyFill="1" applyBorder="1" applyAlignment="1">
      <alignment horizontal="center"/>
    </xf>
    <xf numFmtId="0" fontId="66" fillId="0" borderId="34" xfId="0" applyFont="1" applyBorder="1"/>
    <xf numFmtId="0" fontId="66" fillId="0" borderId="35" xfId="0" applyFont="1" applyBorder="1"/>
    <xf numFmtId="4" fontId="66" fillId="0" borderId="35" xfId="0" applyNumberFormat="1" applyFont="1" applyBorder="1"/>
    <xf numFmtId="0" fontId="66" fillId="0" borderId="36" xfId="0" applyFont="1" applyBorder="1"/>
    <xf numFmtId="0" fontId="66" fillId="0" borderId="37" xfId="0" applyFont="1" applyBorder="1"/>
    <xf numFmtId="4" fontId="66" fillId="0" borderId="37" xfId="0" applyNumberFormat="1" applyFont="1" applyBorder="1"/>
    <xf numFmtId="0" fontId="69" fillId="0" borderId="37" xfId="0" applyFont="1" applyBorder="1"/>
    <xf numFmtId="0" fontId="69" fillId="0" borderId="37" xfId="0" applyFont="1" applyBorder="1" applyAlignment="1">
      <alignment horizontal="center"/>
    </xf>
    <xf numFmtId="4" fontId="69" fillId="0" borderId="37" xfId="0" applyNumberFormat="1" applyFont="1" applyBorder="1" applyAlignment="1">
      <alignment horizontal="right"/>
    </xf>
    <xf numFmtId="4" fontId="69" fillId="0" borderId="30" xfId="0" applyNumberFormat="1" applyFont="1" applyBorder="1" applyAlignment="1">
      <alignment horizontal="right"/>
    </xf>
    <xf numFmtId="0" fontId="66" fillId="0" borderId="38" xfId="0" applyFont="1" applyBorder="1"/>
    <xf numFmtId="0" fontId="69" fillId="0" borderId="29" xfId="0" applyFont="1" applyBorder="1"/>
    <xf numFmtId="4" fontId="69" fillId="0" borderId="27" xfId="0" applyNumberFormat="1" applyFont="1" applyBorder="1" applyAlignment="1">
      <alignment horizontal="right"/>
    </xf>
    <xf numFmtId="4" fontId="66" fillId="7" borderId="30" xfId="0" applyNumberFormat="1" applyFont="1" applyFill="1" applyBorder="1"/>
    <xf numFmtId="4" fontId="66" fillId="2" borderId="0" xfId="0" applyNumberFormat="1" applyFont="1" applyFill="1"/>
    <xf numFmtId="0" fontId="21" fillId="0" borderId="10" xfId="0" applyFont="1" applyBorder="1" applyAlignment="1">
      <alignment horizontal="right"/>
    </xf>
    <xf numFmtId="49" fontId="23" fillId="0" borderId="10" xfId="0" applyNumberFormat="1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43" fontId="34" fillId="0" borderId="19" xfId="1" applyFont="1" applyFill="1" applyBorder="1"/>
    <xf numFmtId="43" fontId="23" fillId="0" borderId="19" xfId="1" applyFont="1" applyFill="1" applyBorder="1"/>
    <xf numFmtId="43" fontId="33" fillId="0" borderId="12" xfId="1" applyFont="1" applyFill="1" applyBorder="1"/>
    <xf numFmtId="43" fontId="23" fillId="0" borderId="12" xfId="1" applyFont="1" applyFill="1" applyBorder="1"/>
    <xf numFmtId="43" fontId="23" fillId="0" borderId="23" xfId="1" applyFont="1" applyFill="1" applyBorder="1"/>
    <xf numFmtId="0" fontId="34" fillId="0" borderId="12" xfId="0" applyFont="1" applyBorder="1" applyAlignment="1">
      <alignment horizontal="center"/>
    </xf>
    <xf numFmtId="43" fontId="34" fillId="0" borderId="12" xfId="1" applyFont="1" applyFill="1" applyBorder="1"/>
    <xf numFmtId="0" fontId="54" fillId="0" borderId="2" xfId="0" quotePrefix="1" applyFont="1" applyBorder="1" applyAlignment="1">
      <alignment horizontal="center"/>
    </xf>
    <xf numFmtId="0" fontId="53" fillId="0" borderId="1" xfId="0" applyFont="1" applyBorder="1"/>
    <xf numFmtId="43" fontId="8" fillId="0" borderId="8" xfId="1" applyFont="1" applyFill="1" applyBorder="1" applyAlignment="1"/>
    <xf numFmtId="0" fontId="3" fillId="0" borderId="6" xfId="0" applyFont="1" applyBorder="1" applyAlignment="1">
      <alignment horizontal="center"/>
    </xf>
    <xf numFmtId="43" fontId="3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43" fontId="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43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top"/>
    </xf>
    <xf numFmtId="43" fontId="8" fillId="0" borderId="8" xfId="1" applyFont="1" applyFill="1" applyBorder="1" applyAlignment="1">
      <alignment vertical="top"/>
    </xf>
    <xf numFmtId="0" fontId="5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top"/>
    </xf>
    <xf numFmtId="191" fontId="8" fillId="0" borderId="9" xfId="0" applyNumberFormat="1" applyFont="1" applyBorder="1" applyAlignment="1">
      <alignment horizontal="center" vertical="top"/>
    </xf>
    <xf numFmtId="43" fontId="8" fillId="0" borderId="10" xfId="1" applyFont="1" applyFill="1" applyBorder="1" applyAlignment="1">
      <alignment vertical="top"/>
    </xf>
    <xf numFmtId="0" fontId="5" fillId="0" borderId="9" xfId="0" applyFont="1" applyBorder="1" applyAlignment="1">
      <alignment horizontal="center"/>
    </xf>
    <xf numFmtId="0" fontId="5" fillId="0" borderId="1" xfId="5" applyFont="1" applyBorder="1"/>
    <xf numFmtId="0" fontId="8" fillId="0" borderId="1" xfId="5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5" fillId="0" borderId="1" xfId="6" applyFont="1" applyFill="1" applyBorder="1" applyAlignment="1">
      <alignment horizontal="center"/>
    </xf>
    <xf numFmtId="0" fontId="5" fillId="0" borderId="1" xfId="0" applyFont="1" applyBorder="1"/>
    <xf numFmtId="15" fontId="5" fillId="0" borderId="1" xfId="0" applyNumberFormat="1" applyFont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89" fontId="9" fillId="0" borderId="1" xfId="0" applyNumberFormat="1" applyFont="1" applyBorder="1" applyAlignment="1">
      <alignment horizontal="right" vertical="center"/>
    </xf>
    <xf numFmtId="43" fontId="9" fillId="0" borderId="1" xfId="0" applyNumberFormat="1" applyFont="1" applyBorder="1" applyAlignment="1">
      <alignment horizontal="center"/>
    </xf>
    <xf numFmtId="43" fontId="5" fillId="0" borderId="1" xfId="0" applyNumberFormat="1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43" fontId="6" fillId="0" borderId="8" xfId="0" applyNumberFormat="1" applyFont="1" applyBorder="1" applyAlignment="1">
      <alignment horizontal="center"/>
    </xf>
    <xf numFmtId="43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43" fontId="8" fillId="0" borderId="1" xfId="0" applyNumberFormat="1" applyFont="1" applyBorder="1" applyAlignment="1">
      <alignment horizontal="center"/>
    </xf>
    <xf numFmtId="189" fontId="9" fillId="0" borderId="1" xfId="0" applyNumberFormat="1" applyFont="1" applyBorder="1" applyAlignment="1">
      <alignment horizontal="center" vertical="center"/>
    </xf>
    <xf numFmtId="43" fontId="9" fillId="0" borderId="15" xfId="0" applyNumberFormat="1" applyFont="1" applyBorder="1" applyAlignment="1">
      <alignment horizontal="center"/>
    </xf>
    <xf numFmtId="43" fontId="9" fillId="0" borderId="8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3" fontId="9" fillId="0" borderId="10" xfId="0" applyNumberFormat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43" fontId="4" fillId="0" borderId="9" xfId="1" applyFont="1" applyFill="1" applyBorder="1" applyAlignment="1"/>
    <xf numFmtId="43" fontId="0" fillId="0" borderId="0" xfId="0" applyNumberFormat="1"/>
    <xf numFmtId="0" fontId="3" fillId="0" borderId="6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/>
    <xf numFmtId="0" fontId="5" fillId="0" borderId="8" xfId="0" applyFont="1" applyBorder="1"/>
    <xf numFmtId="0" fontId="5" fillId="0" borderId="8" xfId="0" applyFont="1" applyBorder="1" applyAlignment="1">
      <alignment horizontal="left" vertical="top"/>
    </xf>
    <xf numFmtId="0" fontId="5" fillId="0" borderId="9" xfId="0" applyFont="1" applyBorder="1"/>
    <xf numFmtId="0" fontId="5" fillId="0" borderId="9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/>
    <xf numFmtId="0" fontId="9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43" fontId="9" fillId="0" borderId="6" xfId="0" applyNumberFormat="1" applyFont="1" applyBorder="1" applyAlignment="1">
      <alignment horizontal="center"/>
    </xf>
    <xf numFmtId="43" fontId="9" fillId="0" borderId="9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43" fontId="9" fillId="0" borderId="18" xfId="1" applyFont="1" applyFill="1" applyBorder="1" applyAlignment="1">
      <alignment horizontal="center"/>
    </xf>
    <xf numFmtId="43" fontId="27" fillId="0" borderId="0" xfId="0" applyNumberFormat="1" applyFont="1"/>
    <xf numFmtId="0" fontId="62" fillId="0" borderId="1" xfId="0" applyFont="1" applyBorder="1"/>
    <xf numFmtId="0" fontId="27" fillId="0" borderId="1" xfId="0" applyFont="1" applyBorder="1"/>
    <xf numFmtId="0" fontId="8" fillId="0" borderId="1" xfId="0" applyFont="1" applyBorder="1" applyAlignment="1">
      <alignment horizontal="center" vertical="top"/>
    </xf>
    <xf numFmtId="0" fontId="41" fillId="0" borderId="1" xfId="0" applyFont="1" applyBorder="1"/>
    <xf numFmtId="0" fontId="12" fillId="0" borderId="1" xfId="0" applyFont="1" applyBorder="1"/>
    <xf numFmtId="0" fontId="27" fillId="0" borderId="8" xfId="0" applyFont="1" applyBorder="1"/>
    <xf numFmtId="0" fontId="10" fillId="0" borderId="1" xfId="0" applyFont="1" applyBorder="1"/>
    <xf numFmtId="15" fontId="8" fillId="0" borderId="8" xfId="0" applyNumberFormat="1" applyFont="1" applyBorder="1" applyAlignment="1">
      <alignment horizontal="center"/>
    </xf>
    <xf numFmtId="43" fontId="8" fillId="0" borderId="8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43" fontId="31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right" vertical="center"/>
    </xf>
    <xf numFmtId="43" fontId="9" fillId="0" borderId="8" xfId="0" applyNumberFormat="1" applyFont="1" applyBorder="1" applyAlignment="1">
      <alignment horizontal="right" vertical="center"/>
    </xf>
    <xf numFmtId="43" fontId="9" fillId="0" borderId="1" xfId="0" applyNumberFormat="1" applyFont="1" applyBorder="1" applyAlignment="1">
      <alignment horizontal="right" vertical="center"/>
    </xf>
    <xf numFmtId="0" fontId="30" fillId="0" borderId="1" xfId="0" applyFont="1" applyBorder="1" applyAlignment="1">
      <alignment horizontal="center"/>
    </xf>
    <xf numFmtId="0" fontId="8" fillId="0" borderId="1" xfId="5" applyFont="1" applyBorder="1"/>
    <xf numFmtId="43" fontId="8" fillId="0" borderId="1" xfId="6" applyFont="1" applyFill="1" applyBorder="1" applyAlignment="1">
      <alignment horizontal="center"/>
    </xf>
    <xf numFmtId="0" fontId="10" fillId="0" borderId="1" xfId="22" applyFont="1" applyBorder="1"/>
    <xf numFmtId="0" fontId="8" fillId="0" borderId="1" xfId="23" applyFont="1" applyBorder="1" applyAlignment="1">
      <alignment horizontal="center"/>
    </xf>
    <xf numFmtId="15" fontId="8" fillId="0" borderId="1" xfId="23" applyNumberFormat="1" applyFont="1" applyBorder="1" applyAlignment="1">
      <alignment horizontal="center"/>
    </xf>
    <xf numFmtId="43" fontId="8" fillId="0" borderId="8" xfId="6" applyFont="1" applyFill="1" applyBorder="1" applyAlignment="1">
      <alignment horizontal="center"/>
    </xf>
    <xf numFmtId="0" fontId="8" fillId="0" borderId="1" xfId="4" applyFont="1" applyFill="1" applyBorder="1" applyAlignment="1" applyProtection="1">
      <alignment vertical="center"/>
    </xf>
    <xf numFmtId="0" fontId="8" fillId="0" borderId="9" xfId="4" applyFont="1" applyFill="1" applyBorder="1" applyAlignment="1" applyProtection="1">
      <alignment vertical="center"/>
    </xf>
    <xf numFmtId="43" fontId="8" fillId="0" borderId="9" xfId="1" applyFont="1" applyFill="1" applyBorder="1" applyAlignment="1">
      <alignment vertical="center"/>
    </xf>
    <xf numFmtId="43" fontId="8" fillId="0" borderId="1" xfId="1" applyFont="1" applyFill="1" applyBorder="1" applyAlignment="1">
      <alignment horizontal="right"/>
    </xf>
    <xf numFmtId="0" fontId="46" fillId="0" borderId="0" xfId="0" applyFont="1"/>
    <xf numFmtId="0" fontId="1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left"/>
    </xf>
    <xf numFmtId="188" fontId="8" fillId="0" borderId="1" xfId="1" applyNumberFormat="1" applyFont="1" applyFill="1" applyBorder="1" applyAlignment="1">
      <alignment horizontal="center"/>
    </xf>
    <xf numFmtId="43" fontId="8" fillId="0" borderId="1" xfId="0" applyNumberFormat="1" applyFont="1" applyBorder="1"/>
    <xf numFmtId="0" fontId="12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8" fillId="0" borderId="8" xfId="22" applyFont="1" applyBorder="1"/>
    <xf numFmtId="43" fontId="8" fillId="0" borderId="8" xfId="0" applyNumberFormat="1" applyFont="1" applyBorder="1"/>
    <xf numFmtId="0" fontId="8" fillId="0" borderId="1" xfId="22" applyFont="1" applyBorder="1"/>
    <xf numFmtId="0" fontId="8" fillId="0" borderId="1" xfId="2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92" fontId="8" fillId="0" borderId="1" xfId="2" applyNumberFormat="1" applyFont="1" applyBorder="1" applyAlignment="1">
      <alignment horizontal="center"/>
    </xf>
    <xf numFmtId="15" fontId="8" fillId="0" borderId="9" xfId="0" applyNumberFormat="1" applyFont="1" applyBorder="1" applyAlignment="1">
      <alignment horizontal="center"/>
    </xf>
    <xf numFmtId="43" fontId="9" fillId="0" borderId="1" xfId="1" applyFont="1" applyFill="1" applyBorder="1" applyAlignment="1">
      <alignment horizontal="center"/>
    </xf>
    <xf numFmtId="0" fontId="12" fillId="0" borderId="1" xfId="5" applyFont="1" applyBorder="1"/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43" fontId="9" fillId="0" borderId="9" xfId="1" applyFont="1" applyFill="1" applyBorder="1" applyAlignment="1">
      <alignment horizontal="center"/>
    </xf>
    <xf numFmtId="15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43" fontId="8" fillId="0" borderId="1" xfId="0" applyNumberFormat="1" applyFont="1" applyBorder="1" applyAlignment="1">
      <alignment horizontal="center" vertical="top"/>
    </xf>
    <xf numFmtId="0" fontId="8" fillId="0" borderId="1" xfId="7" applyFont="1" applyBorder="1"/>
    <xf numFmtId="0" fontId="8" fillId="0" borderId="1" xfId="7" applyFont="1" applyBorder="1" applyAlignment="1">
      <alignment horizontal="center"/>
    </xf>
    <xf numFmtId="43" fontId="8" fillId="0" borderId="1" xfId="8" applyFont="1" applyFill="1" applyBorder="1" applyAlignment="1">
      <alignment horizontal="center" vertical="center"/>
    </xf>
    <xf numFmtId="43" fontId="8" fillId="0" borderId="10" xfId="0" applyNumberFormat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/>
    </xf>
    <xf numFmtId="43" fontId="9" fillId="0" borderId="10" xfId="1" applyFont="1" applyFill="1" applyBorder="1" applyAlignment="1">
      <alignment horizontal="center"/>
    </xf>
    <xf numFmtId="15" fontId="31" fillId="0" borderId="1" xfId="0" applyNumberFormat="1" applyFont="1" applyBorder="1" applyAlignment="1">
      <alignment horizontal="center"/>
    </xf>
    <xf numFmtId="43" fontId="32" fillId="0" borderId="1" xfId="1" applyFont="1" applyFill="1" applyBorder="1" applyAlignment="1">
      <alignment horizontal="center"/>
    </xf>
    <xf numFmtId="190" fontId="8" fillId="0" borderId="1" xfId="0" applyNumberFormat="1" applyFont="1" applyBorder="1" applyAlignment="1">
      <alignment horizontal="center" vertical="center"/>
    </xf>
    <xf numFmtId="43" fontId="8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8" fillId="0" borderId="1" xfId="9" applyFont="1" applyBorder="1" applyAlignment="1">
      <alignment horizontal="left"/>
    </xf>
    <xf numFmtId="0" fontId="8" fillId="0" borderId="1" xfId="12" applyFont="1" applyBorder="1" applyAlignment="1">
      <alignment horizontal="center"/>
    </xf>
    <xf numFmtId="192" fontId="8" fillId="0" borderId="1" xfId="10" applyNumberFormat="1" applyFont="1" applyBorder="1" applyAlignment="1">
      <alignment horizontal="center"/>
    </xf>
    <xf numFmtId="0" fontId="8" fillId="0" borderId="1" xfId="9" applyFont="1" applyBorder="1" applyAlignment="1">
      <alignment horizontal="center"/>
    </xf>
    <xf numFmtId="0" fontId="8" fillId="0" borderId="1" xfId="12" applyFont="1" applyBorder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38" fillId="0" borderId="1" xfId="0" applyFont="1" applyBorder="1"/>
    <xf numFmtId="0" fontId="14" fillId="0" borderId="1" xfId="0" applyFont="1" applyBorder="1"/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top"/>
    </xf>
    <xf numFmtId="190" fontId="12" fillId="0" borderId="1" xfId="0" applyNumberFormat="1" applyFont="1" applyBorder="1" applyAlignment="1">
      <alignment horizontal="center" vertical="top"/>
    </xf>
    <xf numFmtId="43" fontId="12" fillId="0" borderId="9" xfId="1" applyFont="1" applyFill="1" applyBorder="1" applyAlignment="1">
      <alignment vertical="top"/>
    </xf>
    <xf numFmtId="43" fontId="12" fillId="0" borderId="1" xfId="1" applyFont="1" applyFill="1" applyBorder="1" applyAlignment="1">
      <alignment vertical="top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40" fillId="0" borderId="1" xfId="0" applyFont="1" applyBorder="1" applyAlignment="1" applyProtection="1">
      <alignment horizontal="left"/>
      <protection locked="0"/>
    </xf>
    <xf numFmtId="43" fontId="8" fillId="0" borderId="9" xfId="1" applyFont="1" applyFill="1" applyBorder="1" applyAlignment="1">
      <alignment horizontal="center"/>
    </xf>
    <xf numFmtId="0" fontId="5" fillId="0" borderId="1" xfId="0" applyFont="1" applyBorder="1" applyProtection="1">
      <protection locked="0"/>
    </xf>
    <xf numFmtId="43" fontId="4" fillId="0" borderId="1" xfId="1" applyFont="1" applyFill="1" applyBorder="1" applyAlignment="1">
      <alignment horizontal="center"/>
    </xf>
    <xf numFmtId="0" fontId="9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Alignment="1">
      <alignment horizontal="left"/>
    </xf>
    <xf numFmtId="189" fontId="8" fillId="0" borderId="1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49" fontId="9" fillId="0" borderId="9" xfId="0" applyNumberFormat="1" applyFont="1" applyBorder="1" applyAlignment="1">
      <alignment vertical="center"/>
    </xf>
    <xf numFmtId="43" fontId="9" fillId="0" borderId="1" xfId="0" applyNumberFormat="1" applyFont="1" applyBorder="1" applyAlignment="1">
      <alignment horizontal="center" vertical="center"/>
    </xf>
    <xf numFmtId="0" fontId="8" fillId="0" borderId="8" xfId="22" applyFont="1" applyBorder="1" applyAlignment="1">
      <alignment horizontal="center"/>
    </xf>
    <xf numFmtId="0" fontId="8" fillId="0" borderId="8" xfId="23" applyFont="1" applyBorder="1"/>
    <xf numFmtId="0" fontId="8" fillId="0" borderId="8" xfId="23" applyFont="1" applyBorder="1" applyAlignment="1">
      <alignment horizontal="center"/>
    </xf>
    <xf numFmtId="15" fontId="8" fillId="0" borderId="8" xfId="23" applyNumberFormat="1" applyFont="1" applyBorder="1" applyAlignment="1">
      <alignment horizontal="center"/>
    </xf>
    <xf numFmtId="43" fontId="8" fillId="0" borderId="8" xfId="1" applyFont="1" applyFill="1" applyBorder="1"/>
    <xf numFmtId="0" fontId="2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0" xfId="22" applyFont="1" applyBorder="1" applyAlignment="1">
      <alignment horizontal="center"/>
    </xf>
    <xf numFmtId="0" fontId="8" fillId="0" borderId="10" xfId="23" applyFont="1" applyBorder="1"/>
    <xf numFmtId="0" fontId="8" fillId="0" borderId="10" xfId="23" applyFont="1" applyBorder="1" applyAlignment="1">
      <alignment horizontal="center"/>
    </xf>
    <xf numFmtId="15" fontId="8" fillId="0" borderId="10" xfId="23" applyNumberFormat="1" applyFont="1" applyBorder="1" applyAlignment="1">
      <alignment horizontal="center"/>
    </xf>
    <xf numFmtId="43" fontId="8" fillId="0" borderId="10" xfId="1" applyFont="1" applyFill="1" applyBorder="1"/>
    <xf numFmtId="0" fontId="8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27" fillId="0" borderId="13" xfId="0" applyFont="1" applyBorder="1" applyAlignment="1">
      <alignment horizontal="center" vertical="center"/>
    </xf>
    <xf numFmtId="43" fontId="8" fillId="0" borderId="9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0" xfId="0" applyFont="1"/>
    <xf numFmtId="0" fontId="8" fillId="0" borderId="10" xfId="22" applyFont="1" applyBorder="1"/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43" fontId="8" fillId="0" borderId="8" xfId="22" applyNumberFormat="1" applyFont="1" applyBorder="1" applyAlignment="1">
      <alignment horizontal="center"/>
    </xf>
    <xf numFmtId="43" fontId="29" fillId="0" borderId="8" xfId="0" applyNumberFormat="1" applyFont="1" applyBorder="1" applyAlignment="1">
      <alignment horizontal="center" vertical="center"/>
    </xf>
    <xf numFmtId="43" fontId="9" fillId="0" borderId="8" xfId="0" applyNumberFormat="1" applyFont="1" applyBorder="1" applyAlignment="1">
      <alignment horizontal="center" vertical="center"/>
    </xf>
    <xf numFmtId="43" fontId="8" fillId="0" borderId="8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45" fillId="0" borderId="8" xfId="22" applyFont="1" applyBorder="1" applyAlignment="1">
      <alignment horizontal="center"/>
    </xf>
    <xf numFmtId="49" fontId="45" fillId="0" borderId="8" xfId="0" applyNumberFormat="1" applyFont="1" applyBorder="1" applyAlignment="1">
      <alignment vertical="center"/>
    </xf>
    <xf numFmtId="43" fontId="45" fillId="0" borderId="8" xfId="22" applyNumberFormat="1" applyFont="1" applyBorder="1" applyAlignment="1">
      <alignment horizontal="center"/>
    </xf>
    <xf numFmtId="15" fontId="45" fillId="0" borderId="8" xfId="23" applyNumberFormat="1" applyFont="1" applyBorder="1" applyAlignment="1">
      <alignment horizontal="center"/>
    </xf>
    <xf numFmtId="43" fontId="45" fillId="0" borderId="8" xfId="23" applyNumberFormat="1" applyFont="1" applyBorder="1" applyAlignment="1">
      <alignment horizontal="center"/>
    </xf>
    <xf numFmtId="43" fontId="45" fillId="0" borderId="8" xfId="0" applyNumberFormat="1" applyFont="1" applyBorder="1" applyAlignment="1">
      <alignment horizontal="center" vertical="center"/>
    </xf>
    <xf numFmtId="43" fontId="46" fillId="0" borderId="8" xfId="0" applyNumberFormat="1" applyFont="1" applyBorder="1" applyAlignment="1">
      <alignment horizontal="center" vertical="center"/>
    </xf>
    <xf numFmtId="43" fontId="51" fillId="0" borderId="8" xfId="0" applyNumberFormat="1" applyFont="1" applyBorder="1" applyAlignment="1">
      <alignment horizontal="center" vertical="center"/>
    </xf>
    <xf numFmtId="43" fontId="45" fillId="0" borderId="8" xfId="0" applyNumberFormat="1" applyFont="1" applyBorder="1" applyAlignment="1">
      <alignment horizontal="left" vertical="center"/>
    </xf>
    <xf numFmtId="0" fontId="45" fillId="0" borderId="10" xfId="22" applyFont="1" applyBorder="1" applyAlignment="1">
      <alignment horizontal="center"/>
    </xf>
    <xf numFmtId="49" fontId="48" fillId="0" borderId="10" xfId="0" applyNumberFormat="1" applyFont="1" applyBorder="1" applyAlignment="1">
      <alignment vertical="center"/>
    </xf>
    <xf numFmtId="43" fontId="45" fillId="0" borderId="10" xfId="22" applyNumberFormat="1" applyFont="1" applyBorder="1" applyAlignment="1">
      <alignment horizontal="center"/>
    </xf>
    <xf numFmtId="15" fontId="45" fillId="0" borderId="10" xfId="23" applyNumberFormat="1" applyFont="1" applyBorder="1" applyAlignment="1">
      <alignment horizontal="center"/>
    </xf>
    <xf numFmtId="43" fontId="45" fillId="0" borderId="10" xfId="23" applyNumberFormat="1" applyFont="1" applyBorder="1" applyAlignment="1">
      <alignment horizontal="center"/>
    </xf>
    <xf numFmtId="43" fontId="45" fillId="0" borderId="10" xfId="0" applyNumberFormat="1" applyFont="1" applyBorder="1" applyAlignment="1">
      <alignment horizontal="center"/>
    </xf>
    <xf numFmtId="43" fontId="45" fillId="0" borderId="10" xfId="0" applyNumberFormat="1" applyFont="1" applyBorder="1" applyAlignment="1">
      <alignment horizontal="center" vertical="center"/>
    </xf>
    <xf numFmtId="43" fontId="46" fillId="0" borderId="10" xfId="0" applyNumberFormat="1" applyFont="1" applyBorder="1" applyAlignment="1">
      <alignment horizontal="center" vertical="center"/>
    </xf>
    <xf numFmtId="43" fontId="51" fillId="0" borderId="10" xfId="0" applyNumberFormat="1" applyFont="1" applyBorder="1" applyAlignment="1">
      <alignment horizontal="center" vertical="center"/>
    </xf>
    <xf numFmtId="43" fontId="45" fillId="0" borderId="10" xfId="0" applyNumberFormat="1" applyFont="1" applyBorder="1" applyAlignment="1">
      <alignment horizontal="left" vertical="center"/>
    </xf>
    <xf numFmtId="49" fontId="49" fillId="0" borderId="10" xfId="0" applyNumberFormat="1" applyFont="1" applyBorder="1" applyAlignment="1">
      <alignment vertical="center"/>
    </xf>
    <xf numFmtId="43" fontId="45" fillId="0" borderId="9" xfId="22" applyNumberFormat="1" applyFont="1" applyBorder="1" applyAlignment="1">
      <alignment horizontal="center"/>
    </xf>
    <xf numFmtId="49" fontId="45" fillId="0" borderId="9" xfId="0" applyNumberFormat="1" applyFont="1" applyBorder="1" applyAlignment="1">
      <alignment vertical="center"/>
    </xf>
    <xf numFmtId="43" fontId="45" fillId="0" borderId="9" xfId="23" applyNumberFormat="1" applyFont="1" applyBorder="1" applyAlignment="1">
      <alignment horizontal="center"/>
    </xf>
    <xf numFmtId="43" fontId="45" fillId="0" borderId="9" xfId="0" applyNumberFormat="1" applyFont="1" applyBorder="1" applyAlignment="1">
      <alignment horizontal="center"/>
    </xf>
    <xf numFmtId="43" fontId="52" fillId="0" borderId="9" xfId="0" applyNumberFormat="1" applyFont="1" applyBorder="1" applyAlignment="1">
      <alignment horizontal="center"/>
    </xf>
    <xf numFmtId="43" fontId="46" fillId="0" borderId="9" xfId="0" applyNumberFormat="1" applyFont="1" applyBorder="1" applyAlignment="1">
      <alignment horizontal="center" vertical="center"/>
    </xf>
    <xf numFmtId="43" fontId="51" fillId="0" borderId="9" xfId="0" applyNumberFormat="1" applyFont="1" applyBorder="1" applyAlignment="1">
      <alignment horizontal="center" vertical="center"/>
    </xf>
    <xf numFmtId="43" fontId="45" fillId="0" borderId="9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vertical="center"/>
    </xf>
    <xf numFmtId="43" fontId="8" fillId="0" borderId="8" xfId="0" applyNumberFormat="1" applyFont="1" applyBorder="1" applyAlignment="1">
      <alignment horizontal="center" vertical="center"/>
    </xf>
    <xf numFmtId="43" fontId="27" fillId="0" borderId="8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vertical="center"/>
    </xf>
    <xf numFmtId="43" fontId="8" fillId="0" borderId="10" xfId="22" applyNumberFormat="1" applyFont="1" applyBorder="1" applyAlignment="1">
      <alignment horizontal="center"/>
    </xf>
    <xf numFmtId="43" fontId="8" fillId="0" borderId="10" xfId="23" applyNumberFormat="1" applyFont="1" applyBorder="1" applyAlignment="1">
      <alignment horizontal="center"/>
    </xf>
    <xf numFmtId="43" fontId="8" fillId="0" borderId="10" xfId="0" applyNumberFormat="1" applyFont="1" applyBorder="1" applyAlignment="1">
      <alignment horizontal="center"/>
    </xf>
    <xf numFmtId="43" fontId="27" fillId="0" borderId="10" xfId="0" applyNumberFormat="1" applyFont="1" applyBorder="1" applyAlignment="1">
      <alignment horizontal="center" vertical="center"/>
    </xf>
    <xf numFmtId="43" fontId="9" fillId="0" borderId="10" xfId="0" applyNumberFormat="1" applyFont="1" applyBorder="1" applyAlignment="1">
      <alignment horizontal="center" vertical="center"/>
    </xf>
    <xf numFmtId="43" fontId="8" fillId="0" borderId="10" xfId="0" applyNumberFormat="1" applyFont="1" applyBorder="1" applyAlignment="1">
      <alignment horizontal="left" vertical="center"/>
    </xf>
    <xf numFmtId="43" fontId="8" fillId="0" borderId="9" xfId="22" applyNumberFormat="1" applyFont="1" applyBorder="1" applyAlignment="1">
      <alignment horizontal="center"/>
    </xf>
    <xf numFmtId="49" fontId="8" fillId="0" borderId="9" xfId="0" applyNumberFormat="1" applyFont="1" applyBorder="1" applyAlignment="1">
      <alignment vertical="center"/>
    </xf>
    <xf numFmtId="43" fontId="8" fillId="0" borderId="9" xfId="23" applyNumberFormat="1" applyFont="1" applyBorder="1" applyAlignment="1">
      <alignment horizontal="center"/>
    </xf>
    <xf numFmtId="43" fontId="29" fillId="0" borderId="9" xfId="0" applyNumberFormat="1" applyFont="1" applyBorder="1" applyAlignment="1">
      <alignment horizontal="center"/>
    </xf>
    <xf numFmtId="43" fontId="27" fillId="0" borderId="9" xfId="0" applyNumberFormat="1" applyFont="1" applyBorder="1" applyAlignment="1">
      <alignment horizontal="center" vertical="center"/>
    </xf>
    <xf numFmtId="43" fontId="8" fillId="0" borderId="9" xfId="0" applyNumberFormat="1" applyFont="1" applyBorder="1" applyAlignment="1">
      <alignment horizontal="left" vertical="center"/>
    </xf>
    <xf numFmtId="0" fontId="45" fillId="0" borderId="8" xfId="0" applyFont="1" applyBorder="1" applyAlignment="1">
      <alignment horizontal="center"/>
    </xf>
    <xf numFmtId="0" fontId="45" fillId="0" borderId="8" xfId="22" applyFont="1" applyBorder="1"/>
    <xf numFmtId="0" fontId="45" fillId="0" borderId="8" xfId="0" applyFont="1" applyBorder="1" applyAlignment="1">
      <alignment horizontal="center" vertical="center"/>
    </xf>
    <xf numFmtId="0" fontId="45" fillId="0" borderId="10" xfId="22" applyFont="1" applyBorder="1"/>
    <xf numFmtId="0" fontId="45" fillId="0" borderId="9" xfId="22" applyFont="1" applyBorder="1"/>
    <xf numFmtId="15" fontId="45" fillId="0" borderId="9" xfId="23" applyNumberFormat="1" applyFont="1" applyBorder="1" applyAlignment="1">
      <alignment horizontal="center"/>
    </xf>
    <xf numFmtId="43" fontId="29" fillId="0" borderId="10" xfId="0" applyNumberFormat="1" applyFont="1" applyBorder="1" applyAlignment="1">
      <alignment horizontal="center" vertical="center"/>
    </xf>
    <xf numFmtId="0" fontId="8" fillId="0" borderId="9" xfId="22" applyFont="1" applyBorder="1"/>
    <xf numFmtId="0" fontId="8" fillId="0" borderId="9" xfId="22" applyFont="1" applyBorder="1" applyAlignment="1">
      <alignment horizontal="center"/>
    </xf>
    <xf numFmtId="15" fontId="8" fillId="0" borderId="9" xfId="23" applyNumberFormat="1" applyFont="1" applyBorder="1" applyAlignment="1">
      <alignment horizontal="center"/>
    </xf>
    <xf numFmtId="43" fontId="29" fillId="0" borderId="9" xfId="0" applyNumberFormat="1" applyFont="1" applyBorder="1" applyAlignment="1">
      <alignment horizontal="center" vertical="center"/>
    </xf>
    <xf numFmtId="0" fontId="8" fillId="0" borderId="9" xfId="23" applyFont="1" applyBorder="1" applyAlignment="1">
      <alignment horizontal="left"/>
    </xf>
    <xf numFmtId="0" fontId="8" fillId="0" borderId="9" xfId="23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49" fontId="8" fillId="0" borderId="1" xfId="22" applyNumberFormat="1" applyFont="1" applyBorder="1"/>
    <xf numFmtId="43" fontId="8" fillId="0" borderId="1" xfId="23" applyNumberFormat="1" applyFont="1" applyBorder="1" applyAlignment="1">
      <alignment horizontal="center"/>
    </xf>
    <xf numFmtId="43" fontId="29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center"/>
    </xf>
    <xf numFmtId="43" fontId="8" fillId="0" borderId="9" xfId="1" applyFont="1" applyFill="1" applyBorder="1"/>
    <xf numFmtId="0" fontId="8" fillId="0" borderId="1" xfId="23" applyFont="1" applyBorder="1"/>
    <xf numFmtId="0" fontId="6" fillId="0" borderId="9" xfId="0" applyFont="1" applyBorder="1" applyAlignment="1">
      <alignment horizontal="left" vertical="center"/>
    </xf>
    <xf numFmtId="43" fontId="5" fillId="0" borderId="8" xfId="0" applyNumberFormat="1" applyFont="1" applyBorder="1"/>
    <xf numFmtId="43" fontId="45" fillId="0" borderId="8" xfId="0" applyNumberFormat="1" applyFont="1" applyBorder="1"/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49" fontId="9" fillId="0" borderId="8" xfId="0" applyNumberFormat="1" applyFont="1" applyBorder="1" applyAlignment="1">
      <alignment vertical="center"/>
    </xf>
    <xf numFmtId="0" fontId="9" fillId="0" borderId="8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/>
    </xf>
    <xf numFmtId="0" fontId="30" fillId="0" borderId="0" xfId="0" applyFont="1"/>
    <xf numFmtId="0" fontId="9" fillId="0" borderId="0" xfId="0" applyFont="1" applyAlignment="1">
      <alignment horizontal="center"/>
    </xf>
    <xf numFmtId="43" fontId="9" fillId="0" borderId="0" xfId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28" fillId="0" borderId="9" xfId="0" applyFont="1" applyBorder="1" applyAlignment="1">
      <alignment horizontal="left" vertical="center"/>
    </xf>
    <xf numFmtId="0" fontId="8" fillId="0" borderId="1" xfId="24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8" xfId="0" applyFont="1" applyBorder="1"/>
    <xf numFmtId="11" fontId="8" fillId="0" borderId="8" xfId="23" applyNumberFormat="1" applyFont="1" applyBorder="1" applyAlignment="1">
      <alignment horizontal="center"/>
    </xf>
    <xf numFmtId="0" fontId="29" fillId="0" borderId="8" xfId="0" applyFont="1" applyBorder="1" applyAlignment="1">
      <alignment horizontal="center" vertical="center"/>
    </xf>
    <xf numFmtId="0" fontId="8" fillId="0" borderId="9" xfId="23" applyFont="1" applyBorder="1"/>
    <xf numFmtId="11" fontId="8" fillId="0" borderId="9" xfId="23" applyNumberFormat="1" applyFont="1" applyBorder="1" applyAlignment="1">
      <alignment horizontal="center"/>
    </xf>
    <xf numFmtId="0" fontId="8" fillId="0" borderId="9" xfId="24" applyFont="1" applyBorder="1" applyAlignment="1">
      <alignment horizontal="center"/>
    </xf>
    <xf numFmtId="0" fontId="29" fillId="0" borderId="9" xfId="0" applyFont="1" applyBorder="1" applyAlignment="1">
      <alignment horizontal="center" vertical="center"/>
    </xf>
    <xf numFmtId="0" fontId="10" fillId="0" borderId="1" xfId="23" applyFont="1" applyBorder="1"/>
    <xf numFmtId="11" fontId="8" fillId="0" borderId="1" xfId="23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9" fillId="0" borderId="1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43" fontId="4" fillId="0" borderId="8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15" fontId="4" fillId="0" borderId="9" xfId="0" applyNumberFormat="1" applyFont="1" applyBorder="1" applyAlignment="1">
      <alignment horizontal="center"/>
    </xf>
    <xf numFmtId="43" fontId="4" fillId="0" borderId="9" xfId="1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8" fillId="0" borderId="10" xfId="24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0" xfId="0" applyFont="1" applyBorder="1"/>
    <xf numFmtId="0" fontId="8" fillId="0" borderId="10" xfId="0" applyFont="1" applyBorder="1" applyAlignment="1">
      <alignment horizontal="left"/>
    </xf>
    <xf numFmtId="0" fontId="28" fillId="0" borderId="0" xfId="0" applyFont="1" applyAlignment="1">
      <alignment horizontal="left"/>
    </xf>
    <xf numFmtId="188" fontId="32" fillId="0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43" fontId="8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vertical="top" wrapText="1"/>
    </xf>
    <xf numFmtId="0" fontId="20" fillId="0" borderId="1" xfId="24" applyFont="1" applyBorder="1"/>
    <xf numFmtId="0" fontId="10" fillId="0" borderId="1" xfId="23" applyFont="1" applyBorder="1" applyAlignment="1">
      <alignment horizontal="center"/>
    </xf>
    <xf numFmtId="15" fontId="10" fillId="0" borderId="1" xfId="23" applyNumberFormat="1" applyFont="1" applyBorder="1" applyAlignment="1">
      <alignment horizontal="center"/>
    </xf>
    <xf numFmtId="43" fontId="10" fillId="0" borderId="1" xfId="23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8" fillId="0" borderId="1" xfId="24" applyFont="1" applyBorder="1"/>
    <xf numFmtId="43" fontId="32" fillId="0" borderId="9" xfId="1" applyFont="1" applyFill="1" applyBorder="1" applyAlignment="1">
      <alignment horizontal="center"/>
    </xf>
    <xf numFmtId="0" fontId="20" fillId="0" borderId="1" xfId="0" applyFont="1" applyBorder="1" applyProtection="1">
      <protection locked="0"/>
    </xf>
    <xf numFmtId="0" fontId="10" fillId="0" borderId="1" xfId="0" applyFont="1" applyBorder="1" applyProtection="1">
      <protection locked="0"/>
    </xf>
    <xf numFmtId="0" fontId="8" fillId="0" borderId="12" xfId="2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8" fillId="0" borderId="1" xfId="13" applyFont="1" applyBorder="1"/>
    <xf numFmtId="0" fontId="8" fillId="0" borderId="1" xfId="13" applyFont="1" applyBorder="1" applyAlignment="1">
      <alignment horizontal="center"/>
    </xf>
    <xf numFmtId="43" fontId="8" fillId="0" borderId="1" xfId="15" applyFont="1" applyFill="1" applyBorder="1" applyAlignment="1">
      <alignment horizontal="center"/>
    </xf>
    <xf numFmtId="0" fontId="43" fillId="0" borderId="1" xfId="0" applyFont="1" applyBorder="1"/>
    <xf numFmtId="191" fontId="9" fillId="0" borderId="1" xfId="0" applyNumberFormat="1" applyFont="1" applyBorder="1" applyAlignment="1">
      <alignment horizontal="center" vertical="center"/>
    </xf>
    <xf numFmtId="43" fontId="9" fillId="0" borderId="8" xfId="1" applyFont="1" applyFill="1" applyBorder="1" applyAlignment="1">
      <alignment vertical="center"/>
    </xf>
    <xf numFmtId="0" fontId="8" fillId="0" borderId="8" xfId="0" applyFont="1" applyBorder="1"/>
    <xf numFmtId="191" fontId="9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0" fontId="35" fillId="0" borderId="1" xfId="0" applyFont="1" applyBorder="1" applyAlignment="1">
      <alignment horizontal="center"/>
    </xf>
    <xf numFmtId="43" fontId="36" fillId="0" borderId="1" xfId="1" applyFont="1" applyFill="1" applyBorder="1" applyAlignment="1">
      <alignment horizontal="center"/>
    </xf>
    <xf numFmtId="0" fontId="4" fillId="0" borderId="0" xfId="0" applyFont="1"/>
    <xf numFmtId="191" fontId="9" fillId="0" borderId="9" xfId="0" applyNumberFormat="1" applyFont="1" applyBorder="1" applyAlignment="1">
      <alignment horizontal="center" vertical="center"/>
    </xf>
    <xf numFmtId="43" fontId="9" fillId="0" borderId="9" xfId="1" applyFont="1" applyFill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43" fontId="9" fillId="0" borderId="1" xfId="1" applyFont="1" applyFill="1" applyBorder="1" applyAlignment="1">
      <alignment vertical="center"/>
    </xf>
    <xf numFmtId="43" fontId="9" fillId="0" borderId="10" xfId="1" applyFont="1" applyFill="1" applyBorder="1" applyAlignment="1">
      <alignment vertical="center"/>
    </xf>
    <xf numFmtId="0" fontId="62" fillId="0" borderId="9" xfId="0" applyFont="1" applyBorder="1" applyAlignment="1">
      <alignment vertical="center" wrapText="1"/>
    </xf>
    <xf numFmtId="43" fontId="9" fillId="0" borderId="18" xfId="1" applyFont="1" applyFill="1" applyBorder="1" applyAlignment="1">
      <alignment vertical="center"/>
    </xf>
    <xf numFmtId="0" fontId="8" fillId="0" borderId="11" xfId="0" applyFont="1" applyBorder="1" applyAlignment="1" applyProtection="1">
      <alignment horizontal="center"/>
      <protection locked="0"/>
    </xf>
    <xf numFmtId="43" fontId="9" fillId="0" borderId="19" xfId="0" applyNumberFormat="1" applyFont="1" applyBorder="1" applyAlignment="1">
      <alignment horizontal="right" vertical="center"/>
    </xf>
    <xf numFmtId="0" fontId="29" fillId="0" borderId="9" xfId="0" applyFont="1" applyBorder="1"/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15" fontId="8" fillId="0" borderId="9" xfId="1" applyNumberFormat="1" applyFont="1" applyFill="1" applyBorder="1" applyAlignment="1">
      <alignment horizontal="center" vertical="top"/>
    </xf>
    <xf numFmtId="43" fontId="8" fillId="0" borderId="9" xfId="1" applyFont="1" applyFill="1" applyBorder="1" applyAlignment="1">
      <alignment vertical="top"/>
    </xf>
    <xf numFmtId="0" fontId="9" fillId="0" borderId="1" xfId="0" applyFont="1" applyBorder="1" applyAlignment="1">
      <alignment vertical="top" wrapText="1"/>
    </xf>
    <xf numFmtId="15" fontId="8" fillId="0" borderId="1" xfId="1" applyNumberFormat="1" applyFont="1" applyFill="1" applyBorder="1" applyAlignment="1">
      <alignment horizontal="center" vertical="top"/>
    </xf>
    <xf numFmtId="0" fontId="10" fillId="0" borderId="9" xfId="22" applyFont="1" applyBorder="1"/>
    <xf numFmtId="43" fontId="9" fillId="0" borderId="9" xfId="0" applyNumberFormat="1" applyFont="1" applyBorder="1" applyAlignment="1">
      <alignment horizontal="right" vertical="center"/>
    </xf>
    <xf numFmtId="43" fontId="9" fillId="0" borderId="10" xfId="0" applyNumberFormat="1" applyFont="1" applyBorder="1" applyAlignment="1">
      <alignment horizontal="right" vertical="center"/>
    </xf>
    <xf numFmtId="49" fontId="9" fillId="0" borderId="10" xfId="0" applyNumberFormat="1" applyFont="1" applyBorder="1" applyAlignment="1">
      <alignment vertical="center"/>
    </xf>
    <xf numFmtId="43" fontId="8" fillId="0" borderId="10" xfId="1" applyFont="1" applyFill="1" applyBorder="1" applyAlignment="1">
      <alignment horizontal="center"/>
    </xf>
    <xf numFmtId="0" fontId="8" fillId="0" borderId="1" xfId="16" applyFont="1" applyBorder="1"/>
    <xf numFmtId="0" fontId="8" fillId="0" borderId="1" xfId="16" applyFont="1" applyBorder="1" applyAlignment="1">
      <alignment horizontal="center"/>
    </xf>
    <xf numFmtId="0" fontId="8" fillId="0" borderId="1" xfId="19" applyFont="1" applyBorder="1" applyAlignment="1">
      <alignment horizontal="left"/>
    </xf>
    <xf numFmtId="0" fontId="8" fillId="0" borderId="1" xfId="19" applyFont="1" applyBorder="1" applyAlignment="1">
      <alignment horizontal="center"/>
    </xf>
    <xf numFmtId="0" fontId="8" fillId="0" borderId="1" xfId="16" applyFont="1" applyBorder="1" applyAlignment="1">
      <alignment horizontal="left"/>
    </xf>
    <xf numFmtId="0" fontId="56" fillId="0" borderId="0" xfId="0" applyFont="1"/>
    <xf numFmtId="0" fontId="10" fillId="0" borderId="8" xfId="0" applyFont="1" applyBorder="1"/>
    <xf numFmtId="0" fontId="10" fillId="0" borderId="9" xfId="0" applyFont="1" applyBorder="1"/>
    <xf numFmtId="189" fontId="8" fillId="0" borderId="9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top"/>
    </xf>
    <xf numFmtId="49" fontId="8" fillId="0" borderId="1" xfId="0" applyNumberFormat="1" applyFont="1" applyBorder="1" applyAlignment="1">
      <alignment horizontal="center" vertical="top"/>
    </xf>
    <xf numFmtId="0" fontId="46" fillId="0" borderId="1" xfId="0" applyFont="1" applyBorder="1"/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9" fillId="0" borderId="6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0" borderId="9" xfId="0" applyFont="1" applyBorder="1" applyAlignment="1">
      <alignment horizontal="left" vertical="center"/>
    </xf>
    <xf numFmtId="0" fontId="72" fillId="0" borderId="1" xfId="0" applyFont="1" applyBorder="1" applyAlignment="1">
      <alignment horizontal="left"/>
    </xf>
    <xf numFmtId="0" fontId="27" fillId="0" borderId="9" xfId="0" applyFont="1" applyBorder="1" applyAlignment="1">
      <alignment horizontal="left" vertical="top"/>
    </xf>
    <xf numFmtId="0" fontId="28" fillId="0" borderId="1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72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43" fontId="8" fillId="0" borderId="8" xfId="0" applyNumberFormat="1" applyFont="1" applyBorder="1" applyAlignment="1">
      <alignment vertical="top"/>
    </xf>
    <xf numFmtId="0" fontId="27" fillId="0" borderId="0" xfId="0" applyFont="1" applyAlignment="1">
      <alignment vertical="top"/>
    </xf>
    <xf numFmtId="43" fontId="8" fillId="0" borderId="8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wrapText="1"/>
    </xf>
    <xf numFmtId="0" fontId="2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top"/>
    </xf>
    <xf numFmtId="43" fontId="9" fillId="0" borderId="10" xfId="1" applyFont="1" applyFill="1" applyBorder="1" applyAlignment="1">
      <alignment horizontal="center" vertical="top"/>
    </xf>
    <xf numFmtId="43" fontId="9" fillId="0" borderId="18" xfId="1" applyFont="1" applyFill="1" applyBorder="1" applyAlignment="1">
      <alignment horizontal="center" vertical="top"/>
    </xf>
    <xf numFmtId="43" fontId="9" fillId="0" borderId="9" xfId="1" applyFont="1" applyFill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5" fontId="4" fillId="0" borderId="1" xfId="0" applyNumberFormat="1" applyFont="1" applyBorder="1" applyAlignment="1">
      <alignment horizontal="center" vertical="top"/>
    </xf>
    <xf numFmtId="43" fontId="4" fillId="0" borderId="8" xfId="1" applyFont="1" applyFill="1" applyBorder="1" applyAlignment="1">
      <alignment horizontal="center" vertical="top"/>
    </xf>
    <xf numFmtId="191" fontId="9" fillId="0" borderId="9" xfId="0" applyNumberFormat="1" applyFont="1" applyBorder="1" applyAlignment="1">
      <alignment horizontal="center" vertical="top"/>
    </xf>
    <xf numFmtId="43" fontId="9" fillId="0" borderId="10" xfId="1" applyFont="1" applyFill="1" applyBorder="1" applyAlignment="1">
      <alignment vertical="top"/>
    </xf>
    <xf numFmtId="43" fontId="4" fillId="0" borderId="1" xfId="1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vertical="top"/>
    </xf>
    <xf numFmtId="15" fontId="4" fillId="0" borderId="9" xfId="0" applyNumberFormat="1" applyFont="1" applyBorder="1" applyAlignment="1">
      <alignment horizontal="center" vertical="top"/>
    </xf>
    <xf numFmtId="43" fontId="4" fillId="0" borderId="10" xfId="1" applyFont="1" applyFill="1" applyBorder="1" applyAlignment="1">
      <alignment horizontal="center" vertical="top"/>
    </xf>
    <xf numFmtId="0" fontId="4" fillId="0" borderId="9" xfId="0" applyFont="1" applyBorder="1" applyAlignment="1">
      <alignment vertical="top" wrapText="1"/>
    </xf>
    <xf numFmtId="0" fontId="27" fillId="0" borderId="8" xfId="0" applyFont="1" applyBorder="1" applyAlignment="1">
      <alignment horizontal="center" vertical="top"/>
    </xf>
    <xf numFmtId="0" fontId="27" fillId="0" borderId="1" xfId="0" applyFont="1" applyBorder="1" applyAlignment="1">
      <alignment vertical="top"/>
    </xf>
    <xf numFmtId="0" fontId="8" fillId="0" borderId="1" xfId="9" applyFont="1" applyBorder="1" applyAlignment="1">
      <alignment horizontal="left" vertical="top"/>
    </xf>
    <xf numFmtId="0" fontId="8" fillId="0" borderId="1" xfId="9" applyFont="1" applyBorder="1" applyAlignment="1">
      <alignment horizontal="center" vertical="top"/>
    </xf>
    <xf numFmtId="0" fontId="8" fillId="0" borderId="1" xfId="12" applyFont="1" applyBorder="1" applyAlignment="1">
      <alignment horizontal="left" vertical="top"/>
    </xf>
    <xf numFmtId="0" fontId="14" fillId="0" borderId="1" xfId="12" applyFont="1" applyBorder="1" applyAlignment="1">
      <alignment horizontal="center" vertical="top"/>
    </xf>
    <xf numFmtId="15" fontId="8" fillId="0" borderId="8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left" vertical="top"/>
    </xf>
    <xf numFmtId="0" fontId="45" fillId="0" borderId="9" xfId="0" applyFont="1" applyBorder="1" applyAlignment="1">
      <alignment horizontal="left" vertical="top"/>
    </xf>
    <xf numFmtId="0" fontId="45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15" fontId="5" fillId="0" borderId="8" xfId="0" applyNumberFormat="1" applyFont="1" applyBorder="1" applyAlignment="1">
      <alignment horizontal="center" vertical="top"/>
    </xf>
    <xf numFmtId="43" fontId="5" fillId="0" borderId="1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15" fontId="5" fillId="0" borderId="1" xfId="0" applyNumberFormat="1" applyFont="1" applyBorder="1" applyAlignment="1">
      <alignment horizontal="center" vertical="top"/>
    </xf>
    <xf numFmtId="43" fontId="5" fillId="0" borderId="1" xfId="1" applyFont="1" applyFill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9" fillId="0" borderId="1" xfId="0" applyFont="1" applyBorder="1" applyAlignment="1">
      <alignment vertical="top"/>
    </xf>
    <xf numFmtId="0" fontId="74" fillId="0" borderId="1" xfId="0" applyFont="1" applyBorder="1" applyAlignment="1">
      <alignment horizontal="left" vertical="center"/>
    </xf>
    <xf numFmtId="0" fontId="74" fillId="0" borderId="8" xfId="0" applyFont="1" applyBorder="1" applyAlignment="1">
      <alignment horizontal="left" vertical="top" wrapText="1"/>
    </xf>
    <xf numFmtId="43" fontId="8" fillId="0" borderId="1" xfId="21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ill="1" applyBorder="1"/>
    <xf numFmtId="0" fontId="75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76" fillId="0" borderId="1" xfId="0" applyFont="1" applyBorder="1"/>
    <xf numFmtId="193" fontId="0" fillId="0" borderId="1" xfId="0" applyNumberFormat="1" applyBorder="1" applyAlignment="1">
      <alignment horizontal="center" vertical="center"/>
    </xf>
    <xf numFmtId="43" fontId="0" fillId="0" borderId="1" xfId="1" applyFont="1" applyBorder="1"/>
    <xf numFmtId="0" fontId="77" fillId="0" borderId="1" xfId="0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193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93" fontId="0" fillId="0" borderId="1" xfId="0" applyNumberFormat="1" applyBorder="1" applyAlignment="1">
      <alignment horizontal="center"/>
    </xf>
    <xf numFmtId="43" fontId="0" fillId="0" borderId="1" xfId="1" applyFont="1" applyFill="1" applyBorder="1"/>
    <xf numFmtId="0" fontId="0" fillId="0" borderId="1" xfId="0" applyBorder="1" applyAlignment="1">
      <alignment horizontal="center" wrapText="1"/>
    </xf>
    <xf numFmtId="193" fontId="0" fillId="8" borderId="1" xfId="0" applyNumberFormat="1" applyFill="1" applyBorder="1" applyAlignment="1">
      <alignment horizontal="center"/>
    </xf>
    <xf numFmtId="43" fontId="0" fillId="8" borderId="1" xfId="1" applyFont="1" applyFill="1" applyBorder="1"/>
    <xf numFmtId="193" fontId="0" fillId="0" borderId="1" xfId="0" applyNumberFormat="1" applyBorder="1"/>
    <xf numFmtId="193" fontId="0" fillId="8" borderId="1" xfId="0" applyNumberFormat="1" applyFill="1" applyBorder="1"/>
    <xf numFmtId="0" fontId="0" fillId="0" borderId="1" xfId="0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76" fillId="0" borderId="1" xfId="0" applyFont="1" applyBorder="1" applyAlignment="1">
      <alignment horizontal="center"/>
    </xf>
    <xf numFmtId="0" fontId="0" fillId="8" borderId="1" xfId="0" applyFill="1" applyBorder="1" applyAlignment="1">
      <alignment wrapText="1"/>
    </xf>
    <xf numFmtId="43" fontId="0" fillId="0" borderId="15" xfId="1" applyFont="1" applyBorder="1"/>
    <xf numFmtId="43" fontId="9" fillId="0" borderId="1" xfId="1" applyFont="1" applyFill="1" applyBorder="1" applyAlignment="1">
      <alignment horizontal="center" vertical="center"/>
    </xf>
    <xf numFmtId="0" fontId="70" fillId="0" borderId="39" xfId="0" applyFont="1" applyBorder="1"/>
    <xf numFmtId="0" fontId="71" fillId="0" borderId="37" xfId="0" applyFont="1" applyBorder="1"/>
    <xf numFmtId="0" fontId="70" fillId="0" borderId="38" xfId="0" applyFont="1" applyBorder="1"/>
    <xf numFmtId="0" fontId="71" fillId="0" borderId="29" xfId="0" applyFont="1" applyBorder="1"/>
    <xf numFmtId="0" fontId="45" fillId="0" borderId="1" xfId="0" applyFont="1" applyBorder="1" applyAlignment="1">
      <alignment horizontal="center" vertical="top"/>
    </xf>
    <xf numFmtId="0" fontId="45" fillId="0" borderId="1" xfId="0" applyFont="1" applyBorder="1" applyAlignment="1">
      <alignment vertical="top"/>
    </xf>
    <xf numFmtId="43" fontId="45" fillId="0" borderId="8" xfId="0" applyNumberFormat="1" applyFont="1" applyBorder="1" applyAlignment="1">
      <alignment vertical="top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79" fillId="3" borderId="27" xfId="0" applyFont="1" applyFill="1" applyBorder="1" applyAlignment="1">
      <alignment horizontal="center"/>
    </xf>
    <xf numFmtId="0" fontId="79" fillId="3" borderId="27" xfId="0" applyFont="1" applyFill="1" applyBorder="1"/>
    <xf numFmtId="0" fontId="80" fillId="3" borderId="27" xfId="0" applyFont="1" applyFill="1" applyBorder="1"/>
    <xf numFmtId="0" fontId="45" fillId="0" borderId="9" xfId="0" applyFont="1" applyBorder="1" applyAlignment="1">
      <alignment horizontal="center" vertical="center"/>
    </xf>
    <xf numFmtId="0" fontId="73" fillId="0" borderId="0" xfId="0" applyFont="1"/>
    <xf numFmtId="0" fontId="81" fillId="0" borderId="27" xfId="0" applyFont="1" applyBorder="1" applyAlignment="1">
      <alignment wrapText="1"/>
    </xf>
    <xf numFmtId="0" fontId="80" fillId="0" borderId="27" xfId="0" applyFont="1" applyBorder="1"/>
    <xf numFmtId="15" fontId="45" fillId="0" borderId="8" xfId="0" applyNumberFormat="1" applyFont="1" applyBorder="1" applyAlignment="1">
      <alignment horizontal="center"/>
    </xf>
    <xf numFmtId="0" fontId="46" fillId="0" borderId="8" xfId="0" applyFont="1" applyBorder="1" applyAlignment="1">
      <alignment horizontal="center" vertical="center"/>
    </xf>
    <xf numFmtId="0" fontId="45" fillId="0" borderId="8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/>
    </xf>
    <xf numFmtId="4" fontId="80" fillId="0" borderId="29" xfId="0" applyNumberFormat="1" applyFont="1" applyBorder="1"/>
    <xf numFmtId="0" fontId="67" fillId="0" borderId="43" xfId="0" applyFont="1" applyBorder="1" applyAlignment="1">
      <alignment horizontal="center"/>
    </xf>
    <xf numFmtId="0" fontId="67" fillId="0" borderId="29" xfId="0" applyFont="1" applyBorder="1" applyAlignment="1">
      <alignment horizontal="center"/>
    </xf>
    <xf numFmtId="0" fontId="67" fillId="0" borderId="29" xfId="0" applyFont="1" applyBorder="1"/>
    <xf numFmtId="4" fontId="67" fillId="0" borderId="29" xfId="0" applyNumberFormat="1" applyFont="1" applyBorder="1" applyAlignment="1">
      <alignment horizontal="right"/>
    </xf>
    <xf numFmtId="0" fontId="67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79" fillId="3" borderId="1" xfId="0" applyFont="1" applyFill="1" applyBorder="1" applyAlignment="1">
      <alignment horizontal="center"/>
    </xf>
    <xf numFmtId="0" fontId="79" fillId="3" borderId="1" xfId="0" applyFont="1" applyFill="1" applyBorder="1" applyAlignment="1">
      <alignment wrapText="1"/>
    </xf>
    <xf numFmtId="0" fontId="79" fillId="3" borderId="1" xfId="0" applyFont="1" applyFill="1" applyBorder="1"/>
    <xf numFmtId="0" fontId="80" fillId="3" borderId="1" xfId="0" applyFont="1" applyFill="1" applyBorder="1"/>
    <xf numFmtId="4" fontId="80" fillId="3" borderId="1" xfId="0" applyNumberFormat="1" applyFont="1" applyFill="1" applyBorder="1"/>
    <xf numFmtId="0" fontId="82" fillId="3" borderId="1" xfId="0" applyFont="1" applyFill="1" applyBorder="1" applyAlignment="1">
      <alignment horizontal="center"/>
    </xf>
    <xf numFmtId="0" fontId="82" fillId="3" borderId="1" xfId="0" applyFont="1" applyFill="1" applyBorder="1"/>
    <xf numFmtId="4" fontId="82" fillId="3" borderId="1" xfId="0" applyNumberFormat="1" applyFont="1" applyFill="1" applyBorder="1" applyAlignment="1">
      <alignment horizontal="right"/>
    </xf>
    <xf numFmtId="4" fontId="79" fillId="3" borderId="1" xfId="0" applyNumberFormat="1" applyFont="1" applyFill="1" applyBorder="1" applyAlignment="1">
      <alignment horizontal="right"/>
    </xf>
    <xf numFmtId="0" fontId="83" fillId="3" borderId="1" xfId="0" applyFont="1" applyFill="1" applyBorder="1" applyAlignment="1">
      <alignment vertical="top" wrapText="1"/>
    </xf>
    <xf numFmtId="0" fontId="83" fillId="3" borderId="1" xfId="0" applyFont="1" applyFill="1" applyBorder="1" applyAlignment="1">
      <alignment horizontal="center" vertical="top" wrapText="1"/>
    </xf>
    <xf numFmtId="4" fontId="83" fillId="3" borderId="1" xfId="0" applyNumberFormat="1" applyFont="1" applyFill="1" applyBorder="1" applyAlignment="1">
      <alignment horizontal="right" vertical="top" wrapText="1"/>
    </xf>
    <xf numFmtId="0" fontId="83" fillId="3" borderId="9" xfId="0" applyFont="1" applyFill="1" applyBorder="1" applyAlignment="1">
      <alignment wrapText="1"/>
    </xf>
    <xf numFmtId="0" fontId="83" fillId="3" borderId="9" xfId="0" applyFont="1" applyFill="1" applyBorder="1" applyAlignment="1">
      <alignment horizontal="center" wrapText="1"/>
    </xf>
    <xf numFmtId="4" fontId="83" fillId="3" borderId="9" xfId="0" applyNumberFormat="1" applyFont="1" applyFill="1" applyBorder="1" applyAlignment="1">
      <alignment horizontal="right" wrapText="1"/>
    </xf>
    <xf numFmtId="0" fontId="83" fillId="3" borderId="1" xfId="0" applyFont="1" applyFill="1" applyBorder="1" applyAlignment="1">
      <alignment wrapText="1"/>
    </xf>
    <xf numFmtId="0" fontId="83" fillId="3" borderId="1" xfId="0" applyFont="1" applyFill="1" applyBorder="1" applyAlignment="1">
      <alignment horizontal="center" wrapText="1"/>
    </xf>
    <xf numFmtId="4" fontId="83" fillId="3" borderId="1" xfId="0" applyNumberFormat="1" applyFont="1" applyFill="1" applyBorder="1" applyAlignment="1">
      <alignment horizontal="right" wrapText="1"/>
    </xf>
    <xf numFmtId="15" fontId="55" fillId="3" borderId="1" xfId="0" applyNumberFormat="1" applyFont="1" applyFill="1" applyBorder="1" applyAlignment="1">
      <alignment horizontal="center"/>
    </xf>
    <xf numFmtId="0" fontId="55" fillId="3" borderId="9" xfId="0" applyFont="1" applyFill="1" applyBorder="1" applyAlignment="1">
      <alignment horizontal="center"/>
    </xf>
    <xf numFmtId="4" fontId="79" fillId="3" borderId="27" xfId="0" applyNumberFormat="1" applyFont="1" applyFill="1" applyBorder="1" applyAlignment="1">
      <alignment horizontal="right"/>
    </xf>
    <xf numFmtId="0" fontId="84" fillId="0" borderId="0" xfId="0" applyFont="1"/>
    <xf numFmtId="0" fontId="61" fillId="0" borderId="43" xfId="0" applyFont="1" applyBorder="1" applyAlignment="1">
      <alignment horizontal="center"/>
    </xf>
    <xf numFmtId="0" fontId="79" fillId="3" borderId="29" xfId="0" applyFont="1" applyFill="1" applyBorder="1"/>
    <xf numFmtId="0" fontId="83" fillId="3" borderId="8" xfId="0" applyFont="1" applyFill="1" applyBorder="1" applyAlignment="1">
      <alignment wrapText="1"/>
    </xf>
    <xf numFmtId="0" fontId="80" fillId="3" borderId="29" xfId="0" applyFont="1" applyFill="1" applyBorder="1"/>
    <xf numFmtId="0" fontId="83" fillId="3" borderId="8" xfId="0" applyFont="1" applyFill="1" applyBorder="1" applyAlignment="1">
      <alignment horizontal="center" wrapText="1"/>
    </xf>
    <xf numFmtId="4" fontId="83" fillId="3" borderId="8" xfId="0" applyNumberFormat="1" applyFont="1" applyFill="1" applyBorder="1" applyAlignment="1">
      <alignment horizontal="right" wrapText="1"/>
    </xf>
    <xf numFmtId="0" fontId="66" fillId="0" borderId="1" xfId="0" applyFont="1" applyBorder="1"/>
    <xf numFmtId="0" fontId="61" fillId="0" borderId="1" xfId="0" applyFont="1" applyBorder="1"/>
    <xf numFmtId="4" fontId="66" fillId="0" borderId="1" xfId="0" applyNumberFormat="1" applyFont="1" applyBorder="1"/>
    <xf numFmtId="0" fontId="0" fillId="9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85" fillId="9" borderId="8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86" fillId="9" borderId="3" xfId="0" applyFont="1" applyFill="1" applyBorder="1" applyAlignment="1">
      <alignment horizontal="left" vertical="center"/>
    </xf>
    <xf numFmtId="0" fontId="0" fillId="9" borderId="3" xfId="0" applyFill="1" applyBorder="1" applyAlignment="1">
      <alignment horizontal="center" vertical="center" wrapText="1"/>
    </xf>
    <xf numFmtId="0" fontId="85" fillId="9" borderId="3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43" fontId="1" fillId="11" borderId="3" xfId="1" applyFill="1" applyBorder="1" applyAlignment="1">
      <alignment vertical="center"/>
    </xf>
    <xf numFmtId="0" fontId="85" fillId="11" borderId="3" xfId="0" applyFont="1" applyFill="1" applyBorder="1" applyAlignment="1">
      <alignment horizontal="center" vertical="center"/>
    </xf>
    <xf numFmtId="0" fontId="0" fillId="11" borderId="4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9" xfId="0" applyFill="1" applyBorder="1" applyAlignment="1">
      <alignment horizontal="center" vertical="center"/>
    </xf>
    <xf numFmtId="0" fontId="0" fillId="10" borderId="9" xfId="0" applyFill="1" applyBorder="1" applyAlignment="1">
      <alignment vertical="center" wrapText="1"/>
    </xf>
    <xf numFmtId="43" fontId="1" fillId="10" borderId="9" xfId="1" applyFill="1" applyBorder="1" applyAlignment="1">
      <alignment vertical="center"/>
    </xf>
    <xf numFmtId="0" fontId="85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3" xfId="0" applyFill="1" applyBorder="1" applyAlignment="1">
      <alignment vertical="center" wrapText="1"/>
    </xf>
    <xf numFmtId="43" fontId="1" fillId="12" borderId="3" xfId="1" applyFill="1" applyBorder="1" applyAlignment="1">
      <alignment vertical="center"/>
    </xf>
    <xf numFmtId="43" fontId="75" fillId="12" borderId="15" xfId="1" applyFont="1" applyFill="1" applyBorder="1" applyAlignment="1">
      <alignment vertical="center"/>
    </xf>
    <xf numFmtId="0" fontId="85" fillId="12" borderId="3" xfId="0" applyFont="1" applyFill="1" applyBorder="1" applyAlignment="1">
      <alignment horizontal="center" vertical="center"/>
    </xf>
    <xf numFmtId="0" fontId="0" fillId="12" borderId="4" xfId="0" applyFill="1" applyBorder="1" applyAlignment="1">
      <alignment vertical="center"/>
    </xf>
    <xf numFmtId="0" fontId="85" fillId="11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43" fontId="1" fillId="3" borderId="1" xfId="1" applyFill="1" applyBorder="1" applyAlignment="1">
      <alignment vertical="center"/>
    </xf>
    <xf numFmtId="0" fontId="8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43" fontId="1" fillId="10" borderId="1" xfId="1" applyFill="1" applyBorder="1" applyAlignment="1">
      <alignment vertical="center"/>
    </xf>
    <xf numFmtId="0" fontId="85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3" fontId="75" fillId="12" borderId="46" xfId="1" applyFont="1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43" fontId="1" fillId="3" borderId="1" xfId="1" applyFill="1" applyBorder="1" applyAlignment="1">
      <alignment vertical="top"/>
    </xf>
    <xf numFmtId="0" fontId="85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10" borderId="1" xfId="0" applyFill="1" applyBorder="1" applyAlignment="1">
      <alignment horizontal="center" vertical="top"/>
    </xf>
    <xf numFmtId="0" fontId="0" fillId="10" borderId="1" xfId="0" applyFill="1" applyBorder="1" applyAlignment="1">
      <alignment vertical="top" wrapText="1"/>
    </xf>
    <xf numFmtId="43" fontId="1" fillId="10" borderId="1" xfId="1" applyFill="1" applyBorder="1" applyAlignment="1">
      <alignment vertical="top"/>
    </xf>
    <xf numFmtId="0" fontId="85" fillId="10" borderId="1" xfId="0" applyFont="1" applyFill="1" applyBorder="1" applyAlignment="1">
      <alignment horizontal="center" vertical="top"/>
    </xf>
    <xf numFmtId="0" fontId="0" fillId="10" borderId="1" xfId="0" applyFill="1" applyBorder="1" applyAlignment="1">
      <alignment vertical="top"/>
    </xf>
    <xf numFmtId="0" fontId="0" fillId="10" borderId="0" xfId="0" applyFill="1" applyAlignment="1">
      <alignment vertical="top"/>
    </xf>
    <xf numFmtId="0" fontId="0" fillId="10" borderId="8" xfId="0" applyFill="1" applyBorder="1" applyAlignment="1">
      <alignment horizontal="center" vertical="top"/>
    </xf>
    <xf numFmtId="0" fontId="87" fillId="10" borderId="8" xfId="0" applyFont="1" applyFill="1" applyBorder="1" applyAlignment="1">
      <alignment vertical="top" wrapText="1"/>
    </xf>
    <xf numFmtId="43" fontId="1" fillId="10" borderId="8" xfId="1" applyFill="1" applyBorder="1" applyAlignment="1">
      <alignment vertical="top"/>
    </xf>
    <xf numFmtId="0" fontId="85" fillId="10" borderId="8" xfId="0" applyFont="1" applyFill="1" applyBorder="1" applyAlignment="1">
      <alignment horizontal="center" vertical="top"/>
    </xf>
    <xf numFmtId="0" fontId="0" fillId="10" borderId="8" xfId="0" applyFill="1" applyBorder="1" applyAlignment="1">
      <alignment vertical="top"/>
    </xf>
    <xf numFmtId="0" fontId="0" fillId="12" borderId="2" xfId="0" applyFill="1" applyBorder="1" applyAlignment="1">
      <alignment horizontal="center" vertical="top"/>
    </xf>
    <xf numFmtId="0" fontId="0" fillId="12" borderId="3" xfId="0" applyFill="1" applyBorder="1" applyAlignment="1">
      <alignment horizontal="center" vertical="top"/>
    </xf>
    <xf numFmtId="0" fontId="0" fillId="12" borderId="3" xfId="0" applyFill="1" applyBorder="1" applyAlignment="1">
      <alignment vertical="top" wrapText="1"/>
    </xf>
    <xf numFmtId="43" fontId="1" fillId="12" borderId="3" xfId="1" applyFill="1" applyBorder="1" applyAlignment="1">
      <alignment vertical="top"/>
    </xf>
    <xf numFmtId="0" fontId="85" fillId="12" borderId="3" xfId="0" applyFont="1" applyFill="1" applyBorder="1" applyAlignment="1">
      <alignment horizontal="center" vertical="top"/>
    </xf>
    <xf numFmtId="0" fontId="0" fillId="12" borderId="4" xfId="0" applyFill="1" applyBorder="1" applyAlignment="1">
      <alignment vertical="top"/>
    </xf>
    <xf numFmtId="0" fontId="0" fillId="13" borderId="2" xfId="0" applyFill="1" applyBorder="1" applyAlignment="1">
      <alignment horizontal="center" vertical="top"/>
    </xf>
    <xf numFmtId="0" fontId="0" fillId="13" borderId="3" xfId="0" applyFill="1" applyBorder="1" applyAlignment="1">
      <alignment horizontal="center" vertical="top"/>
    </xf>
    <xf numFmtId="0" fontId="0" fillId="13" borderId="3" xfId="0" applyFill="1" applyBorder="1" applyAlignment="1">
      <alignment vertical="top" wrapText="1"/>
    </xf>
    <xf numFmtId="43" fontId="1" fillId="13" borderId="3" xfId="1" applyFill="1" applyBorder="1" applyAlignment="1">
      <alignment vertical="top"/>
    </xf>
    <xf numFmtId="43" fontId="75" fillId="13" borderId="47" xfId="1" applyFont="1" applyFill="1" applyBorder="1" applyAlignment="1">
      <alignment vertical="top"/>
    </xf>
    <xf numFmtId="0" fontId="85" fillId="13" borderId="3" xfId="0" applyFont="1" applyFill="1" applyBorder="1" applyAlignment="1">
      <alignment horizontal="center" vertical="top"/>
    </xf>
    <xf numFmtId="0" fontId="0" fillId="13" borderId="4" xfId="0" applyFill="1" applyBorder="1" applyAlignment="1">
      <alignment vertical="top"/>
    </xf>
    <xf numFmtId="0" fontId="0" fillId="9" borderId="2" xfId="0" applyFill="1" applyBorder="1" applyAlignment="1">
      <alignment horizontal="center" vertical="top"/>
    </xf>
    <xf numFmtId="0" fontId="0" fillId="9" borderId="3" xfId="0" applyFill="1" applyBorder="1" applyAlignment="1">
      <alignment horizontal="center" vertical="top"/>
    </xf>
    <xf numFmtId="0" fontId="75" fillId="9" borderId="3" xfId="0" applyFont="1" applyFill="1" applyBorder="1" applyAlignment="1">
      <alignment horizontal="left" vertical="center"/>
    </xf>
    <xf numFmtId="43" fontId="1" fillId="9" borderId="3" xfId="1" applyFill="1" applyBorder="1" applyAlignment="1">
      <alignment vertical="top"/>
    </xf>
    <xf numFmtId="0" fontId="85" fillId="9" borderId="6" xfId="0" applyFont="1" applyFill="1" applyBorder="1" applyAlignment="1">
      <alignment horizontal="center" vertical="top"/>
    </xf>
    <xf numFmtId="0" fontId="85" fillId="9" borderId="3" xfId="0" applyFont="1" applyFill="1" applyBorder="1" applyAlignment="1">
      <alignment horizontal="center" vertical="top"/>
    </xf>
    <xf numFmtId="0" fontId="0" fillId="9" borderId="4" xfId="0" applyFill="1" applyBorder="1" applyAlignment="1">
      <alignment vertical="top"/>
    </xf>
    <xf numFmtId="0" fontId="0" fillId="11" borderId="2" xfId="0" applyFill="1" applyBorder="1" applyAlignment="1">
      <alignment horizontal="center" vertical="top"/>
    </xf>
    <xf numFmtId="0" fontId="0" fillId="11" borderId="3" xfId="0" applyFill="1" applyBorder="1" applyAlignment="1">
      <alignment horizontal="center" vertical="top"/>
    </xf>
    <xf numFmtId="0" fontId="75" fillId="11" borderId="3" xfId="0" applyFont="1" applyFill="1" applyBorder="1" applyAlignment="1">
      <alignment horizontal="left" vertical="center"/>
    </xf>
    <xf numFmtId="0" fontId="0" fillId="11" borderId="3" xfId="0" applyFill="1" applyBorder="1" applyAlignment="1">
      <alignment vertical="top" wrapText="1"/>
    </xf>
    <xf numFmtId="43" fontId="1" fillId="11" borderId="3" xfId="1" applyFill="1" applyBorder="1" applyAlignment="1">
      <alignment vertical="top"/>
    </xf>
    <xf numFmtId="0" fontId="85" fillId="11" borderId="3" xfId="0" applyFont="1" applyFill="1" applyBorder="1" applyAlignment="1">
      <alignment horizontal="center" vertical="top"/>
    </xf>
    <xf numFmtId="0" fontId="0" fillId="11" borderId="4" xfId="0" applyFill="1" applyBorder="1" applyAlignment="1">
      <alignment vertical="top"/>
    </xf>
    <xf numFmtId="0" fontId="76" fillId="3" borderId="9" xfId="0" applyFont="1" applyFill="1" applyBorder="1" applyAlignment="1">
      <alignment horizontal="center" vertical="center"/>
    </xf>
    <xf numFmtId="0" fontId="88" fillId="3" borderId="9" xfId="0" applyFont="1" applyFill="1" applyBorder="1" applyAlignment="1">
      <alignment horizontal="center" vertical="center" wrapText="1"/>
    </xf>
    <xf numFmtId="0" fontId="76" fillId="3" borderId="9" xfId="0" applyFont="1" applyFill="1" applyBorder="1" applyAlignment="1">
      <alignment vertical="center" wrapText="1"/>
    </xf>
    <xf numFmtId="43" fontId="76" fillId="3" borderId="9" xfId="1" applyFont="1" applyFill="1" applyBorder="1" applyAlignment="1">
      <alignment vertical="center"/>
    </xf>
    <xf numFmtId="0" fontId="89" fillId="3" borderId="9" xfId="0" applyFont="1" applyFill="1" applyBorder="1" applyAlignment="1">
      <alignment horizontal="center" vertical="center"/>
    </xf>
    <xf numFmtId="0" fontId="76" fillId="3" borderId="9" xfId="0" applyFont="1" applyFill="1" applyBorder="1" applyAlignment="1">
      <alignment vertical="center"/>
    </xf>
    <xf numFmtId="0" fontId="0" fillId="12" borderId="7" xfId="0" applyFill="1" applyBorder="1" applyAlignment="1">
      <alignment horizontal="center" vertical="top"/>
    </xf>
    <xf numFmtId="0" fontId="0" fillId="12" borderId="44" xfId="0" applyFill="1" applyBorder="1" applyAlignment="1">
      <alignment horizontal="center" vertical="top"/>
    </xf>
    <xf numFmtId="0" fontId="0" fillId="12" borderId="44" xfId="0" applyFill="1" applyBorder="1" applyAlignment="1">
      <alignment vertical="top" wrapText="1"/>
    </xf>
    <xf numFmtId="43" fontId="1" fillId="12" borderId="44" xfId="1" applyFill="1" applyBorder="1" applyAlignment="1">
      <alignment vertical="top"/>
    </xf>
    <xf numFmtId="0" fontId="85" fillId="12" borderId="44" xfId="0" applyFont="1" applyFill="1" applyBorder="1" applyAlignment="1">
      <alignment horizontal="center" vertical="top"/>
    </xf>
    <xf numFmtId="0" fontId="0" fillId="12" borderId="45" xfId="0" applyFill="1" applyBorder="1" applyAlignment="1">
      <alignment vertical="top"/>
    </xf>
    <xf numFmtId="0" fontId="86" fillId="11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vertical="center" wrapText="1"/>
    </xf>
    <xf numFmtId="0" fontId="0" fillId="5" borderId="9" xfId="0" applyFill="1" applyBorder="1" applyAlignment="1">
      <alignment horizontal="center" vertical="center"/>
    </xf>
    <xf numFmtId="0" fontId="87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vertical="center" wrapText="1"/>
    </xf>
    <xf numFmtId="43" fontId="1" fillId="5" borderId="9" xfId="1" applyFill="1" applyBorder="1" applyAlignment="1">
      <alignment vertical="center"/>
    </xf>
    <xf numFmtId="0" fontId="85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vertical="center"/>
    </xf>
    <xf numFmtId="0" fontId="0" fillId="13" borderId="7" xfId="0" applyFill="1" applyBorder="1" applyAlignment="1">
      <alignment horizontal="center" vertical="top"/>
    </xf>
    <xf numFmtId="0" fontId="0" fillId="13" borderId="44" xfId="0" applyFill="1" applyBorder="1" applyAlignment="1">
      <alignment horizontal="center" vertical="top"/>
    </xf>
    <xf numFmtId="0" fontId="0" fillId="13" borderId="44" xfId="0" applyFill="1" applyBorder="1" applyAlignment="1">
      <alignment vertical="top" wrapText="1"/>
    </xf>
    <xf numFmtId="43" fontId="1" fillId="13" borderId="44" xfId="1" applyFill="1" applyBorder="1" applyAlignment="1">
      <alignment vertical="top"/>
    </xf>
    <xf numFmtId="43" fontId="75" fillId="13" borderId="47" xfId="1" applyFont="1" applyFill="1" applyBorder="1" applyAlignment="1">
      <alignment horizontal="center" vertical="center"/>
    </xf>
    <xf numFmtId="0" fontId="85" fillId="13" borderId="44" xfId="0" applyFont="1" applyFill="1" applyBorder="1" applyAlignment="1">
      <alignment horizontal="center" vertical="top"/>
    </xf>
    <xf numFmtId="0" fontId="0" fillId="13" borderId="45" xfId="0" applyFill="1" applyBorder="1" applyAlignment="1">
      <alignment vertical="top"/>
    </xf>
    <xf numFmtId="0" fontId="0" fillId="9" borderId="7" xfId="0" applyFill="1" applyBorder="1" applyAlignment="1">
      <alignment horizontal="center" vertical="top"/>
    </xf>
    <xf numFmtId="0" fontId="0" fillId="9" borderId="44" xfId="0" applyFill="1" applyBorder="1" applyAlignment="1">
      <alignment horizontal="center" vertical="top"/>
    </xf>
    <xf numFmtId="0" fontId="86" fillId="9" borderId="44" xfId="0" applyFont="1" applyFill="1" applyBorder="1" applyAlignment="1">
      <alignment horizontal="left" vertical="center"/>
    </xf>
    <xf numFmtId="0" fontId="0" fillId="9" borderId="44" xfId="0" applyFill="1" applyBorder="1" applyAlignment="1">
      <alignment vertical="top" wrapText="1"/>
    </xf>
    <xf numFmtId="43" fontId="1" fillId="9" borderId="44" xfId="1" applyFill="1" applyBorder="1" applyAlignment="1">
      <alignment vertical="top"/>
    </xf>
    <xf numFmtId="0" fontId="85" fillId="9" borderId="0" xfId="0" applyFont="1" applyFill="1" applyAlignment="1">
      <alignment horizontal="center" vertical="top"/>
    </xf>
    <xf numFmtId="0" fontId="85" fillId="9" borderId="44" xfId="0" applyFont="1" applyFill="1" applyBorder="1" applyAlignment="1">
      <alignment horizontal="center" vertical="top"/>
    </xf>
    <xf numFmtId="0" fontId="0" fillId="9" borderId="45" xfId="0" applyFill="1" applyBorder="1" applyAlignment="1">
      <alignment vertical="top"/>
    </xf>
    <xf numFmtId="43" fontId="75" fillId="13" borderId="46" xfId="1" applyFont="1" applyFill="1" applyBorder="1"/>
    <xf numFmtId="0" fontId="75" fillId="9" borderId="44" xfId="0" applyFont="1" applyFill="1" applyBorder="1" applyAlignment="1">
      <alignment horizontal="left" vertical="center"/>
    </xf>
    <xf numFmtId="43" fontId="75" fillId="12" borderId="46" xfId="1" applyFont="1" applyFill="1" applyBorder="1" applyAlignment="1">
      <alignment horizontal="right"/>
    </xf>
    <xf numFmtId="43" fontId="1" fillId="12" borderId="1" xfId="1" applyFill="1" applyBorder="1" applyAlignment="1">
      <alignment vertical="top"/>
    </xf>
    <xf numFmtId="43" fontId="1" fillId="13" borderId="1" xfId="1" applyFill="1" applyBorder="1" applyAlignment="1">
      <alignment vertical="top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3" xfId="0" applyFill="1" applyBorder="1" applyAlignment="1">
      <alignment vertical="top" wrapText="1"/>
    </xf>
    <xf numFmtId="43" fontId="75" fillId="5" borderId="15" xfId="1" applyFont="1" applyFill="1" applyBorder="1" applyAlignment="1">
      <alignment vertical="center"/>
    </xf>
    <xf numFmtId="0" fontId="85" fillId="5" borderId="6" xfId="0" applyFont="1" applyFill="1" applyBorder="1" applyAlignment="1">
      <alignment horizontal="center" vertical="top"/>
    </xf>
    <xf numFmtId="0" fontId="85" fillId="5" borderId="3" xfId="0" applyFont="1" applyFill="1" applyBorder="1" applyAlignment="1">
      <alignment horizontal="center" vertical="top"/>
    </xf>
    <xf numFmtId="0" fontId="0" fillId="5" borderId="4" xfId="0" applyFill="1" applyBorder="1" applyAlignment="1">
      <alignment vertical="top"/>
    </xf>
    <xf numFmtId="0" fontId="0" fillId="11" borderId="3" xfId="0" applyFill="1" applyBorder="1" applyAlignment="1">
      <alignment horizontal="center" vertical="center" wrapText="1"/>
    </xf>
    <xf numFmtId="0" fontId="85" fillId="11" borderId="3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8" xfId="0" applyFill="1" applyBorder="1" applyAlignment="1">
      <alignment vertical="center" wrapText="1"/>
    </xf>
    <xf numFmtId="43" fontId="1" fillId="10" borderId="8" xfId="1" applyFill="1" applyBorder="1" applyAlignment="1">
      <alignment vertical="center"/>
    </xf>
    <xf numFmtId="0" fontId="85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85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top" wrapText="1"/>
    </xf>
    <xf numFmtId="0" fontId="85" fillId="10" borderId="1" xfId="0" applyFont="1" applyFill="1" applyBorder="1" applyAlignment="1">
      <alignment horizontal="center" vertical="top" wrapText="1"/>
    </xf>
    <xf numFmtId="43" fontId="75" fillId="12" borderId="46" xfId="1" applyFont="1" applyFill="1" applyBorder="1" applyAlignment="1">
      <alignment vertical="center"/>
    </xf>
    <xf numFmtId="43" fontId="75" fillId="13" borderId="47" xfId="1" applyFont="1" applyFill="1" applyBorder="1" applyAlignment="1">
      <alignment vertical="center"/>
    </xf>
    <xf numFmtId="0" fontId="87" fillId="11" borderId="3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vertical="center" wrapText="1"/>
    </xf>
    <xf numFmtId="43" fontId="1" fillId="3" borderId="8" xfId="1" applyFill="1" applyBorder="1" applyAlignment="1">
      <alignment vertical="center"/>
    </xf>
    <xf numFmtId="0" fontId="85" fillId="3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 wrapText="1"/>
    </xf>
    <xf numFmtId="43" fontId="1" fillId="3" borderId="9" xfId="1" applyFill="1" applyBorder="1" applyAlignment="1">
      <alignment vertical="center"/>
    </xf>
    <xf numFmtId="0" fontId="85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3" xfId="0" applyFill="1" applyBorder="1" applyAlignment="1">
      <alignment vertical="center" wrapText="1"/>
    </xf>
    <xf numFmtId="43" fontId="1" fillId="13" borderId="1" xfId="1" applyFill="1" applyBorder="1" applyAlignment="1">
      <alignment vertical="center"/>
    </xf>
    <xf numFmtId="0" fontId="85" fillId="13" borderId="3" xfId="0" applyFont="1" applyFill="1" applyBorder="1" applyAlignment="1">
      <alignment horizontal="center" vertical="center"/>
    </xf>
    <xf numFmtId="0" fontId="0" fillId="13" borderId="4" xfId="0" applyFill="1" applyBorder="1" applyAlignment="1">
      <alignment vertical="center"/>
    </xf>
    <xf numFmtId="0" fontId="75" fillId="5" borderId="3" xfId="0" applyFont="1" applyFill="1" applyBorder="1" applyAlignment="1">
      <alignment horizontal="center" vertical="center" wrapText="1"/>
    </xf>
    <xf numFmtId="0" fontId="45" fillId="0" borderId="1" xfId="0" applyFont="1" applyBorder="1" applyProtection="1">
      <protection locked="0"/>
    </xf>
    <xf numFmtId="0" fontId="46" fillId="3" borderId="1" xfId="0" applyFont="1" applyFill="1" applyBorder="1" applyAlignment="1">
      <alignment vertical="top" wrapText="1"/>
    </xf>
    <xf numFmtId="43" fontId="46" fillId="3" borderId="1" xfId="1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15" fontId="45" fillId="5" borderId="1" xfId="0" applyNumberFormat="1" applyFont="1" applyFill="1" applyBorder="1" applyAlignment="1">
      <alignment horizontal="center" vertical="top"/>
    </xf>
    <xf numFmtId="0" fontId="45" fillId="5" borderId="1" xfId="0" applyFont="1" applyFill="1" applyBorder="1" applyAlignment="1">
      <alignment horizontal="center" vertical="top"/>
    </xf>
    <xf numFmtId="0" fontId="45" fillId="5" borderId="1" xfId="0" applyFont="1" applyFill="1" applyBorder="1" applyAlignment="1">
      <alignment horizontal="left" vertical="top" wrapText="1"/>
    </xf>
    <xf numFmtId="0" fontId="46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0" fontId="73" fillId="0" borderId="9" xfId="0" applyFont="1" applyBorder="1" applyAlignment="1">
      <alignment horizontal="center" vertical="center"/>
    </xf>
    <xf numFmtId="14" fontId="51" fillId="0" borderId="9" xfId="0" applyNumberFormat="1" applyFont="1" applyBorder="1" applyAlignment="1">
      <alignment horizontal="center"/>
    </xf>
    <xf numFmtId="43" fontId="5" fillId="0" borderId="8" xfId="1" applyFont="1" applyFill="1" applyBorder="1" applyAlignment="1">
      <alignment horizontal="center" vertical="top"/>
    </xf>
    <xf numFmtId="43" fontId="9" fillId="3" borderId="10" xfId="0" applyNumberFormat="1" applyFont="1" applyFill="1" applyBorder="1" applyAlignment="1">
      <alignment horizontal="center"/>
    </xf>
    <xf numFmtId="0" fontId="46" fillId="3" borderId="1" xfId="0" applyFont="1" applyFill="1" applyBorder="1" applyAlignment="1">
      <alignment vertical="center" wrapText="1"/>
    </xf>
    <xf numFmtId="0" fontId="46" fillId="3" borderId="1" xfId="0" applyFont="1" applyFill="1" applyBorder="1" applyAlignment="1">
      <alignment horizontal="center" vertical="center"/>
    </xf>
    <xf numFmtId="43" fontId="46" fillId="3" borderId="1" xfId="1" applyFont="1" applyFill="1" applyBorder="1" applyAlignment="1">
      <alignment vertical="center"/>
    </xf>
    <xf numFmtId="0" fontId="89" fillId="3" borderId="1" xfId="0" applyFont="1" applyFill="1" applyBorder="1" applyAlignment="1">
      <alignment horizontal="center" vertical="center"/>
    </xf>
    <xf numFmtId="0" fontId="46" fillId="3" borderId="8" xfId="0" applyFont="1" applyFill="1" applyBorder="1" applyAlignment="1">
      <alignment vertical="center" wrapText="1"/>
    </xf>
    <xf numFmtId="0" fontId="46" fillId="3" borderId="8" xfId="0" applyFont="1" applyFill="1" applyBorder="1" applyAlignment="1">
      <alignment horizontal="center" vertical="center"/>
    </xf>
    <xf numFmtId="43" fontId="46" fillId="3" borderId="8" xfId="1" applyFont="1" applyFill="1" applyBorder="1" applyAlignment="1">
      <alignment vertical="center"/>
    </xf>
    <xf numFmtId="0" fontId="89" fillId="3" borderId="8" xfId="0" applyFont="1" applyFill="1" applyBorder="1" applyAlignment="1">
      <alignment horizontal="center" vertical="center"/>
    </xf>
    <xf numFmtId="0" fontId="46" fillId="3" borderId="9" xfId="0" applyFont="1" applyFill="1" applyBorder="1" applyAlignment="1">
      <alignment vertical="center" wrapText="1"/>
    </xf>
    <xf numFmtId="0" fontId="46" fillId="3" borderId="9" xfId="0" applyFont="1" applyFill="1" applyBorder="1" applyAlignment="1">
      <alignment horizontal="center" vertical="center"/>
    </xf>
    <xf numFmtId="43" fontId="46" fillId="3" borderId="9" xfId="1" applyFont="1" applyFill="1" applyBorder="1" applyAlignment="1">
      <alignment vertical="center"/>
    </xf>
    <xf numFmtId="0" fontId="45" fillId="3" borderId="1" xfId="0" applyFont="1" applyFill="1" applyBorder="1" applyAlignment="1">
      <alignment horizontal="center"/>
    </xf>
    <xf numFmtId="15" fontId="45" fillId="3" borderId="8" xfId="0" applyNumberFormat="1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top"/>
    </xf>
    <xf numFmtId="43" fontId="45" fillId="3" borderId="8" xfId="1" applyFont="1" applyFill="1" applyBorder="1" applyAlignment="1">
      <alignment horizontal="center"/>
    </xf>
    <xf numFmtId="189" fontId="51" fillId="3" borderId="1" xfId="0" applyNumberFormat="1" applyFont="1" applyFill="1" applyBorder="1" applyAlignment="1">
      <alignment horizontal="center" vertical="center"/>
    </xf>
    <xf numFmtId="0" fontId="45" fillId="3" borderId="1" xfId="0" applyFont="1" applyFill="1" applyBorder="1"/>
    <xf numFmtId="0" fontId="45" fillId="3" borderId="1" xfId="0" applyFont="1" applyFill="1" applyBorder="1" applyAlignment="1">
      <alignment vertical="top"/>
    </xf>
    <xf numFmtId="0" fontId="45" fillId="3" borderId="1" xfId="0" applyFont="1" applyFill="1" applyBorder="1" applyAlignment="1">
      <alignment horizontal="center" vertical="top"/>
    </xf>
    <xf numFmtId="15" fontId="45" fillId="3" borderId="1" xfId="0" applyNumberFormat="1" applyFont="1" applyFill="1" applyBorder="1" applyAlignment="1">
      <alignment horizontal="center"/>
    </xf>
    <xf numFmtId="43" fontId="45" fillId="3" borderId="8" xfId="0" applyNumberFormat="1" applyFont="1" applyFill="1" applyBorder="1" applyAlignment="1">
      <alignment vertical="top"/>
    </xf>
    <xf numFmtId="0" fontId="45" fillId="3" borderId="1" xfId="0" applyFont="1" applyFill="1" applyBorder="1" applyAlignment="1">
      <alignment horizontal="left" vertical="top" wrapText="1"/>
    </xf>
    <xf numFmtId="0" fontId="46" fillId="3" borderId="1" xfId="0" applyFont="1" applyFill="1" applyBorder="1" applyAlignment="1">
      <alignment horizontal="center" vertical="top"/>
    </xf>
    <xf numFmtId="0" fontId="46" fillId="3" borderId="1" xfId="0" applyFont="1" applyFill="1" applyBorder="1" applyAlignment="1">
      <alignment horizontal="center" vertical="top" wrapText="1"/>
    </xf>
    <xf numFmtId="0" fontId="89" fillId="3" borderId="1" xfId="0" applyFont="1" applyFill="1" applyBorder="1" applyAlignment="1">
      <alignment horizontal="center" vertical="top" wrapText="1"/>
    </xf>
    <xf numFmtId="43" fontId="45" fillId="3" borderId="8" xfId="1" applyFont="1" applyFill="1" applyBorder="1" applyAlignment="1"/>
    <xf numFmtId="0" fontId="45" fillId="3" borderId="1" xfId="0" quotePrefix="1" applyFont="1" applyFill="1" applyBorder="1" applyAlignment="1">
      <alignment horizontal="center"/>
    </xf>
    <xf numFmtId="0" fontId="45" fillId="3" borderId="9" xfId="0" applyFont="1" applyFill="1" applyBorder="1" applyAlignment="1">
      <alignment horizontal="center" vertical="center"/>
    </xf>
    <xf numFmtId="49" fontId="45" fillId="3" borderId="8" xfId="0" applyNumberFormat="1" applyFont="1" applyFill="1" applyBorder="1" applyAlignment="1">
      <alignment vertical="center"/>
    </xf>
    <xf numFmtId="43" fontId="45" fillId="3" borderId="8" xfId="1" applyFont="1" applyFill="1" applyBorder="1"/>
    <xf numFmtId="0" fontId="45" fillId="3" borderId="9" xfId="0" applyFont="1" applyFill="1" applyBorder="1" applyAlignment="1">
      <alignment horizontal="left" vertical="center"/>
    </xf>
    <xf numFmtId="0" fontId="45" fillId="3" borderId="10" xfId="0" applyFont="1" applyFill="1" applyBorder="1" applyAlignment="1">
      <alignment horizontal="center"/>
    </xf>
    <xf numFmtId="0" fontId="48" fillId="3" borderId="10" xfId="0" applyFont="1" applyFill="1" applyBorder="1" applyAlignment="1">
      <alignment horizontal="left"/>
    </xf>
    <xf numFmtId="43" fontId="45" fillId="3" borderId="8" xfId="22" applyNumberFormat="1" applyFont="1" applyFill="1" applyBorder="1" applyAlignment="1">
      <alignment horizontal="center"/>
    </xf>
    <xf numFmtId="15" fontId="45" fillId="3" borderId="8" xfId="23" applyNumberFormat="1" applyFont="1" applyFill="1" applyBorder="1" applyAlignment="1">
      <alignment horizontal="center"/>
    </xf>
    <xf numFmtId="0" fontId="73" fillId="3" borderId="0" xfId="0" applyFont="1" applyFill="1"/>
    <xf numFmtId="0" fontId="51" fillId="3" borderId="10" xfId="0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9" fillId="3" borderId="10" xfId="0" applyFont="1" applyFill="1" applyBorder="1" applyAlignment="1">
      <alignment horizontal="left" vertical="center"/>
    </xf>
    <xf numFmtId="0" fontId="73" fillId="3" borderId="1" xfId="0" applyFont="1" applyFill="1" applyBorder="1" applyAlignment="1">
      <alignment horizontal="left" vertical="top"/>
    </xf>
    <xf numFmtId="0" fontId="81" fillId="3" borderId="27" xfId="0" applyFont="1" applyFill="1" applyBorder="1" applyAlignment="1">
      <alignment wrapText="1"/>
    </xf>
    <xf numFmtId="0" fontId="81" fillId="3" borderId="27" xfId="0" applyFont="1" applyFill="1" applyBorder="1"/>
    <xf numFmtId="4" fontId="81" fillId="3" borderId="27" xfId="0" applyNumberFormat="1" applyFont="1" applyFill="1" applyBorder="1" applyAlignment="1">
      <alignment horizontal="right"/>
    </xf>
    <xf numFmtId="4" fontId="81" fillId="3" borderId="29" xfId="0" applyNumberFormat="1" applyFont="1" applyFill="1" applyBorder="1" applyAlignment="1">
      <alignment horizontal="right"/>
    </xf>
    <xf numFmtId="0" fontId="46" fillId="3" borderId="0" xfId="0" applyFont="1" applyFill="1"/>
    <xf numFmtId="0" fontId="45" fillId="3" borderId="10" xfId="0" applyFont="1" applyFill="1" applyBorder="1" applyAlignment="1">
      <alignment horizontal="left" vertical="center"/>
    </xf>
    <xf numFmtId="43" fontId="45" fillId="3" borderId="8" xfId="0" applyNumberFormat="1" applyFont="1" applyFill="1" applyBorder="1" applyAlignment="1">
      <alignment horizontal="center"/>
    </xf>
    <xf numFmtId="0" fontId="81" fillId="5" borderId="27" xfId="0" applyFont="1" applyFill="1" applyBorder="1" applyAlignment="1">
      <alignment wrapText="1"/>
    </xf>
    <xf numFmtId="0" fontId="81" fillId="5" borderId="27" xfId="0" applyFont="1" applyFill="1" applyBorder="1"/>
    <xf numFmtId="4" fontId="81" fillId="5" borderId="27" xfId="0" applyNumberFormat="1" applyFont="1" applyFill="1" applyBorder="1" applyAlignment="1">
      <alignment horizontal="right"/>
    </xf>
    <xf numFmtId="0" fontId="91" fillId="3" borderId="1" xfId="0" applyFont="1" applyFill="1" applyBorder="1" applyAlignment="1">
      <alignment vertical="top"/>
    </xf>
    <xf numFmtId="0" fontId="81" fillId="3" borderId="27" xfId="0" applyFont="1" applyFill="1" applyBorder="1" applyAlignment="1">
      <alignment horizontal="center" vertical="top"/>
    </xf>
    <xf numFmtId="15" fontId="45" fillId="3" borderId="1" xfId="0" applyNumberFormat="1" applyFont="1" applyFill="1" applyBorder="1" applyAlignment="1">
      <alignment horizontal="center" vertical="top"/>
    </xf>
    <xf numFmtId="43" fontId="45" fillId="3" borderId="8" xfId="1" applyFont="1" applyFill="1" applyBorder="1" applyAlignment="1">
      <alignment horizontal="center" vertical="top"/>
    </xf>
    <xf numFmtId="0" fontId="81" fillId="3" borderId="29" xfId="0" applyFont="1" applyFill="1" applyBorder="1" applyAlignment="1">
      <alignment horizontal="center" vertical="top"/>
    </xf>
    <xf numFmtId="0" fontId="81" fillId="3" borderId="1" xfId="0" applyFont="1" applyFill="1" applyBorder="1" applyAlignment="1">
      <alignment horizontal="center" vertical="top"/>
    </xf>
    <xf numFmtId="0" fontId="81" fillId="3" borderId="0" xfId="0" applyFont="1" applyFill="1" applyAlignment="1">
      <alignment horizontal="center" vertical="top"/>
    </xf>
    <xf numFmtId="0" fontId="45" fillId="5" borderId="1" xfId="0" applyFont="1" applyFill="1" applyBorder="1" applyAlignment="1">
      <alignment horizontal="center"/>
    </xf>
    <xf numFmtId="0" fontId="45" fillId="3" borderId="1" xfId="0" applyFont="1" applyFill="1" applyBorder="1" applyProtection="1">
      <protection locked="0"/>
    </xf>
    <xf numFmtId="0" fontId="8" fillId="3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43" fontId="9" fillId="5" borderId="15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/>
    </xf>
    <xf numFmtId="0" fontId="27" fillId="5" borderId="0" xfId="0" applyFont="1" applyFill="1"/>
    <xf numFmtId="0" fontId="8" fillId="5" borderId="1" xfId="0" applyFont="1" applyFill="1" applyBorder="1" applyAlignment="1">
      <alignment vertical="center"/>
    </xf>
    <xf numFmtId="43" fontId="9" fillId="5" borderId="15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left" vertical="top"/>
    </xf>
    <xf numFmtId="0" fontId="30" fillId="5" borderId="1" xfId="0" applyFont="1" applyFill="1" applyBorder="1"/>
    <xf numFmtId="49" fontId="8" fillId="5" borderId="1" xfId="0" applyNumberFormat="1" applyFont="1" applyFill="1" applyBorder="1" applyAlignment="1">
      <alignment horizontal="center" vertical="center"/>
    </xf>
    <xf numFmtId="15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/>
    <xf numFmtId="43" fontId="9" fillId="5" borderId="1" xfId="1" applyFont="1" applyFill="1" applyBorder="1" applyAlignment="1">
      <alignment horizontal="center"/>
    </xf>
    <xf numFmtId="0" fontId="12" fillId="5" borderId="0" xfId="0" applyFont="1" applyFill="1"/>
    <xf numFmtId="0" fontId="46" fillId="5" borderId="1" xfId="0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/>
    </xf>
    <xf numFmtId="15" fontId="5" fillId="5" borderId="1" xfId="0" applyNumberFormat="1" applyFont="1" applyFill="1" applyBorder="1" applyAlignment="1">
      <alignment horizontal="center"/>
    </xf>
    <xf numFmtId="43" fontId="46" fillId="5" borderId="15" xfId="1" applyFont="1" applyFill="1" applyBorder="1" applyAlignment="1">
      <alignment vertical="center"/>
    </xf>
    <xf numFmtId="0" fontId="90" fillId="5" borderId="1" xfId="0" applyFont="1" applyFill="1" applyBorder="1" applyAlignment="1">
      <alignment horizontal="center"/>
    </xf>
    <xf numFmtId="0" fontId="45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190" fontId="15" fillId="5" borderId="1" xfId="0" applyNumberFormat="1" applyFont="1" applyFill="1" applyBorder="1" applyAlignment="1">
      <alignment horizontal="center" vertical="center"/>
    </xf>
    <xf numFmtId="43" fontId="15" fillId="5" borderId="15" xfId="1" applyFont="1" applyFill="1" applyBorder="1" applyAlignment="1">
      <alignment vertical="center"/>
    </xf>
    <xf numFmtId="43" fontId="15" fillId="5" borderId="1" xfId="1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top"/>
    </xf>
    <xf numFmtId="0" fontId="27" fillId="5" borderId="1" xfId="0" applyFont="1" applyFill="1" applyBorder="1"/>
    <xf numFmtId="0" fontId="27" fillId="5" borderId="1" xfId="0" applyFont="1" applyFill="1" applyBorder="1" applyAlignment="1">
      <alignment horizontal="left" vertical="top"/>
    </xf>
    <xf numFmtId="0" fontId="8" fillId="14" borderId="1" xfId="0" applyFont="1" applyFill="1" applyBorder="1" applyAlignment="1">
      <alignment horizontal="center"/>
    </xf>
    <xf numFmtId="0" fontId="30" fillId="14" borderId="1" xfId="0" applyFont="1" applyFill="1" applyBorder="1"/>
    <xf numFmtId="0" fontId="9" fillId="14" borderId="1" xfId="0" applyFont="1" applyFill="1" applyBorder="1" applyAlignment="1">
      <alignment horizontal="center"/>
    </xf>
    <xf numFmtId="187" fontId="9" fillId="14" borderId="15" xfId="1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left" vertical="top"/>
    </xf>
    <xf numFmtId="0" fontId="27" fillId="14" borderId="0" xfId="0" applyFont="1" applyFill="1"/>
    <xf numFmtId="3" fontId="34" fillId="14" borderId="20" xfId="0" applyNumberFormat="1" applyFont="1" applyFill="1" applyBorder="1" applyAlignment="1">
      <alignment horizontal="center"/>
    </xf>
    <xf numFmtId="43" fontId="34" fillId="14" borderId="20" xfId="1" applyFont="1" applyFill="1" applyBorder="1"/>
    <xf numFmtId="0" fontId="21" fillId="14" borderId="20" xfId="0" applyFont="1" applyFill="1" applyBorder="1" applyAlignment="1">
      <alignment horizontal="center"/>
    </xf>
    <xf numFmtId="43" fontId="21" fillId="14" borderId="20" xfId="1" applyFont="1" applyFill="1" applyBorder="1"/>
    <xf numFmtId="0" fontId="23" fillId="14" borderId="19" xfId="0" applyFont="1" applyFill="1" applyBorder="1" applyAlignment="1">
      <alignment horizontal="center"/>
    </xf>
    <xf numFmtId="43" fontId="21" fillId="14" borderId="19" xfId="1" applyFont="1" applyFill="1" applyBorder="1"/>
    <xf numFmtId="3" fontId="23" fillId="14" borderId="19" xfId="0" applyNumberFormat="1" applyFont="1" applyFill="1" applyBorder="1" applyAlignment="1">
      <alignment horizontal="center"/>
    </xf>
    <xf numFmtId="43" fontId="23" fillId="14" borderId="11" xfId="1" applyFont="1" applyFill="1" applyBorder="1"/>
    <xf numFmtId="0" fontId="34" fillId="14" borderId="20" xfId="0" applyFont="1" applyFill="1" applyBorder="1" applyAlignment="1">
      <alignment horizontal="center"/>
    </xf>
    <xf numFmtId="0" fontId="23" fillId="14" borderId="20" xfId="0" applyFont="1" applyFill="1" applyBorder="1" applyAlignment="1">
      <alignment horizontal="center"/>
    </xf>
    <xf numFmtId="43" fontId="23" fillId="14" borderId="20" xfId="1" applyFont="1" applyFill="1" applyBorder="1"/>
    <xf numFmtId="3" fontId="34" fillId="14" borderId="15" xfId="0" applyNumberFormat="1" applyFont="1" applyFill="1" applyBorder="1" applyAlignment="1">
      <alignment horizontal="center"/>
    </xf>
    <xf numFmtId="43" fontId="34" fillId="14" borderId="15" xfId="1" applyFont="1" applyFill="1" applyBorder="1"/>
    <xf numFmtId="0" fontId="8" fillId="5" borderId="8" xfId="0" applyFont="1" applyFill="1" applyBorder="1" applyAlignment="1">
      <alignment horizontal="center"/>
    </xf>
    <xf numFmtId="0" fontId="8" fillId="5" borderId="8" xfId="22" applyFont="1" applyFill="1" applyBorder="1"/>
    <xf numFmtId="0" fontId="29" fillId="5" borderId="0" xfId="0" applyFont="1" applyFill="1"/>
    <xf numFmtId="43" fontId="9" fillId="5" borderId="15" xfId="23" applyNumberFormat="1" applyFont="1" applyFill="1" applyBorder="1" applyAlignment="1">
      <alignment horizontal="center"/>
    </xf>
    <xf numFmtId="43" fontId="8" fillId="5" borderId="8" xfId="0" applyNumberFormat="1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/>
    </xf>
    <xf numFmtId="43" fontId="29" fillId="5" borderId="8" xfId="0" applyNumberFormat="1" applyFont="1" applyFill="1" applyBorder="1" applyAlignment="1">
      <alignment horizontal="center" vertical="center"/>
    </xf>
    <xf numFmtId="43" fontId="9" fillId="5" borderId="8" xfId="0" applyNumberFormat="1" applyFont="1" applyFill="1" applyBorder="1" applyAlignment="1">
      <alignment horizontal="center" vertical="center"/>
    </xf>
    <xf numFmtId="43" fontId="8" fillId="5" borderId="8" xfId="0" applyNumberFormat="1" applyFont="1" applyFill="1" applyBorder="1" applyAlignment="1">
      <alignment horizontal="left" vertical="center"/>
    </xf>
    <xf numFmtId="43" fontId="8" fillId="5" borderId="8" xfId="22" applyNumberFormat="1" applyFont="1" applyFill="1" applyBorder="1" applyAlignment="1">
      <alignment horizontal="center"/>
    </xf>
    <xf numFmtId="15" fontId="8" fillId="5" borderId="8" xfId="23" applyNumberFormat="1" applyFont="1" applyFill="1" applyBorder="1" applyAlignment="1">
      <alignment horizontal="center"/>
    </xf>
    <xf numFmtId="0" fontId="8" fillId="5" borderId="10" xfId="22" applyFont="1" applyFill="1" applyBorder="1" applyAlignment="1">
      <alignment horizontal="center"/>
    </xf>
    <xf numFmtId="0" fontId="8" fillId="5" borderId="1" xfId="23" applyFont="1" applyFill="1" applyBorder="1"/>
    <xf numFmtId="0" fontId="8" fillId="5" borderId="10" xfId="23" applyFont="1" applyFill="1" applyBorder="1" applyAlignment="1">
      <alignment horizontal="center"/>
    </xf>
    <xf numFmtId="15" fontId="8" fillId="5" borderId="9" xfId="23" applyNumberFormat="1" applyFont="1" applyFill="1" applyBorder="1" applyAlignment="1">
      <alignment horizontal="center"/>
    </xf>
    <xf numFmtId="43" fontId="9" fillId="5" borderId="19" xfId="1" applyFont="1" applyFill="1" applyBorder="1"/>
    <xf numFmtId="0" fontId="8" fillId="5" borderId="9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/>
    </xf>
    <xf numFmtId="0" fontId="28" fillId="5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9" xfId="0" applyFont="1" applyFill="1" applyBorder="1"/>
    <xf numFmtId="15" fontId="6" fillId="5" borderId="1" xfId="0" applyNumberFormat="1" applyFont="1" applyFill="1" applyBorder="1" applyAlignment="1">
      <alignment horizontal="center"/>
    </xf>
    <xf numFmtId="43" fontId="6" fillId="5" borderId="15" xfId="0" applyNumberFormat="1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0" xfId="0" applyFont="1" applyFill="1"/>
    <xf numFmtId="49" fontId="8" fillId="5" borderId="8" xfId="0" applyNumberFormat="1" applyFont="1" applyFill="1" applyBorder="1" applyAlignment="1">
      <alignment vertical="center"/>
    </xf>
    <xf numFmtId="0" fontId="27" fillId="5" borderId="1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/>
    </xf>
    <xf numFmtId="49" fontId="8" fillId="14" borderId="8" xfId="0" applyNumberFormat="1" applyFont="1" applyFill="1" applyBorder="1" applyAlignment="1">
      <alignment vertical="center"/>
    </xf>
    <xf numFmtId="43" fontId="9" fillId="14" borderId="15" xfId="1" applyFont="1" applyFill="1" applyBorder="1" applyAlignment="1">
      <alignment horizontal="center"/>
    </xf>
    <xf numFmtId="0" fontId="27" fillId="14" borderId="1" xfId="0" applyFont="1" applyFill="1" applyBorder="1" applyAlignment="1">
      <alignment horizontal="center" vertical="center"/>
    </xf>
    <xf numFmtId="0" fontId="27" fillId="14" borderId="9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/>
    </xf>
    <xf numFmtId="0" fontId="30" fillId="6" borderId="1" xfId="0" applyFont="1" applyFill="1" applyBorder="1"/>
    <xf numFmtId="0" fontId="9" fillId="6" borderId="1" xfId="0" applyFont="1" applyFill="1" applyBorder="1" applyAlignment="1">
      <alignment horizontal="center"/>
    </xf>
    <xf numFmtId="43" fontId="9" fillId="6" borderId="15" xfId="1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27" fillId="6" borderId="0" xfId="0" applyFont="1" applyFill="1"/>
    <xf numFmtId="0" fontId="8" fillId="5" borderId="1" xfId="0" applyFont="1" applyFill="1" applyBorder="1" applyAlignment="1">
      <alignment horizontal="left"/>
    </xf>
    <xf numFmtId="0" fontId="45" fillId="5" borderId="0" xfId="0" applyFont="1" applyFill="1"/>
    <xf numFmtId="188" fontId="9" fillId="5" borderId="1" xfId="1" applyNumberFormat="1" applyFont="1" applyFill="1" applyBorder="1" applyAlignment="1">
      <alignment horizontal="center"/>
    </xf>
    <xf numFmtId="11" fontId="8" fillId="5" borderId="1" xfId="23" applyNumberFormat="1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8" fillId="5" borderId="0" xfId="0" applyFont="1" applyFill="1"/>
    <xf numFmtId="0" fontId="5" fillId="15" borderId="1" xfId="0" applyFont="1" applyFill="1" applyBorder="1" applyAlignment="1">
      <alignment horizontal="center"/>
    </xf>
    <xf numFmtId="0" fontId="8" fillId="15" borderId="1" xfId="0" applyFont="1" applyFill="1" applyBorder="1"/>
    <xf numFmtId="0" fontId="8" fillId="15" borderId="1" xfId="0" applyFont="1" applyFill="1" applyBorder="1" applyAlignment="1">
      <alignment horizontal="center"/>
    </xf>
    <xf numFmtId="15" fontId="8" fillId="15" borderId="1" xfId="0" applyNumberFormat="1" applyFont="1" applyFill="1" applyBorder="1" applyAlignment="1">
      <alignment horizontal="center"/>
    </xf>
    <xf numFmtId="43" fontId="8" fillId="15" borderId="1" xfId="0" applyNumberFormat="1" applyFont="1" applyFill="1" applyBorder="1" applyAlignment="1">
      <alignment horizontal="center"/>
    </xf>
    <xf numFmtId="0" fontId="8" fillId="15" borderId="1" xfId="0" applyFont="1" applyFill="1" applyBorder="1" applyAlignment="1">
      <alignment horizontal="left"/>
    </xf>
    <xf numFmtId="0" fontId="8" fillId="15" borderId="0" xfId="0" applyFont="1" applyFill="1"/>
    <xf numFmtId="43" fontId="9" fillId="5" borderId="8" xfId="1" applyFont="1" applyFill="1" applyBorder="1" applyAlignment="1">
      <alignment horizontal="center"/>
    </xf>
    <xf numFmtId="0" fontId="8" fillId="5" borderId="1" xfId="0" applyFont="1" applyFill="1" applyBorder="1" applyAlignment="1">
      <alignment vertical="center" wrapText="1"/>
    </xf>
    <xf numFmtId="191" fontId="9" fillId="5" borderId="1" xfId="0" applyNumberFormat="1" applyFont="1" applyFill="1" applyBorder="1" applyAlignment="1">
      <alignment horizontal="center" vertical="center"/>
    </xf>
    <xf numFmtId="43" fontId="9" fillId="5" borderId="15" xfId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3" fillId="5" borderId="1" xfId="0" applyFont="1" applyFill="1" applyBorder="1" applyAlignment="1">
      <alignment horizontal="center"/>
    </xf>
    <xf numFmtId="43" fontId="3" fillId="5" borderId="1" xfId="1" applyFont="1" applyFill="1" applyBorder="1" applyAlignment="1">
      <alignment horizontal="center"/>
    </xf>
    <xf numFmtId="0" fontId="4" fillId="5" borderId="0" xfId="0" applyFont="1" applyFill="1"/>
    <xf numFmtId="0" fontId="8" fillId="5" borderId="9" xfId="0" applyFont="1" applyFill="1" applyBorder="1"/>
    <xf numFmtId="0" fontId="8" fillId="5" borderId="9" xfId="0" applyFont="1" applyFill="1" applyBorder="1" applyAlignment="1">
      <alignment vertical="center" wrapText="1"/>
    </xf>
    <xf numFmtId="191" fontId="9" fillId="5" borderId="9" xfId="0" applyNumberFormat="1" applyFont="1" applyFill="1" applyBorder="1" applyAlignment="1">
      <alignment horizontal="center" vertical="center"/>
    </xf>
    <xf numFmtId="43" fontId="9" fillId="5" borderId="19" xfId="1" applyFont="1" applyFill="1" applyBorder="1" applyAlignment="1">
      <alignment vertical="center"/>
    </xf>
    <xf numFmtId="43" fontId="9" fillId="5" borderId="10" xfId="1" applyFont="1" applyFill="1" applyBorder="1" applyAlignment="1">
      <alignment vertical="center"/>
    </xf>
    <xf numFmtId="187" fontId="9" fillId="6" borderId="19" xfId="1" applyNumberFormat="1" applyFont="1" applyFill="1" applyBorder="1" applyAlignment="1">
      <alignment horizontal="center"/>
    </xf>
    <xf numFmtId="0" fontId="8" fillId="6" borderId="0" xfId="0" applyFont="1" applyFill="1"/>
    <xf numFmtId="0" fontId="28" fillId="5" borderId="1" xfId="0" applyFont="1" applyFill="1" applyBorder="1" applyAlignment="1">
      <alignment horizontal="center" vertical="center"/>
    </xf>
    <xf numFmtId="0" fontId="8" fillId="5" borderId="9" xfId="22" applyFont="1" applyFill="1" applyBorder="1" applyAlignment="1">
      <alignment horizontal="center"/>
    </xf>
    <xf numFmtId="0" fontId="8" fillId="5" borderId="9" xfId="22" applyFont="1" applyFill="1" applyBorder="1"/>
    <xf numFmtId="0" fontId="9" fillId="5" borderId="9" xfId="0" applyFont="1" applyFill="1" applyBorder="1" applyAlignment="1">
      <alignment horizontal="center"/>
    </xf>
    <xf numFmtId="43" fontId="9" fillId="5" borderId="19" xfId="0" applyNumberFormat="1" applyFont="1" applyFill="1" applyBorder="1" applyAlignment="1">
      <alignment horizontal="right" vertical="center"/>
    </xf>
    <xf numFmtId="0" fontId="29" fillId="5" borderId="9" xfId="0" applyFont="1" applyFill="1" applyBorder="1" applyAlignment="1">
      <alignment horizontal="center"/>
    </xf>
    <xf numFmtId="0" fontId="29" fillId="5" borderId="9" xfId="0" applyFont="1" applyFill="1" applyBorder="1"/>
    <xf numFmtId="0" fontId="8" fillId="5" borderId="1" xfId="0" applyFont="1" applyFill="1" applyBorder="1" applyAlignment="1">
      <alignment vertical="top" wrapText="1"/>
    </xf>
    <xf numFmtId="15" fontId="9" fillId="5" borderId="1" xfId="1" applyNumberFormat="1" applyFont="1" applyFill="1" applyBorder="1" applyAlignment="1">
      <alignment horizontal="center" vertical="top"/>
    </xf>
    <xf numFmtId="43" fontId="9" fillId="5" borderId="15" xfId="1" applyFont="1" applyFill="1" applyBorder="1" applyAlignment="1">
      <alignment vertical="top"/>
    </xf>
    <xf numFmtId="0" fontId="9" fillId="5" borderId="1" xfId="0" applyFont="1" applyFill="1" applyBorder="1" applyAlignment="1">
      <alignment vertical="center"/>
    </xf>
    <xf numFmtId="43" fontId="9" fillId="5" borderId="9" xfId="0" applyNumberFormat="1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vertical="center"/>
    </xf>
    <xf numFmtId="0" fontId="8" fillId="5" borderId="1" xfId="22" applyFont="1" applyFill="1" applyBorder="1" applyAlignment="1">
      <alignment horizontal="center"/>
    </xf>
    <xf numFmtId="0" fontId="8" fillId="5" borderId="8" xfId="0" applyFont="1" applyFill="1" applyBorder="1" applyAlignment="1">
      <alignment vertical="center"/>
    </xf>
    <xf numFmtId="43" fontId="9" fillId="5" borderId="15" xfId="0" applyNumberFormat="1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/>
    </xf>
    <xf numFmtId="15" fontId="8" fillId="5" borderId="8" xfId="0" applyNumberFormat="1" applyFont="1" applyFill="1" applyBorder="1" applyAlignment="1">
      <alignment horizontal="center"/>
    </xf>
    <xf numFmtId="43" fontId="9" fillId="5" borderId="15" xfId="1" applyFont="1" applyFill="1" applyBorder="1"/>
    <xf numFmtId="0" fontId="8" fillId="5" borderId="7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43" fontId="9" fillId="6" borderId="19" xfId="1" applyFont="1" applyFill="1" applyBorder="1" applyAlignment="1">
      <alignment horizontal="center"/>
    </xf>
    <xf numFmtId="0" fontId="8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189" fontId="9" fillId="6" borderId="1" xfId="0" applyNumberFormat="1" applyFont="1" applyFill="1" applyBorder="1" applyAlignment="1">
      <alignment horizontal="center" vertical="center"/>
    </xf>
    <xf numFmtId="43" fontId="9" fillId="6" borderId="15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 vertical="top"/>
    </xf>
    <xf numFmtId="0" fontId="0" fillId="6" borderId="0" xfId="0" applyFill="1"/>
    <xf numFmtId="189" fontId="9" fillId="5" borderId="1" xfId="0" applyNumberFormat="1" applyFont="1" applyFill="1" applyBorder="1" applyAlignment="1">
      <alignment horizontal="center" vertical="center"/>
    </xf>
    <xf numFmtId="43" fontId="9" fillId="5" borderId="15" xfId="0" applyNumberFormat="1" applyFont="1" applyFill="1" applyBorder="1" applyAlignment="1">
      <alignment horizontal="center"/>
    </xf>
    <xf numFmtId="0" fontId="0" fillId="5" borderId="0" xfId="0" applyFill="1"/>
    <xf numFmtId="0" fontId="6" fillId="5" borderId="1" xfId="0" applyFont="1" applyFill="1" applyBorder="1" applyAlignment="1">
      <alignment horizontal="center"/>
    </xf>
    <xf numFmtId="43" fontId="6" fillId="5" borderId="15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top"/>
    </xf>
    <xf numFmtId="43" fontId="9" fillId="5" borderId="10" xfId="0" applyNumberFormat="1" applyFont="1" applyFill="1" applyBorder="1" applyAlignment="1">
      <alignment horizontal="center"/>
    </xf>
    <xf numFmtId="0" fontId="92" fillId="0" borderId="5" xfId="0" applyFont="1" applyBorder="1"/>
    <xf numFmtId="0" fontId="8" fillId="6" borderId="1" xfId="0" applyFont="1" applyFill="1" applyBorder="1"/>
    <xf numFmtId="49" fontId="8" fillId="5" borderId="1" xfId="0" applyNumberFormat="1" applyFont="1" applyFill="1" applyBorder="1" applyAlignment="1">
      <alignment horizontal="center"/>
    </xf>
    <xf numFmtId="15" fontId="8" fillId="5" borderId="1" xfId="0" applyNumberFormat="1" applyFont="1" applyFill="1" applyBorder="1" applyAlignment="1">
      <alignment horizontal="center"/>
    </xf>
    <xf numFmtId="0" fontId="41" fillId="5" borderId="1" xfId="0" applyFont="1" applyFill="1" applyBorder="1"/>
    <xf numFmtId="43" fontId="8" fillId="14" borderId="1" xfId="0" applyNumberFormat="1" applyFont="1" applyFill="1" applyBorder="1" applyAlignment="1">
      <alignment horizontal="center"/>
    </xf>
    <xf numFmtId="43" fontId="8" fillId="14" borderId="1" xfId="1" applyFont="1" applyFill="1" applyBorder="1" applyAlignment="1">
      <alignment vertical="center"/>
    </xf>
    <xf numFmtId="43" fontId="8" fillId="14" borderId="12" xfId="0" applyNumberFormat="1" applyFont="1" applyFill="1" applyBorder="1" applyAlignment="1">
      <alignment horizontal="center"/>
    </xf>
    <xf numFmtId="43" fontId="8" fillId="14" borderId="1" xfId="0" applyNumberFormat="1" applyFont="1" applyFill="1" applyBorder="1" applyAlignment="1">
      <alignment horizontal="center" vertical="top"/>
    </xf>
    <xf numFmtId="43" fontId="46" fillId="14" borderId="1" xfId="1" applyFont="1" applyFill="1" applyBorder="1" applyAlignment="1">
      <alignment vertical="top"/>
    </xf>
    <xf numFmtId="43" fontId="8" fillId="15" borderId="1" xfId="1" applyFont="1" applyFill="1" applyBorder="1" applyAlignment="1">
      <alignment horizontal="center"/>
    </xf>
    <xf numFmtId="43" fontId="8" fillId="14" borderId="1" xfId="1" applyFont="1" applyFill="1" applyBorder="1" applyAlignment="1">
      <alignment horizontal="center"/>
    </xf>
    <xf numFmtId="43" fontId="8" fillId="14" borderId="9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top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/>
    </xf>
    <xf numFmtId="15" fontId="8" fillId="16" borderId="1" xfId="0" applyNumberFormat="1" applyFont="1" applyFill="1" applyBorder="1" applyAlignment="1">
      <alignment horizontal="center"/>
    </xf>
    <xf numFmtId="43" fontId="8" fillId="16" borderId="1" xfId="1" applyFont="1" applyFill="1" applyBorder="1" applyAlignment="1">
      <alignment horizontal="center"/>
    </xf>
    <xf numFmtId="0" fontId="8" fillId="16" borderId="1" xfId="0" applyFont="1" applyFill="1" applyBorder="1" applyAlignment="1">
      <alignment horizontal="left" vertical="top"/>
    </xf>
    <xf numFmtId="0" fontId="27" fillId="16" borderId="0" xfId="0" applyFont="1" applyFill="1"/>
    <xf numFmtId="43" fontId="8" fillId="14" borderId="1" xfId="0" applyNumberFormat="1" applyFont="1" applyFill="1" applyBorder="1" applyAlignment="1">
      <alignment horizontal="right"/>
    </xf>
    <xf numFmtId="43" fontId="8" fillId="14" borderId="8" xfId="1" applyFont="1" applyFill="1" applyBorder="1" applyAlignment="1">
      <alignment horizontal="center"/>
    </xf>
    <xf numFmtId="43" fontId="8" fillId="14" borderId="1" xfId="1" applyFont="1" applyFill="1" applyBorder="1"/>
    <xf numFmtId="43" fontId="8" fillId="14" borderId="1" xfId="1" applyFont="1" applyFill="1" applyBorder="1" applyAlignment="1">
      <alignment horizontal="right"/>
    </xf>
    <xf numFmtId="43" fontId="8" fillId="14" borderId="1" xfId="0" applyNumberFormat="1" applyFont="1" applyFill="1" applyBorder="1"/>
    <xf numFmtId="43" fontId="8" fillId="14" borderId="1" xfId="1" applyFont="1" applyFill="1" applyBorder="1" applyAlignment="1"/>
    <xf numFmtId="43" fontId="8" fillId="14" borderId="9" xfId="1" applyFont="1" applyFill="1" applyBorder="1" applyAlignment="1">
      <alignment vertical="center"/>
    </xf>
    <xf numFmtId="43" fontId="8" fillId="14" borderId="8" xfId="1" applyFont="1" applyFill="1" applyBorder="1"/>
    <xf numFmtId="43" fontId="8" fillId="14" borderId="8" xfId="23" applyNumberFormat="1" applyFont="1" applyFill="1" applyBorder="1" applyAlignment="1">
      <alignment horizontal="center"/>
    </xf>
    <xf numFmtId="43" fontId="8" fillId="15" borderId="1" xfId="1" applyFont="1" applyFill="1" applyBorder="1" applyAlignment="1">
      <alignment horizontal="right"/>
    </xf>
    <xf numFmtId="43" fontId="8" fillId="15" borderId="8" xfId="1" applyFont="1" applyFill="1" applyBorder="1"/>
    <xf numFmtId="43" fontId="8" fillId="15" borderId="9" xfId="1" applyFont="1" applyFill="1" applyBorder="1"/>
    <xf numFmtId="43" fontId="8" fillId="15" borderId="1" xfId="1" applyFont="1" applyFill="1" applyBorder="1"/>
    <xf numFmtId="43" fontId="8" fillId="14" borderId="1" xfId="1" applyFont="1" applyFill="1" applyBorder="1" applyAlignment="1">
      <alignment horizontal="center" vertical="top"/>
    </xf>
    <xf numFmtId="43" fontId="45" fillId="14" borderId="1" xfId="1" applyFont="1" applyFill="1" applyBorder="1" applyAlignment="1">
      <alignment horizontal="center"/>
    </xf>
    <xf numFmtId="43" fontId="8" fillId="14" borderId="9" xfId="0" applyNumberFormat="1" applyFont="1" applyFill="1" applyBorder="1" applyAlignment="1">
      <alignment horizontal="center"/>
    </xf>
    <xf numFmtId="43" fontId="8" fillId="14" borderId="1" xfId="0" applyNumberFormat="1" applyFont="1" applyFill="1" applyBorder="1" applyAlignment="1">
      <alignment horizontal="center" vertical="center"/>
    </xf>
    <xf numFmtId="43" fontId="4" fillId="14" borderId="8" xfId="1" applyFont="1" applyFill="1" applyBorder="1" applyAlignment="1">
      <alignment horizontal="center"/>
    </xf>
    <xf numFmtId="43" fontId="4" fillId="14" borderId="9" xfId="1" applyFont="1" applyFill="1" applyBorder="1" applyAlignment="1">
      <alignment horizontal="center"/>
    </xf>
    <xf numFmtId="43" fontId="4" fillId="14" borderId="1" xfId="1" applyFont="1" applyFill="1" applyBorder="1" applyAlignment="1">
      <alignment horizontal="center"/>
    </xf>
    <xf numFmtId="43" fontId="8" fillId="15" borderId="1" xfId="1" applyFont="1" applyFill="1" applyBorder="1" applyAlignment="1">
      <alignment vertical="center"/>
    </xf>
    <xf numFmtId="43" fontId="8" fillId="14" borderId="8" xfId="0" applyNumberFormat="1" applyFont="1" applyFill="1" applyBorder="1"/>
    <xf numFmtId="43" fontId="5" fillId="14" borderId="8" xfId="0" applyNumberFormat="1" applyFont="1" applyFill="1" applyBorder="1"/>
    <xf numFmtId="43" fontId="45" fillId="14" borderId="8" xfId="1" applyFont="1" applyFill="1" applyBorder="1"/>
    <xf numFmtId="43" fontId="8" fillId="14" borderId="8" xfId="1" applyFont="1" applyFill="1" applyBorder="1" applyAlignment="1">
      <alignment horizontal="center" vertical="top"/>
    </xf>
    <xf numFmtId="4" fontId="80" fillId="14" borderId="27" xfId="0" applyNumberFormat="1" applyFont="1" applyFill="1" applyBorder="1"/>
    <xf numFmtId="43" fontId="4" fillId="14" borderId="1" xfId="1" applyFont="1" applyFill="1" applyBorder="1" applyAlignment="1">
      <alignment horizontal="center" vertical="top"/>
    </xf>
    <xf numFmtId="43" fontId="8" fillId="14" borderId="8" xfId="0" applyNumberFormat="1" applyFont="1" applyFill="1" applyBorder="1" applyAlignment="1">
      <alignment horizontal="center"/>
    </xf>
    <xf numFmtId="43" fontId="8" fillId="14" borderId="8" xfId="1" applyFont="1" applyFill="1" applyBorder="1" applyAlignment="1"/>
    <xf numFmtId="43" fontId="2" fillId="14" borderId="11" xfId="1" applyFont="1" applyFill="1" applyBorder="1" applyAlignment="1" applyProtection="1">
      <alignment horizontal="right"/>
      <protection locked="0"/>
    </xf>
    <xf numFmtId="43" fontId="5" fillId="14" borderId="1" xfId="0" applyNumberFormat="1" applyFont="1" applyFill="1" applyBorder="1"/>
    <xf numFmtId="0" fontId="10" fillId="17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 vertical="top"/>
    </xf>
    <xf numFmtId="0" fontId="8" fillId="15" borderId="9" xfId="0" applyFont="1" applyFill="1" applyBorder="1" applyAlignment="1">
      <alignment horizontal="center"/>
    </xf>
    <xf numFmtId="0" fontId="17" fillId="19" borderId="1" xfId="0" applyFont="1" applyFill="1" applyBorder="1" applyAlignment="1">
      <alignment horizontal="center"/>
    </xf>
    <xf numFmtId="0" fontId="47" fillId="19" borderId="1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45" fillId="19" borderId="1" xfId="0" applyFont="1" applyFill="1" applyBorder="1" applyAlignment="1">
      <alignment horizontal="center"/>
    </xf>
    <xf numFmtId="43" fontId="8" fillId="19" borderId="1" xfId="1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/>
    </xf>
    <xf numFmtId="0" fontId="8" fillId="19" borderId="1" xfId="0" quotePrefix="1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 vertical="top"/>
    </xf>
    <xf numFmtId="0" fontId="17" fillId="19" borderId="1" xfId="0" applyFont="1" applyFill="1" applyBorder="1" applyAlignment="1">
      <alignment horizontal="center" vertical="top"/>
    </xf>
    <xf numFmtId="0" fontId="14" fillId="19" borderId="1" xfId="0" applyFont="1" applyFill="1" applyBorder="1" applyAlignment="1">
      <alignment horizontal="center"/>
    </xf>
    <xf numFmtId="0" fontId="90" fillId="19" borderId="1" xfId="0" applyFont="1" applyFill="1" applyBorder="1" applyAlignment="1">
      <alignment horizontal="center"/>
    </xf>
    <xf numFmtId="0" fontId="81" fillId="19" borderId="27" xfId="0" applyFont="1" applyFill="1" applyBorder="1" applyAlignment="1">
      <alignment wrapText="1"/>
    </xf>
    <xf numFmtId="0" fontId="4" fillId="19" borderId="1" xfId="0" applyFont="1" applyFill="1" applyBorder="1" applyAlignment="1">
      <alignment horizontal="center"/>
    </xf>
    <xf numFmtId="43" fontId="45" fillId="15" borderId="8" xfId="0" applyNumberFormat="1" applyFont="1" applyFill="1" applyBorder="1" applyAlignment="1">
      <alignment horizontal="center"/>
    </xf>
    <xf numFmtId="43" fontId="8" fillId="15" borderId="10" xfId="0" applyNumberFormat="1" applyFont="1" applyFill="1" applyBorder="1" applyAlignment="1">
      <alignment horizontal="center"/>
    </xf>
    <xf numFmtId="0" fontId="72" fillId="15" borderId="1" xfId="0" applyFont="1" applyFill="1" applyBorder="1" applyAlignment="1">
      <alignment horizontal="center"/>
    </xf>
    <xf numFmtId="0" fontId="8" fillId="15" borderId="1" xfId="24" applyFont="1" applyFill="1" applyBorder="1" applyAlignment="1">
      <alignment horizontal="center"/>
    </xf>
    <xf numFmtId="0" fontId="8" fillId="15" borderId="8" xfId="24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 vertical="top"/>
    </xf>
    <xf numFmtId="43" fontId="8" fillId="15" borderId="1" xfId="1" applyFont="1" applyFill="1" applyBorder="1" applyAlignment="1">
      <alignment horizontal="center" vertical="center"/>
    </xf>
    <xf numFmtId="43" fontId="8" fillId="19" borderId="1" xfId="1" applyFont="1" applyFill="1" applyBorder="1" applyAlignment="1">
      <alignment horizontal="center" vertical="top"/>
    </xf>
    <xf numFmtId="0" fontId="8" fillId="15" borderId="2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7" fillId="19" borderId="5" xfId="0" applyFont="1" applyFill="1" applyBorder="1" applyAlignment="1" applyProtection="1">
      <alignment horizontal="left"/>
      <protection locked="0"/>
    </xf>
    <xf numFmtId="0" fontId="8" fillId="15" borderId="1" xfId="0" applyFont="1" applyFill="1" applyBorder="1" applyAlignment="1">
      <alignment horizontal="left" vertical="top"/>
    </xf>
    <xf numFmtId="0" fontId="37" fillId="19" borderId="1" xfId="0" applyFont="1" applyFill="1" applyBorder="1" applyAlignment="1">
      <alignment horizontal="center"/>
    </xf>
    <xf numFmtId="0" fontId="42" fillId="19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left" vertical="top"/>
    </xf>
    <xf numFmtId="0" fontId="4" fillId="19" borderId="9" xfId="0" applyFont="1" applyFill="1" applyBorder="1" applyAlignment="1">
      <alignment horizontal="center"/>
    </xf>
    <xf numFmtId="43" fontId="8" fillId="19" borderId="1" xfId="1" applyFont="1" applyFill="1" applyBorder="1" applyAlignment="1">
      <alignment vertical="center"/>
    </xf>
    <xf numFmtId="43" fontId="8" fillId="15" borderId="9" xfId="1" applyFont="1" applyFill="1" applyBorder="1" applyAlignment="1">
      <alignment vertical="top"/>
    </xf>
    <xf numFmtId="0" fontId="8" fillId="19" borderId="8" xfId="0" applyFont="1" applyFill="1" applyBorder="1" applyAlignment="1">
      <alignment horizontal="center"/>
    </xf>
    <xf numFmtId="0" fontId="8" fillId="19" borderId="9" xfId="0" applyFont="1" applyFill="1" applyBorder="1" applyAlignment="1">
      <alignment horizontal="center"/>
    </xf>
    <xf numFmtId="0" fontId="46" fillId="19" borderId="9" xfId="0" applyFont="1" applyFill="1" applyBorder="1" applyAlignment="1">
      <alignment horizontal="center" vertical="center"/>
    </xf>
    <xf numFmtId="0" fontId="8" fillId="15" borderId="9" xfId="24" applyFont="1" applyFill="1" applyBorder="1" applyAlignment="1">
      <alignment horizontal="center"/>
    </xf>
    <xf numFmtId="0" fontId="72" fillId="15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 vertical="top"/>
    </xf>
    <xf numFmtId="0" fontId="44" fillId="19" borderId="1" xfId="0" applyFont="1" applyFill="1" applyBorder="1" applyAlignment="1">
      <alignment horizontal="center"/>
    </xf>
    <xf numFmtId="0" fontId="73" fillId="19" borderId="1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left" vertical="top"/>
    </xf>
    <xf numFmtId="0" fontId="93" fillId="19" borderId="1" xfId="0" applyFont="1" applyFill="1" applyBorder="1" applyAlignment="1">
      <alignment horizontal="left" vertical="top"/>
    </xf>
    <xf numFmtId="0" fontId="56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/>
    </xf>
    <xf numFmtId="0" fontId="89" fillId="19" borderId="1" xfId="0" applyFont="1" applyFill="1" applyBorder="1" applyAlignment="1">
      <alignment horizontal="center" vertical="center"/>
    </xf>
    <xf numFmtId="0" fontId="89" fillId="19" borderId="8" xfId="0" applyFont="1" applyFill="1" applyBorder="1" applyAlignment="1">
      <alignment horizontal="center" vertical="center"/>
    </xf>
    <xf numFmtId="43" fontId="8" fillId="14" borderId="1" xfId="1" applyFont="1" applyFill="1" applyBorder="1" applyAlignment="1">
      <alignment horizontal="center" vertical="center"/>
    </xf>
    <xf numFmtId="43" fontId="8" fillId="19" borderId="8" xfId="1" applyFont="1" applyFill="1" applyBorder="1" applyAlignment="1">
      <alignment vertical="center"/>
    </xf>
    <xf numFmtId="43" fontId="8" fillId="15" borderId="9" xfId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43" fontId="8" fillId="19" borderId="8" xfId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top"/>
    </xf>
    <xf numFmtId="0" fontId="89" fillId="14" borderId="1" xfId="0" applyFont="1" applyFill="1" applyBorder="1" applyAlignment="1">
      <alignment horizontal="center" vertical="top"/>
    </xf>
    <xf numFmtId="0" fontId="8" fillId="14" borderId="9" xfId="0" applyFont="1" applyFill="1" applyBorder="1" applyAlignment="1">
      <alignment horizontal="center"/>
    </xf>
    <xf numFmtId="43" fontId="8" fillId="19" borderId="8" xfId="1" applyFont="1" applyFill="1" applyBorder="1" applyAlignment="1">
      <alignment horizontal="center" vertical="top"/>
    </xf>
    <xf numFmtId="0" fontId="72" fillId="15" borderId="1" xfId="0" applyFont="1" applyFill="1" applyBorder="1" applyAlignment="1">
      <alignment horizontal="center" vertical="top"/>
    </xf>
    <xf numFmtId="0" fontId="17" fillId="14" borderId="1" xfId="0" applyFont="1" applyFill="1" applyBorder="1" applyAlignment="1">
      <alignment horizontal="center" vertical="top"/>
    </xf>
    <xf numFmtId="0" fontId="8" fillId="14" borderId="8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2" fillId="14" borderId="1" xfId="0" applyFont="1" applyFill="1" applyBorder="1" applyAlignment="1" applyProtection="1">
      <alignment horizontal="left"/>
      <protection locked="0"/>
    </xf>
    <xf numFmtId="0" fontId="2" fillId="14" borderId="11" xfId="0" applyFont="1" applyFill="1" applyBorder="1" applyAlignment="1" applyProtection="1">
      <alignment horizontal="left"/>
      <protection locked="0"/>
    </xf>
    <xf numFmtId="0" fontId="45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8" fillId="14" borderId="8" xfId="24" applyFont="1" applyFill="1" applyBorder="1" applyAlignment="1">
      <alignment horizontal="center"/>
    </xf>
    <xf numFmtId="0" fontId="2" fillId="14" borderId="1" xfId="0" applyFont="1" applyFill="1" applyBorder="1" applyAlignment="1" applyProtection="1">
      <alignment horizontal="center"/>
      <protection locked="0"/>
    </xf>
    <xf numFmtId="0" fontId="8" fillId="14" borderId="9" xfId="0" applyFont="1" applyFill="1" applyBorder="1" applyAlignment="1">
      <alignment vertical="top" wrapText="1"/>
    </xf>
    <xf numFmtId="0" fontId="73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 vertical="top"/>
    </xf>
    <xf numFmtId="0" fontId="4" fillId="19" borderId="1" xfId="0" applyFont="1" applyFill="1" applyBorder="1" applyAlignment="1">
      <alignment horizontal="center" vertical="top"/>
    </xf>
    <xf numFmtId="0" fontId="45" fillId="14" borderId="8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9" borderId="8" xfId="0" applyFont="1" applyFill="1" applyBorder="1" applyAlignment="1">
      <alignment horizontal="center"/>
    </xf>
    <xf numFmtId="0" fontId="5" fillId="19" borderId="9" xfId="0" applyFont="1" applyFill="1" applyBorder="1" applyAlignment="1">
      <alignment horizontal="center"/>
    </xf>
    <xf numFmtId="0" fontId="16" fillId="19" borderId="1" xfId="0" applyFont="1" applyFill="1" applyBorder="1" applyAlignment="1">
      <alignment horizontal="center" vertical="top"/>
    </xf>
    <xf numFmtId="0" fontId="16" fillId="19" borderId="1" xfId="0" applyFont="1" applyFill="1" applyBorder="1" applyAlignment="1">
      <alignment horizontal="center"/>
    </xf>
    <xf numFmtId="0" fontId="45" fillId="19" borderId="1" xfId="0" quotePrefix="1" applyFont="1" applyFill="1" applyBorder="1" applyAlignment="1">
      <alignment horizontal="center"/>
    </xf>
    <xf numFmtId="0" fontId="45" fillId="19" borderId="1" xfId="0" applyFont="1" applyFill="1" applyBorder="1" applyAlignment="1">
      <alignment horizontal="center" vertical="top"/>
    </xf>
    <xf numFmtId="0" fontId="94" fillId="15" borderId="1" xfId="0" applyFont="1" applyFill="1" applyBorder="1" applyAlignment="1">
      <alignment horizontal="center" vertical="center" wrapText="1"/>
    </xf>
    <xf numFmtId="0" fontId="89" fillId="19" borderId="1" xfId="0" applyFont="1" applyFill="1" applyBorder="1" applyAlignment="1">
      <alignment horizontal="center" vertical="top"/>
    </xf>
    <xf numFmtId="0" fontId="5" fillId="19" borderId="1" xfId="0" applyFont="1" applyFill="1" applyBorder="1" applyAlignment="1">
      <alignment horizontal="center" vertical="top"/>
    </xf>
    <xf numFmtId="0" fontId="95" fillId="0" borderId="27" xfId="0" applyFont="1" applyBorder="1" applyAlignment="1">
      <alignment wrapText="1"/>
    </xf>
    <xf numFmtId="0" fontId="96" fillId="3" borderId="1" xfId="0" applyFont="1" applyFill="1" applyBorder="1" applyAlignment="1">
      <alignment vertical="center" wrapText="1"/>
    </xf>
    <xf numFmtId="0" fontId="96" fillId="3" borderId="1" xfId="0" applyFont="1" applyFill="1" applyBorder="1" applyAlignment="1">
      <alignment horizontal="center" vertical="center"/>
    </xf>
    <xf numFmtId="15" fontId="97" fillId="0" borderId="8" xfId="0" applyNumberFormat="1" applyFont="1" applyBorder="1" applyAlignment="1">
      <alignment horizontal="center" vertical="top"/>
    </xf>
    <xf numFmtId="43" fontId="96" fillId="3" borderId="1" xfId="1" applyFont="1" applyFill="1" applyBorder="1" applyAlignment="1">
      <alignment vertical="center"/>
    </xf>
    <xf numFmtId="0" fontId="97" fillId="0" borderId="1" xfId="0" applyFont="1" applyBorder="1" applyAlignment="1">
      <alignment vertical="top"/>
    </xf>
    <xf numFmtId="0" fontId="96" fillId="3" borderId="1" xfId="0" applyFont="1" applyFill="1" applyBorder="1" applyAlignment="1">
      <alignment horizontal="center" vertical="top"/>
    </xf>
    <xf numFmtId="43" fontId="97" fillId="0" borderId="8" xfId="1" applyFont="1" applyFill="1" applyBorder="1" applyAlignment="1">
      <alignment horizontal="center" vertical="top"/>
    </xf>
    <xf numFmtId="0" fontId="96" fillId="3" borderId="1" xfId="0" applyFont="1" applyFill="1" applyBorder="1" applyAlignment="1">
      <alignment vertical="top" wrapText="1"/>
    </xf>
    <xf numFmtId="43" fontId="96" fillId="3" borderId="1" xfId="1" applyFont="1" applyFill="1" applyBorder="1" applyAlignment="1">
      <alignment vertical="top"/>
    </xf>
    <xf numFmtId="0" fontId="98" fillId="0" borderId="1" xfId="0" applyFont="1" applyBorder="1" applyAlignment="1">
      <alignment vertical="top"/>
    </xf>
    <xf numFmtId="0" fontId="98" fillId="0" borderId="8" xfId="0" applyFont="1" applyBorder="1" applyAlignment="1">
      <alignment horizontal="center" vertical="top"/>
    </xf>
    <xf numFmtId="15" fontId="98" fillId="0" borderId="8" xfId="0" applyNumberFormat="1" applyFont="1" applyBorder="1" applyAlignment="1">
      <alignment horizontal="center" vertical="top"/>
    </xf>
    <xf numFmtId="43" fontId="98" fillId="0" borderId="8" xfId="1" applyFont="1" applyFill="1" applyBorder="1" applyAlignment="1">
      <alignment horizontal="center" vertical="top"/>
    </xf>
    <xf numFmtId="0" fontId="75" fillId="9" borderId="3" xfId="0" applyFont="1" applyFill="1" applyBorder="1" applyAlignment="1">
      <alignment horizontal="left" vertical="center"/>
    </xf>
    <xf numFmtId="0" fontId="75" fillId="11" borderId="3" xfId="0" applyFont="1" applyFill="1" applyBorder="1" applyAlignment="1">
      <alignment horizontal="left" vertical="center"/>
    </xf>
    <xf numFmtId="0" fontId="0" fillId="9" borderId="7" xfId="0" applyFill="1" applyBorder="1" applyAlignment="1">
      <alignment horizontal="center" vertical="center" wrapText="1"/>
    </xf>
    <xf numFmtId="0" fontId="0" fillId="9" borderId="44" xfId="0" applyFill="1" applyBorder="1" applyAlignment="1">
      <alignment horizontal="center" vertical="center" wrapText="1"/>
    </xf>
    <xf numFmtId="0" fontId="0" fillId="9" borderId="45" xfId="0" applyFill="1" applyBorder="1" applyAlignment="1">
      <alignment horizontal="center" vertical="center" wrapText="1"/>
    </xf>
    <xf numFmtId="0" fontId="86" fillId="11" borderId="3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3" fontId="9" fillId="0" borderId="8" xfId="1" applyFont="1" applyBorder="1" applyAlignment="1">
      <alignment horizontal="center" vertical="center"/>
    </xf>
    <xf numFmtId="43" fontId="9" fillId="0" borderId="10" xfId="1" applyFont="1" applyBorder="1" applyAlignment="1">
      <alignment horizontal="center" vertical="center"/>
    </xf>
    <xf numFmtId="43" fontId="9" fillId="0" borderId="9" xfId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0" fillId="0" borderId="0" xfId="0"/>
    <xf numFmtId="0" fontId="63" fillId="0" borderId="32" xfId="0" applyFont="1" applyBorder="1" applyAlignment="1">
      <alignment horizontal="center"/>
    </xf>
    <xf numFmtId="0" fontId="19" fillId="0" borderId="29" xfId="0" applyFont="1" applyBorder="1"/>
    <xf numFmtId="0" fontId="19" fillId="0" borderId="33" xfId="0" applyFont="1" applyBorder="1"/>
    <xf numFmtId="0" fontId="19" fillId="0" borderId="31" xfId="0" applyFont="1" applyBorder="1"/>
    <xf numFmtId="0" fontId="19" fillId="0" borderId="27" xfId="0" applyFont="1" applyBorder="1"/>
    <xf numFmtId="0" fontId="63" fillId="0" borderId="40" xfId="0" applyFont="1" applyBorder="1" applyAlignment="1">
      <alignment horizontal="center"/>
    </xf>
    <xf numFmtId="0" fontId="19" fillId="0" borderId="41" xfId="0" applyFont="1" applyBorder="1"/>
    <xf numFmtId="0" fontId="19" fillId="0" borderId="42" xfId="0" applyFont="1" applyBorder="1"/>
    <xf numFmtId="0" fontId="21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7" fillId="0" borderId="9" xfId="0" applyFont="1" applyBorder="1" applyAlignment="1">
      <alignment horizontal="center" vertical="center"/>
    </xf>
    <xf numFmtId="43" fontId="9" fillId="0" borderId="8" xfId="0" applyNumberFormat="1" applyFont="1" applyBorder="1" applyAlignment="1">
      <alignment horizontal="center" vertical="center"/>
    </xf>
    <xf numFmtId="43" fontId="9" fillId="0" borderId="10" xfId="0" applyNumberFormat="1" applyFont="1" applyBorder="1" applyAlignment="1">
      <alignment horizontal="center" vertical="center"/>
    </xf>
    <xf numFmtId="43" fontId="9" fillId="0" borderId="9" xfId="0" applyNumberFormat="1" applyFont="1" applyBorder="1" applyAlignment="1">
      <alignment horizontal="center" vertical="center"/>
    </xf>
    <xf numFmtId="43" fontId="8" fillId="14" borderId="8" xfId="0" applyNumberFormat="1" applyFont="1" applyFill="1" applyBorder="1" applyAlignment="1">
      <alignment horizontal="center" vertical="center"/>
    </xf>
    <xf numFmtId="43" fontId="8" fillId="14" borderId="9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3" fontId="3" fillId="0" borderId="8" xfId="0" applyNumberFormat="1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 vertical="center"/>
    </xf>
    <xf numFmtId="43" fontId="3" fillId="0" borderId="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</cellXfs>
  <cellStyles count="26">
    <cellStyle name="Hyperlink" xfId="4" builtinId="8"/>
    <cellStyle name="Normal 2" xfId="22" xr:uid="{00000000-0005-0000-0000-000001000000}"/>
    <cellStyle name="Normal 3" xfId="23" xr:uid="{00000000-0005-0000-0000-000002000000}"/>
    <cellStyle name="เครื่องหมายจุลภาค 15" xfId="11" xr:uid="{00000000-0005-0000-0000-000004000000}"/>
    <cellStyle name="เครื่องหมายจุลภาค 19" xfId="15" xr:uid="{00000000-0005-0000-0000-000005000000}"/>
    <cellStyle name="เครื่องหมายจุลภาค 2" xfId="25" xr:uid="{00000000-0005-0000-0000-000006000000}"/>
    <cellStyle name="เครื่องหมายจุลภาค 22" xfId="18" xr:uid="{00000000-0005-0000-0000-000007000000}"/>
    <cellStyle name="เครื่องหมายจุลภาค 25" xfId="21" xr:uid="{00000000-0005-0000-0000-000008000000}"/>
    <cellStyle name="เครื่องหมายจุลภาค 3" xfId="3" xr:uid="{00000000-0005-0000-0000-000009000000}"/>
    <cellStyle name="เครื่องหมายจุลภาค 4" xfId="6" xr:uid="{00000000-0005-0000-0000-00000A000000}"/>
    <cellStyle name="เครื่องหมายจุลภาค 8" xfId="8" xr:uid="{00000000-0005-0000-0000-00000B000000}"/>
    <cellStyle name="จุลภาค" xfId="1" builtinId="3"/>
    <cellStyle name="ปกติ" xfId="0" builtinId="0"/>
    <cellStyle name="ปกติ 14" xfId="10" xr:uid="{00000000-0005-0000-0000-00000D000000}"/>
    <cellStyle name="ปกติ 16" xfId="12" xr:uid="{00000000-0005-0000-0000-00000E000000}"/>
    <cellStyle name="ปกติ 17" xfId="13" xr:uid="{00000000-0005-0000-0000-00000F000000}"/>
    <cellStyle name="ปกติ 18" xfId="14" xr:uid="{00000000-0005-0000-0000-000010000000}"/>
    <cellStyle name="ปกติ 2" xfId="5" xr:uid="{00000000-0005-0000-0000-000011000000}"/>
    <cellStyle name="ปกติ 20" xfId="16" xr:uid="{00000000-0005-0000-0000-000012000000}"/>
    <cellStyle name="ปกติ 21" xfId="17" xr:uid="{00000000-0005-0000-0000-000013000000}"/>
    <cellStyle name="ปกติ 23" xfId="19" xr:uid="{00000000-0005-0000-0000-000014000000}"/>
    <cellStyle name="ปกติ 24" xfId="20" xr:uid="{00000000-0005-0000-0000-000015000000}"/>
    <cellStyle name="ปกติ 3" xfId="2" xr:uid="{00000000-0005-0000-0000-000016000000}"/>
    <cellStyle name="ปกติ 7" xfId="7" xr:uid="{00000000-0005-0000-0000-000017000000}"/>
    <cellStyle name="ปกติ 9" xfId="9" xr:uid="{00000000-0005-0000-0000-000018000000}"/>
    <cellStyle name="ปกติ_Sheet1" xfId="2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13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Relationship Id="rId18" Type="http://schemas.openxmlformats.org/officeDocument/2006/relationships/comments" Target="../comments1.xml"/><Relationship Id="rId3" Type="http://schemas.openxmlformats.org/officeDocument/2006/relationships/hyperlink" Target="mailto:&#3650;&#3605;&#3658;&#3632;&#3611;&#3619;&#3632;&#3594;&#3640;&#3617;&#3612;&#3641;&#3657;&#3610;&#3619;&#3636;&#3627;&#3634;&#3619;@1" TargetMode="External"/><Relationship Id="rId7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Relationship Id="rId12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mailto:&#3650;&#3605;&#3658;&#3632;&#3611;&#3619;&#3632;&#3594;&#3640;&#3617;&#3612;&#3641;&#3657;&#3610;&#3619;&#3636;&#3627;&#3634;&#3619;@1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mailto:&#3650;&#3605;&#3658;&#3632;&#3611;&#3619;&#3632;&#3594;&#3640;&#3617;&#3626;&#3616;&#3634;&#3648;&#3607;&#3624;&#3610;&#3634;&#3621;@1" TargetMode="External"/><Relationship Id="rId6" Type="http://schemas.openxmlformats.org/officeDocument/2006/relationships/hyperlink" Target="mailto:&#3650;&#3605;&#3658;&#3632;&#3588;&#3619;&#3638;&#3656;&#3591;&#3623;&#3591;&#3585;&#3621;&#3617;&#3605;&#3656;&#3629;&#3650;&#3588;&#3657;&#3591;@1" TargetMode="External"/><Relationship Id="rId11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5" Type="http://schemas.openxmlformats.org/officeDocument/2006/relationships/hyperlink" Target="mailto:&#3650;&#3605;&#3658;&#3632;&#3611;&#3619;&#3632;&#3594;&#3640;&#3617;&#3612;&#3641;&#3657;&#3610;&#3619;&#3636;&#3627;&#3634;&#3619;@1" TargetMode="External"/><Relationship Id="rId15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Relationship Id="rId10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4" Type="http://schemas.openxmlformats.org/officeDocument/2006/relationships/hyperlink" Target="mailto:&#3650;&#3605;&#3658;&#3632;&#3588;&#3619;&#3638;&#3656;&#3591;&#3623;&#3591;&#3585;&#3621;&#3617;&#3605;&#3656;&#3629;&#3650;&#3588;&#3657;&#3591;@1" TargetMode="External"/><Relationship Id="rId9" Type="http://schemas.openxmlformats.org/officeDocument/2006/relationships/hyperlink" Target="mailto:&#3648;&#3585;&#3657;&#3634;&#3629;&#3637;&#3657;&#3612;&#3641;&#3657;&#3610;&#3619;&#3636;&#3627;&#3634;&#3619;&#3648;&#3610;&#3634;&#3632;&#3627;&#3609;&#3633;&#3591;&#3611;&#3609;&#3613;&#3657;&#3634;&#3618;@1" TargetMode="External"/><Relationship Id="rId14" Type="http://schemas.openxmlformats.org/officeDocument/2006/relationships/hyperlink" Target="mailto:&#3648;&#3585;&#3657;&#3634;&#3629;&#3637;&#3657;&#3588;&#3603;&#3632;&#3612;&#3641;&#3657;&#3610;&#3619;&#3636;&#3627;&#3634;&#3619;&#3648;&#3607;&#3624;&#3610;&#3634;&#3621;@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5DAB-B373-4C62-BEF4-6CB28847A0F2}">
  <sheetPr>
    <tabColor rgb="FFFF0000"/>
  </sheetPr>
  <dimension ref="A1:Z72"/>
  <sheetViews>
    <sheetView topLeftCell="B36" zoomScale="130" zoomScaleNormal="130" workbookViewId="0">
      <selection activeCell="H40" sqref="H40"/>
    </sheetView>
  </sheetViews>
  <sheetFormatPr defaultColWidth="12.625" defaultRowHeight="14.25"/>
  <cols>
    <col min="1" max="1" width="8.75" customWidth="1"/>
    <col min="2" max="2" width="24.25" customWidth="1"/>
    <col min="3" max="3" width="18" customWidth="1"/>
    <col min="4" max="4" width="54.625" customWidth="1"/>
    <col min="8" max="8" width="27.125" customWidth="1"/>
    <col min="9" max="9" width="16.875" customWidth="1"/>
    <col min="10" max="10" width="18.75" customWidth="1"/>
  </cols>
  <sheetData>
    <row r="1" spans="1:26">
      <c r="A1" s="668" t="s">
        <v>144</v>
      </c>
      <c r="B1" s="668" t="s">
        <v>3849</v>
      </c>
      <c r="C1" s="668" t="s">
        <v>3850</v>
      </c>
      <c r="D1" s="669" t="s">
        <v>3851</v>
      </c>
      <c r="E1" s="1225" t="s">
        <v>3852</v>
      </c>
      <c r="F1" s="1226"/>
      <c r="G1" s="1227"/>
      <c r="H1" s="669" t="s">
        <v>3853</v>
      </c>
      <c r="I1" s="668" t="s">
        <v>3854</v>
      </c>
      <c r="J1" s="670" t="s">
        <v>3855</v>
      </c>
      <c r="K1" s="670" t="s">
        <v>3856</v>
      </c>
      <c r="L1" s="668" t="s">
        <v>36</v>
      </c>
      <c r="M1" s="833"/>
    </row>
    <row r="2" spans="1:26" ht="15">
      <c r="A2" s="672"/>
      <c r="B2" s="673"/>
      <c r="C2" s="674" t="s">
        <v>1739</v>
      </c>
      <c r="D2" s="675"/>
      <c r="E2" s="673"/>
      <c r="F2" s="673"/>
      <c r="G2" s="673"/>
      <c r="H2" s="675"/>
      <c r="I2" s="673"/>
      <c r="J2" s="676"/>
      <c r="K2" s="676"/>
      <c r="L2" s="677"/>
      <c r="M2" s="833"/>
    </row>
    <row r="3" spans="1:26" ht="15.75" customHeight="1">
      <c r="A3" s="678"/>
      <c r="B3" s="679"/>
      <c r="C3" s="1228" t="s">
        <v>3857</v>
      </c>
      <c r="D3" s="1228"/>
      <c r="E3" s="679"/>
      <c r="F3" s="679"/>
      <c r="G3" s="679"/>
      <c r="H3" s="680"/>
      <c r="I3" s="679"/>
      <c r="J3" s="681"/>
      <c r="K3" s="681"/>
      <c r="L3" s="682"/>
      <c r="M3" s="834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.75" customHeight="1">
      <c r="A4" s="684">
        <v>1</v>
      </c>
      <c r="B4" s="684" t="s">
        <v>3858</v>
      </c>
      <c r="C4" s="684" t="s">
        <v>1739</v>
      </c>
      <c r="D4" s="685" t="s">
        <v>3859</v>
      </c>
      <c r="E4" s="684">
        <v>27</v>
      </c>
      <c r="F4" s="684">
        <v>12</v>
      </c>
      <c r="G4" s="684">
        <v>2566</v>
      </c>
      <c r="H4" s="686">
        <v>60000</v>
      </c>
      <c r="I4" s="684" t="s">
        <v>3860</v>
      </c>
      <c r="J4" s="687" t="s">
        <v>3806</v>
      </c>
      <c r="K4" s="687" t="s">
        <v>3861</v>
      </c>
      <c r="L4" s="688"/>
      <c r="M4" s="834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.75" customHeight="1" thickBot="1">
      <c r="A5" s="689"/>
      <c r="B5" s="690"/>
      <c r="C5" s="690"/>
      <c r="D5" s="691"/>
      <c r="E5" s="690"/>
      <c r="F5" s="690"/>
      <c r="G5" s="690"/>
      <c r="H5" s="692"/>
      <c r="I5" s="690"/>
      <c r="J5" s="693">
        <v>60000</v>
      </c>
      <c r="K5" s="694"/>
      <c r="L5" s="695"/>
      <c r="M5" s="834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 thickTop="1">
      <c r="A6" s="678"/>
      <c r="B6" s="679"/>
      <c r="C6" s="1228" t="s">
        <v>3862</v>
      </c>
      <c r="D6" s="1228"/>
      <c r="E6" s="679"/>
      <c r="F6" s="679"/>
      <c r="G6" s="679"/>
      <c r="H6" s="680"/>
      <c r="I6" s="679"/>
      <c r="J6" s="696"/>
      <c r="K6" s="681"/>
      <c r="L6" s="682"/>
      <c r="M6" s="834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>
      <c r="A7" s="697">
        <v>1</v>
      </c>
      <c r="B7" s="697" t="s">
        <v>3863</v>
      </c>
      <c r="C7" s="697" t="s">
        <v>1739</v>
      </c>
      <c r="D7" s="698" t="s">
        <v>3864</v>
      </c>
      <c r="E7" s="697">
        <v>19</v>
      </c>
      <c r="F7" s="697">
        <v>3</v>
      </c>
      <c r="G7" s="697">
        <v>2567</v>
      </c>
      <c r="H7" s="699">
        <v>24900</v>
      </c>
      <c r="I7" s="697" t="s">
        <v>3865</v>
      </c>
      <c r="J7" s="700" t="s">
        <v>3866</v>
      </c>
      <c r="K7" s="700" t="s">
        <v>3861</v>
      </c>
      <c r="L7" s="701"/>
      <c r="M7" s="834"/>
    </row>
    <row r="8" spans="1:26">
      <c r="A8" s="703">
        <v>2</v>
      </c>
      <c r="B8" s="703" t="s">
        <v>3867</v>
      </c>
      <c r="C8" s="703" t="s">
        <v>1739</v>
      </c>
      <c r="D8" s="704" t="s">
        <v>3868</v>
      </c>
      <c r="E8" s="703">
        <v>11</v>
      </c>
      <c r="F8" s="703">
        <v>7</v>
      </c>
      <c r="G8" s="703">
        <v>2567</v>
      </c>
      <c r="H8" s="705">
        <v>46900</v>
      </c>
      <c r="I8" s="703" t="s">
        <v>3860</v>
      </c>
      <c r="J8" s="706" t="s">
        <v>3806</v>
      </c>
      <c r="K8" s="706" t="s">
        <v>3861</v>
      </c>
      <c r="L8" s="707" t="s">
        <v>3869</v>
      </c>
      <c r="M8" s="834"/>
    </row>
    <row r="9" spans="1:26" ht="15.75" customHeight="1">
      <c r="A9" s="703">
        <v>3</v>
      </c>
      <c r="B9" s="703" t="s">
        <v>3870</v>
      </c>
      <c r="C9" s="703" t="s">
        <v>1739</v>
      </c>
      <c r="D9" s="704" t="s">
        <v>3871</v>
      </c>
      <c r="E9" s="703">
        <v>18</v>
      </c>
      <c r="F9" s="703">
        <v>12</v>
      </c>
      <c r="G9" s="703">
        <v>2566</v>
      </c>
      <c r="H9" s="705">
        <v>47200</v>
      </c>
      <c r="I9" s="703" t="s">
        <v>3860</v>
      </c>
      <c r="J9" s="706" t="s">
        <v>3806</v>
      </c>
      <c r="K9" s="706" t="s">
        <v>3861</v>
      </c>
      <c r="L9" s="707" t="s">
        <v>3872</v>
      </c>
      <c r="M9" s="834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703">
        <v>4</v>
      </c>
      <c r="B10" s="703" t="s">
        <v>3873</v>
      </c>
      <c r="C10" s="703" t="s">
        <v>1739</v>
      </c>
      <c r="D10" s="704" t="s">
        <v>3874</v>
      </c>
      <c r="E10" s="703">
        <v>18</v>
      </c>
      <c r="F10" s="703">
        <v>12</v>
      </c>
      <c r="G10" s="703">
        <v>2566</v>
      </c>
      <c r="H10" s="705">
        <v>33500</v>
      </c>
      <c r="I10" s="703" t="s">
        <v>3860</v>
      </c>
      <c r="J10" s="706" t="s">
        <v>3806</v>
      </c>
      <c r="K10" s="706" t="s">
        <v>3861</v>
      </c>
      <c r="L10" s="707" t="s">
        <v>3872</v>
      </c>
      <c r="M10" s="834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703">
        <v>5</v>
      </c>
      <c r="B11" s="703" t="s">
        <v>3875</v>
      </c>
      <c r="C11" s="703" t="s">
        <v>1739</v>
      </c>
      <c r="D11" s="704" t="s">
        <v>3876</v>
      </c>
      <c r="E11" s="703">
        <v>15</v>
      </c>
      <c r="F11" s="703">
        <v>11</v>
      </c>
      <c r="G11" s="703">
        <v>2566</v>
      </c>
      <c r="H11" s="705">
        <v>53600</v>
      </c>
      <c r="I11" s="703" t="s">
        <v>3860</v>
      </c>
      <c r="J11" s="706" t="s">
        <v>3806</v>
      </c>
      <c r="K11" s="706" t="s">
        <v>3861</v>
      </c>
      <c r="L11" s="707" t="s">
        <v>3877</v>
      </c>
      <c r="M11" s="834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703">
        <v>6</v>
      </c>
      <c r="B12" s="703" t="s">
        <v>3878</v>
      </c>
      <c r="C12" s="703" t="s">
        <v>1739</v>
      </c>
      <c r="D12" s="704" t="s">
        <v>3879</v>
      </c>
      <c r="E12" s="703">
        <v>15</v>
      </c>
      <c r="F12" s="703">
        <v>11</v>
      </c>
      <c r="G12" s="703">
        <v>2566</v>
      </c>
      <c r="H12" s="705">
        <v>47200</v>
      </c>
      <c r="I12" s="703" t="s">
        <v>3860</v>
      </c>
      <c r="J12" s="706" t="s">
        <v>3806</v>
      </c>
      <c r="K12" s="706" t="s">
        <v>3861</v>
      </c>
      <c r="L12" s="707" t="s">
        <v>3880</v>
      </c>
      <c r="M12" s="834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 thickBot="1">
      <c r="A13" s="689"/>
      <c r="B13" s="690"/>
      <c r="C13" s="690"/>
      <c r="D13" s="691"/>
      <c r="E13" s="690"/>
      <c r="F13" s="690"/>
      <c r="G13" s="690"/>
      <c r="H13" s="692"/>
      <c r="I13" s="690"/>
      <c r="J13" s="708">
        <v>253300</v>
      </c>
      <c r="K13" s="694"/>
      <c r="L13" s="695"/>
      <c r="M13" s="834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 thickTop="1">
      <c r="A14" s="678"/>
      <c r="B14" s="679"/>
      <c r="C14" s="1228" t="s">
        <v>1199</v>
      </c>
      <c r="D14" s="1228"/>
      <c r="E14" s="679"/>
      <c r="F14" s="679"/>
      <c r="G14" s="679"/>
      <c r="H14" s="680"/>
      <c r="I14" s="679"/>
      <c r="J14" s="696"/>
      <c r="K14" s="681"/>
      <c r="L14" s="682"/>
      <c r="M14" s="834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703">
        <v>1</v>
      </c>
      <c r="B15" s="703" t="s">
        <v>3739</v>
      </c>
      <c r="C15" s="703" t="s">
        <v>1739</v>
      </c>
      <c r="D15" s="704" t="s">
        <v>3881</v>
      </c>
      <c r="E15" s="703">
        <v>17</v>
      </c>
      <c r="F15" s="703">
        <v>12</v>
      </c>
      <c r="G15" s="703">
        <v>2566</v>
      </c>
      <c r="H15" s="705">
        <v>27000</v>
      </c>
      <c r="I15" s="703" t="s">
        <v>3860</v>
      </c>
      <c r="J15" s="706" t="s">
        <v>3882</v>
      </c>
      <c r="K15" s="706" t="s">
        <v>3861</v>
      </c>
      <c r="L15" s="707" t="s">
        <v>3883</v>
      </c>
      <c r="M15" s="834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709">
        <v>2</v>
      </c>
      <c r="B16" s="703" t="s">
        <v>3739</v>
      </c>
      <c r="C16" s="709" t="s">
        <v>1739</v>
      </c>
      <c r="D16" s="710" t="s">
        <v>3884</v>
      </c>
      <c r="E16" s="709">
        <v>15</v>
      </c>
      <c r="F16" s="709">
        <v>11</v>
      </c>
      <c r="G16" s="709">
        <v>2566</v>
      </c>
      <c r="H16" s="711">
        <v>101650</v>
      </c>
      <c r="I16" s="709" t="s">
        <v>3860</v>
      </c>
      <c r="J16" s="712" t="s">
        <v>3885</v>
      </c>
      <c r="K16" s="712" t="s">
        <v>3861</v>
      </c>
      <c r="L16" s="713"/>
      <c r="M16" s="56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709">
        <v>3</v>
      </c>
      <c r="B17" s="703" t="s">
        <v>3739</v>
      </c>
      <c r="C17" s="709" t="s">
        <v>1739</v>
      </c>
      <c r="D17" s="710" t="s">
        <v>3886</v>
      </c>
      <c r="E17" s="709">
        <v>15</v>
      </c>
      <c r="F17" s="709">
        <v>11</v>
      </c>
      <c r="G17" s="709">
        <v>2566</v>
      </c>
      <c r="H17" s="711">
        <v>101650</v>
      </c>
      <c r="I17" s="709" t="s">
        <v>3860</v>
      </c>
      <c r="J17" s="712" t="s">
        <v>3885</v>
      </c>
      <c r="K17" s="712" t="s">
        <v>3861</v>
      </c>
      <c r="L17" s="713"/>
      <c r="M17" s="56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 thickBot="1">
      <c r="A18" s="689"/>
      <c r="B18" s="690"/>
      <c r="C18" s="690"/>
      <c r="D18" s="691"/>
      <c r="E18" s="690"/>
      <c r="F18" s="690"/>
      <c r="G18" s="690"/>
      <c r="H18" s="692"/>
      <c r="I18" s="690"/>
      <c r="J18" s="708">
        <v>230300</v>
      </c>
      <c r="K18" s="694"/>
      <c r="L18" s="695"/>
      <c r="M18" s="834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 thickTop="1">
      <c r="A19" s="678"/>
      <c r="B19" s="679"/>
      <c r="C19" s="1228" t="s">
        <v>65</v>
      </c>
      <c r="D19" s="1228"/>
      <c r="E19" s="679"/>
      <c r="F19" s="679"/>
      <c r="G19" s="679"/>
      <c r="H19" s="680"/>
      <c r="I19" s="679"/>
      <c r="J19" s="696"/>
      <c r="K19" s="681"/>
      <c r="L19" s="682"/>
      <c r="M19" s="834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714">
        <v>1</v>
      </c>
      <c r="B20" s="714" t="s">
        <v>3629</v>
      </c>
      <c r="C20" s="714" t="s">
        <v>1739</v>
      </c>
      <c r="D20" s="715" t="s">
        <v>3887</v>
      </c>
      <c r="E20" s="714">
        <v>10</v>
      </c>
      <c r="F20" s="714">
        <v>10</v>
      </c>
      <c r="G20" s="714">
        <v>2566</v>
      </c>
      <c r="H20" s="716">
        <v>14000</v>
      </c>
      <c r="I20" s="714" t="s">
        <v>3860</v>
      </c>
      <c r="J20" s="717" t="s">
        <v>3888</v>
      </c>
      <c r="K20" s="717" t="s">
        <v>3861</v>
      </c>
      <c r="L20" s="718" t="s">
        <v>3883</v>
      </c>
      <c r="M20" s="56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thickBot="1">
      <c r="A21" s="689"/>
      <c r="B21" s="690"/>
      <c r="C21" s="690"/>
      <c r="D21" s="691"/>
      <c r="E21" s="690"/>
      <c r="F21" s="690"/>
      <c r="G21" s="690"/>
      <c r="H21" s="692"/>
      <c r="I21" s="690"/>
      <c r="J21" s="693">
        <v>14000</v>
      </c>
      <c r="K21" s="694"/>
      <c r="L21" s="695"/>
      <c r="M21" s="834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thickTop="1">
      <c r="A22" s="678"/>
      <c r="B22" s="679"/>
      <c r="C22" s="1228" t="s">
        <v>507</v>
      </c>
      <c r="D22" s="1228"/>
      <c r="E22" s="679"/>
      <c r="F22" s="679"/>
      <c r="G22" s="679"/>
      <c r="H22" s="680"/>
      <c r="I22" s="679"/>
      <c r="J22" s="696"/>
      <c r="K22" s="681"/>
      <c r="L22" s="682"/>
      <c r="M22" s="834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720">
        <v>1</v>
      </c>
      <c r="B23" s="720" t="s">
        <v>3735</v>
      </c>
      <c r="C23" s="720" t="s">
        <v>1739</v>
      </c>
      <c r="D23" s="721" t="s">
        <v>3889</v>
      </c>
      <c r="E23" s="720">
        <v>10</v>
      </c>
      <c r="F23" s="720">
        <v>10</v>
      </c>
      <c r="G23" s="720">
        <v>2566</v>
      </c>
      <c r="H23" s="722">
        <v>34500</v>
      </c>
      <c r="I23" s="720" t="s">
        <v>3860</v>
      </c>
      <c r="J23" s="723" t="s">
        <v>3890</v>
      </c>
      <c r="K23" s="723" t="s">
        <v>3861</v>
      </c>
      <c r="L23" s="724" t="s">
        <v>3883</v>
      </c>
      <c r="M23" s="56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thickBot="1">
      <c r="A24" s="725"/>
      <c r="B24" s="726"/>
      <c r="C24" s="726"/>
      <c r="D24" s="727"/>
      <c r="E24" s="726"/>
      <c r="F24" s="726"/>
      <c r="G24" s="726"/>
      <c r="H24" s="728"/>
      <c r="I24" s="726"/>
      <c r="J24" s="693">
        <v>34500</v>
      </c>
      <c r="K24" s="729"/>
      <c r="L24" s="730"/>
      <c r="M24" s="56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thickTop="1" thickBot="1">
      <c r="A25" s="731"/>
      <c r="B25" s="732"/>
      <c r="C25" s="732"/>
      <c r="D25" s="733"/>
      <c r="E25" s="732"/>
      <c r="F25" s="732"/>
      <c r="G25" s="732"/>
      <c r="H25" s="734"/>
      <c r="I25" s="732"/>
      <c r="J25" s="735">
        <f>SUM(J4:J24)</f>
        <v>592100</v>
      </c>
      <c r="K25" s="736"/>
      <c r="L25" s="737"/>
      <c r="M25" s="56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" thickTop="1">
      <c r="A26" s="738"/>
      <c r="B26" s="739"/>
      <c r="C26" s="1223" t="s">
        <v>3437</v>
      </c>
      <c r="D26" s="1223"/>
      <c r="E26" s="739"/>
      <c r="F26" s="739"/>
      <c r="G26" s="739"/>
      <c r="H26" s="741"/>
      <c r="I26" s="739"/>
      <c r="J26" s="742"/>
      <c r="K26" s="743"/>
      <c r="L26" s="744"/>
      <c r="M26" s="56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>
      <c r="A27" s="745"/>
      <c r="B27" s="746"/>
      <c r="C27" s="747" t="s">
        <v>3891</v>
      </c>
      <c r="D27" s="748"/>
      <c r="E27" s="746"/>
      <c r="F27" s="746"/>
      <c r="G27" s="746"/>
      <c r="H27" s="749"/>
      <c r="I27" s="746"/>
      <c r="J27" s="750"/>
      <c r="K27" s="750"/>
      <c r="L27" s="751"/>
      <c r="M27" s="56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45">
      <c r="A28" s="752">
        <v>1</v>
      </c>
      <c r="B28" s="752" t="s">
        <v>3892</v>
      </c>
      <c r="C28" s="753" t="s">
        <v>3437</v>
      </c>
      <c r="D28" s="754" t="s">
        <v>3893</v>
      </c>
      <c r="E28" s="752">
        <v>19</v>
      </c>
      <c r="F28" s="752">
        <v>9</v>
      </c>
      <c r="G28" s="752">
        <v>2567</v>
      </c>
      <c r="H28" s="755">
        <v>2100000</v>
      </c>
      <c r="I28" s="752" t="s">
        <v>3860</v>
      </c>
      <c r="J28" s="756" t="s">
        <v>3806</v>
      </c>
      <c r="K28" s="756" t="s">
        <v>3836</v>
      </c>
      <c r="L28" s="757"/>
      <c r="M28" s="835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" thickBot="1">
      <c r="A29" s="758"/>
      <c r="B29" s="759"/>
      <c r="C29" s="759"/>
      <c r="D29" s="760"/>
      <c r="E29" s="759"/>
      <c r="F29" s="759"/>
      <c r="G29" s="759"/>
      <c r="H29" s="761"/>
      <c r="I29" s="759"/>
      <c r="J29" s="693">
        <v>2100000</v>
      </c>
      <c r="K29" s="762"/>
      <c r="L29" s="763"/>
      <c r="M29" s="56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30.75" thickTop="1">
      <c r="A30" s="678"/>
      <c r="B30" s="679"/>
      <c r="C30" s="764" t="s">
        <v>3894</v>
      </c>
      <c r="D30" s="765"/>
      <c r="E30" s="679"/>
      <c r="F30" s="679"/>
      <c r="G30" s="679"/>
      <c r="H30" s="680"/>
      <c r="I30" s="679"/>
      <c r="J30" s="696"/>
      <c r="K30" s="681"/>
      <c r="L30" s="682"/>
      <c r="M30" s="834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45">
      <c r="A31" s="766">
        <v>1</v>
      </c>
      <c r="B31" s="766" t="s">
        <v>3895</v>
      </c>
      <c r="C31" s="767" t="s">
        <v>3437</v>
      </c>
      <c r="D31" s="768" t="s">
        <v>3896</v>
      </c>
      <c r="E31" s="766">
        <v>25</v>
      </c>
      <c r="F31" s="766">
        <v>9</v>
      </c>
      <c r="G31" s="766">
        <v>2566</v>
      </c>
      <c r="H31" s="769">
        <v>480000</v>
      </c>
      <c r="I31" s="766" t="s">
        <v>3860</v>
      </c>
      <c r="J31" s="770" t="s">
        <v>3256</v>
      </c>
      <c r="K31" s="770" t="s">
        <v>3836</v>
      </c>
      <c r="L31" s="771"/>
      <c r="M31" s="834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" thickBot="1">
      <c r="A32" s="758"/>
      <c r="B32" s="759"/>
      <c r="C32" s="759"/>
      <c r="D32" s="760"/>
      <c r="E32" s="759"/>
      <c r="F32" s="759"/>
      <c r="G32" s="759"/>
      <c r="H32" s="761"/>
      <c r="I32" s="759"/>
      <c r="J32" s="693">
        <v>480000</v>
      </c>
      <c r="K32" s="762"/>
      <c r="L32" s="763"/>
      <c r="M32" s="566"/>
    </row>
    <row r="33" spans="1:26" ht="15.75" thickTop="1" thickBot="1">
      <c r="A33" s="772"/>
      <c r="B33" s="773"/>
      <c r="C33" s="773"/>
      <c r="D33" s="774"/>
      <c r="E33" s="773"/>
      <c r="F33" s="773"/>
      <c r="G33" s="773"/>
      <c r="H33" s="775"/>
      <c r="I33" s="773"/>
      <c r="J33" s="776">
        <f>SUM(J28:J32)</f>
        <v>2580000</v>
      </c>
      <c r="K33" s="777"/>
      <c r="L33" s="778"/>
      <c r="M33" s="566"/>
    </row>
    <row r="34" spans="1:26" ht="15.75" thickTop="1">
      <c r="A34" s="779"/>
      <c r="B34" s="780"/>
      <c r="C34" s="781" t="s">
        <v>1736</v>
      </c>
      <c r="D34" s="782"/>
      <c r="E34" s="780"/>
      <c r="F34" s="780"/>
      <c r="G34" s="780"/>
      <c r="H34" s="783"/>
      <c r="I34" s="780"/>
      <c r="J34" s="784"/>
      <c r="K34" s="785"/>
      <c r="L34" s="786"/>
      <c r="M34" s="56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">
      <c r="A35" s="678"/>
      <c r="B35" s="679"/>
      <c r="C35" s="764" t="s">
        <v>3897</v>
      </c>
      <c r="D35" s="765"/>
      <c r="E35" s="679"/>
      <c r="F35" s="679"/>
      <c r="G35" s="679"/>
      <c r="H35" s="680"/>
      <c r="I35" s="679"/>
      <c r="J35" s="681"/>
      <c r="K35" s="681"/>
      <c r="L35" s="682"/>
      <c r="M35" s="834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71.25">
      <c r="A36" s="714">
        <v>1</v>
      </c>
      <c r="B36" s="714" t="s">
        <v>3898</v>
      </c>
      <c r="C36" s="714" t="s">
        <v>1736</v>
      </c>
      <c r="D36" s="704" t="s">
        <v>3899</v>
      </c>
      <c r="E36" s="714">
        <v>10</v>
      </c>
      <c r="F36" s="714">
        <v>1</v>
      </c>
      <c r="G36" s="714">
        <v>2567</v>
      </c>
      <c r="H36" s="716">
        <v>14980</v>
      </c>
      <c r="I36" s="714" t="s">
        <v>3860</v>
      </c>
      <c r="J36" s="717" t="s">
        <v>3256</v>
      </c>
      <c r="K36" s="717" t="s">
        <v>3861</v>
      </c>
      <c r="L36" s="718" t="s">
        <v>3900</v>
      </c>
      <c r="M36" s="56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" thickBot="1">
      <c r="A37" s="772"/>
      <c r="B37" s="773"/>
      <c r="C37" s="773"/>
      <c r="D37" s="774"/>
      <c r="E37" s="773"/>
      <c r="F37" s="773"/>
      <c r="G37" s="773"/>
      <c r="H37" s="775"/>
      <c r="I37" s="773"/>
      <c r="J37" s="787">
        <v>14980</v>
      </c>
      <c r="K37" s="777"/>
      <c r="L37" s="778"/>
      <c r="M37" s="56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" thickTop="1">
      <c r="A38" s="779"/>
      <c r="B38" s="780"/>
      <c r="C38" s="788" t="s">
        <v>1950</v>
      </c>
      <c r="D38" s="782"/>
      <c r="E38" s="780"/>
      <c r="F38" s="780"/>
      <c r="G38" s="780"/>
      <c r="H38" s="783"/>
      <c r="I38" s="780"/>
      <c r="J38" s="784"/>
      <c r="K38" s="785"/>
      <c r="L38" s="786"/>
      <c r="M38" s="56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30">
      <c r="A39" s="678"/>
      <c r="B39" s="679"/>
      <c r="C39" s="764" t="s">
        <v>3901</v>
      </c>
      <c r="D39" s="765"/>
      <c r="E39" s="679"/>
      <c r="F39" s="679"/>
      <c r="G39" s="679"/>
      <c r="H39" s="680"/>
      <c r="I39" s="679"/>
      <c r="J39" s="681"/>
      <c r="K39" s="681"/>
      <c r="L39" s="682"/>
      <c r="M39" s="834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>
      <c r="A40" s="709">
        <v>1</v>
      </c>
      <c r="B40" s="709" t="s">
        <v>3902</v>
      </c>
      <c r="C40" s="709" t="s">
        <v>1950</v>
      </c>
      <c r="D40" s="710" t="s">
        <v>3903</v>
      </c>
      <c r="E40" s="709">
        <v>1</v>
      </c>
      <c r="F40" s="709">
        <v>7</v>
      </c>
      <c r="G40" s="709">
        <v>2567</v>
      </c>
      <c r="H40" s="711">
        <v>16000</v>
      </c>
      <c r="I40" s="709" t="s">
        <v>3860</v>
      </c>
      <c r="J40" s="712" t="s">
        <v>3806</v>
      </c>
      <c r="K40" s="712" t="s">
        <v>3861</v>
      </c>
      <c r="L40" s="713" t="s">
        <v>3904</v>
      </c>
      <c r="M40" s="566" t="s">
        <v>3905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" thickBot="1">
      <c r="A41" s="689"/>
      <c r="B41" s="690"/>
      <c r="C41" s="690"/>
      <c r="D41" s="691"/>
      <c r="E41" s="690"/>
      <c r="F41" s="690"/>
      <c r="G41" s="690"/>
      <c r="H41" s="692"/>
      <c r="I41" s="690"/>
      <c r="J41" s="708">
        <v>16000</v>
      </c>
      <c r="K41" s="694"/>
      <c r="L41" s="695"/>
      <c r="M41" s="834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" thickTop="1">
      <c r="A42" s="678"/>
      <c r="B42" s="679"/>
      <c r="C42" s="747" t="s">
        <v>3906</v>
      </c>
      <c r="D42" s="765"/>
      <c r="E42" s="679"/>
      <c r="F42" s="679"/>
      <c r="G42" s="679"/>
      <c r="H42" s="680"/>
      <c r="I42" s="679"/>
      <c r="J42" s="696"/>
      <c r="K42" s="681"/>
      <c r="L42" s="682"/>
      <c r="M42" s="834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>
      <c r="A43" s="697">
        <v>1</v>
      </c>
      <c r="B43" s="697" t="s">
        <v>3907</v>
      </c>
      <c r="C43" s="697" t="s">
        <v>1950</v>
      </c>
      <c r="D43" s="698" t="s">
        <v>3908</v>
      </c>
      <c r="E43" s="697">
        <v>15</v>
      </c>
      <c r="F43" s="697">
        <v>11</v>
      </c>
      <c r="G43" s="697">
        <v>2566</v>
      </c>
      <c r="H43" s="699">
        <v>22800</v>
      </c>
      <c r="I43" s="697" t="s">
        <v>3860</v>
      </c>
      <c r="J43" s="700" t="s">
        <v>3256</v>
      </c>
      <c r="K43" s="700" t="s">
        <v>3861</v>
      </c>
      <c r="L43" s="701" t="s">
        <v>3909</v>
      </c>
      <c r="M43" s="834" t="s">
        <v>3910</v>
      </c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" thickBot="1">
      <c r="A44" s="689"/>
      <c r="B44" s="690"/>
      <c r="C44" s="690"/>
      <c r="D44" s="691"/>
      <c r="E44" s="690"/>
      <c r="F44" s="690"/>
      <c r="G44" s="690"/>
      <c r="H44" s="692"/>
      <c r="I44" s="690"/>
      <c r="J44" s="789">
        <v>22800</v>
      </c>
      <c r="K44" s="694"/>
      <c r="L44" s="695"/>
      <c r="M44" s="834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" thickTop="1">
      <c r="A45" s="678"/>
      <c r="B45" s="679"/>
      <c r="C45" s="747" t="s">
        <v>1204</v>
      </c>
      <c r="D45" s="765"/>
      <c r="E45" s="679"/>
      <c r="F45" s="679"/>
      <c r="G45" s="679"/>
      <c r="H45" s="680"/>
      <c r="I45" s="679"/>
      <c r="J45" s="696"/>
      <c r="K45" s="681"/>
      <c r="L45" s="682"/>
      <c r="M45" s="834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>
      <c r="A46" s="697">
        <v>1</v>
      </c>
      <c r="B46" s="697" t="s">
        <v>3911</v>
      </c>
      <c r="C46" s="697" t="s">
        <v>1950</v>
      </c>
      <c r="D46" s="698" t="s">
        <v>3912</v>
      </c>
      <c r="E46" s="697">
        <v>15</v>
      </c>
      <c r="F46" s="697">
        <v>11</v>
      </c>
      <c r="G46" s="697">
        <v>2566</v>
      </c>
      <c r="H46" s="699">
        <v>18500</v>
      </c>
      <c r="I46" s="697" t="s">
        <v>3860</v>
      </c>
      <c r="J46" s="700" t="s">
        <v>3256</v>
      </c>
      <c r="K46" s="700" t="s">
        <v>3861</v>
      </c>
      <c r="L46" s="701" t="s">
        <v>3913</v>
      </c>
      <c r="M46" s="834" t="s">
        <v>3914</v>
      </c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>
      <c r="A47" s="697">
        <v>2</v>
      </c>
      <c r="B47" s="697" t="s">
        <v>3915</v>
      </c>
      <c r="C47" s="697" t="s">
        <v>1950</v>
      </c>
      <c r="D47" s="698" t="s">
        <v>3912</v>
      </c>
      <c r="E47" s="697">
        <v>15</v>
      </c>
      <c r="F47" s="697">
        <v>11</v>
      </c>
      <c r="G47" s="697">
        <v>2566</v>
      </c>
      <c r="H47" s="699">
        <v>18500</v>
      </c>
      <c r="I47" s="697" t="s">
        <v>3860</v>
      </c>
      <c r="J47" s="700" t="s">
        <v>3256</v>
      </c>
      <c r="K47" s="700" t="s">
        <v>3861</v>
      </c>
      <c r="L47" s="701" t="s">
        <v>3913</v>
      </c>
      <c r="M47" s="834" t="s">
        <v>3916</v>
      </c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>
      <c r="A48" s="697">
        <v>3</v>
      </c>
      <c r="B48" s="697" t="s">
        <v>3917</v>
      </c>
      <c r="C48" s="697" t="s">
        <v>1950</v>
      </c>
      <c r="D48" s="698" t="s">
        <v>3912</v>
      </c>
      <c r="E48" s="697">
        <v>15</v>
      </c>
      <c r="F48" s="697">
        <v>11</v>
      </c>
      <c r="G48" s="697">
        <v>2566</v>
      </c>
      <c r="H48" s="699">
        <v>22500</v>
      </c>
      <c r="I48" s="697" t="s">
        <v>3860</v>
      </c>
      <c r="J48" s="700" t="s">
        <v>3256</v>
      </c>
      <c r="K48" s="700" t="s">
        <v>3861</v>
      </c>
      <c r="L48" s="701"/>
      <c r="M48" s="834" t="s">
        <v>3918</v>
      </c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>
      <c r="A49" s="697">
        <v>4</v>
      </c>
      <c r="B49" s="697" t="s">
        <v>3919</v>
      </c>
      <c r="C49" s="697" t="s">
        <v>1950</v>
      </c>
      <c r="D49" s="698" t="s">
        <v>3912</v>
      </c>
      <c r="E49" s="697">
        <v>15</v>
      </c>
      <c r="F49" s="697">
        <v>11</v>
      </c>
      <c r="G49" s="697">
        <v>2566</v>
      </c>
      <c r="H49" s="699">
        <v>18500</v>
      </c>
      <c r="I49" s="697" t="s">
        <v>3860</v>
      </c>
      <c r="J49" s="700" t="s">
        <v>3806</v>
      </c>
      <c r="K49" s="700" t="s">
        <v>3861</v>
      </c>
      <c r="L49" s="701" t="s">
        <v>3913</v>
      </c>
      <c r="M49" s="834" t="s">
        <v>3920</v>
      </c>
    </row>
    <row r="50" spans="1:26">
      <c r="A50" s="697">
        <v>5</v>
      </c>
      <c r="B50" s="697" t="s">
        <v>3921</v>
      </c>
      <c r="C50" s="697" t="s">
        <v>1950</v>
      </c>
      <c r="D50" s="698" t="s">
        <v>3912</v>
      </c>
      <c r="E50" s="697">
        <v>15</v>
      </c>
      <c r="F50" s="697">
        <v>11</v>
      </c>
      <c r="G50" s="697">
        <v>2566</v>
      </c>
      <c r="H50" s="699">
        <v>19000</v>
      </c>
      <c r="I50" s="697" t="s">
        <v>3860</v>
      </c>
      <c r="J50" s="700" t="s">
        <v>3256</v>
      </c>
      <c r="K50" s="700" t="s">
        <v>3861</v>
      </c>
      <c r="L50" s="701"/>
      <c r="M50" s="834" t="s">
        <v>3922</v>
      </c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>
      <c r="A51" s="697">
        <v>6</v>
      </c>
      <c r="B51" s="697" t="s">
        <v>3923</v>
      </c>
      <c r="C51" s="697" t="s">
        <v>1950</v>
      </c>
      <c r="D51" s="698" t="s">
        <v>3912</v>
      </c>
      <c r="E51" s="697">
        <v>15</v>
      </c>
      <c r="F51" s="697">
        <v>11</v>
      </c>
      <c r="G51" s="697">
        <v>2566</v>
      </c>
      <c r="H51" s="699">
        <v>19000</v>
      </c>
      <c r="I51" s="697" t="s">
        <v>3860</v>
      </c>
      <c r="J51" s="700" t="s">
        <v>3806</v>
      </c>
      <c r="K51" s="700" t="s">
        <v>3861</v>
      </c>
      <c r="L51" s="701"/>
      <c r="M51" s="834" t="s">
        <v>3924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>
      <c r="A52" s="697">
        <v>7</v>
      </c>
      <c r="B52" s="697" t="s">
        <v>3925</v>
      </c>
      <c r="C52" s="697" t="s">
        <v>1950</v>
      </c>
      <c r="D52" s="698" t="s">
        <v>3912</v>
      </c>
      <c r="E52" s="697">
        <v>15</v>
      </c>
      <c r="F52" s="697">
        <v>11</v>
      </c>
      <c r="G52" s="697">
        <v>2566</v>
      </c>
      <c r="H52" s="699">
        <v>22500</v>
      </c>
      <c r="I52" s="697" t="s">
        <v>3860</v>
      </c>
      <c r="J52" s="700" t="s">
        <v>3806</v>
      </c>
      <c r="K52" s="700" t="s">
        <v>3861</v>
      </c>
      <c r="L52" s="701" t="s">
        <v>3913</v>
      </c>
      <c r="M52" s="834" t="s">
        <v>3926</v>
      </c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" thickBot="1">
      <c r="A53" s="689"/>
      <c r="B53" s="690"/>
      <c r="C53" s="690"/>
      <c r="D53" s="691"/>
      <c r="E53" s="690"/>
      <c r="F53" s="690"/>
      <c r="G53" s="690"/>
      <c r="H53" s="692"/>
      <c r="I53" s="690"/>
      <c r="J53" s="708">
        <v>138500</v>
      </c>
      <c r="K53" s="694"/>
      <c r="L53" s="695"/>
      <c r="M53" s="834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" thickTop="1">
      <c r="A54" s="678"/>
      <c r="B54" s="679"/>
      <c r="C54" s="1224" t="s">
        <v>3927</v>
      </c>
      <c r="D54" s="1224"/>
      <c r="E54" s="679"/>
      <c r="F54" s="679"/>
      <c r="G54" s="679"/>
      <c r="H54" s="680"/>
      <c r="I54" s="679"/>
      <c r="J54" s="696"/>
      <c r="K54" s="681"/>
      <c r="L54" s="682"/>
      <c r="M54" s="834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242.25">
      <c r="A55" s="709">
        <v>1</v>
      </c>
      <c r="B55" s="709" t="s">
        <v>3928</v>
      </c>
      <c r="C55" s="709" t="s">
        <v>1950</v>
      </c>
      <c r="D55" s="710" t="s">
        <v>3929</v>
      </c>
      <c r="E55" s="709">
        <v>25</v>
      </c>
      <c r="F55" s="709">
        <v>7</v>
      </c>
      <c r="G55" s="709">
        <v>2567</v>
      </c>
      <c r="H55" s="711">
        <v>490000</v>
      </c>
      <c r="I55" s="709" t="s">
        <v>3860</v>
      </c>
      <c r="J55" s="712" t="s">
        <v>3806</v>
      </c>
      <c r="K55" s="712" t="s">
        <v>3861</v>
      </c>
      <c r="L55" s="713"/>
      <c r="M55" s="56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" thickBot="1">
      <c r="A56" s="758"/>
      <c r="B56" s="759"/>
      <c r="C56" s="759"/>
      <c r="D56" s="760"/>
      <c r="E56" s="759"/>
      <c r="F56" s="759"/>
      <c r="G56" s="759"/>
      <c r="H56" s="790"/>
      <c r="I56" s="759"/>
      <c r="J56" s="708">
        <v>490000</v>
      </c>
      <c r="K56" s="762"/>
      <c r="L56" s="763"/>
      <c r="M56" s="56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thickTop="1" thickBot="1">
      <c r="A57" s="772"/>
      <c r="B57" s="773"/>
      <c r="C57" s="773"/>
      <c r="D57" s="774"/>
      <c r="E57" s="773"/>
      <c r="F57" s="773"/>
      <c r="G57" s="773"/>
      <c r="H57" s="791"/>
      <c r="I57" s="773"/>
      <c r="J57" s="776">
        <f>SUM(J40:J56)</f>
        <v>667300</v>
      </c>
      <c r="K57" s="777"/>
      <c r="L57" s="778"/>
      <c r="M57" s="56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thickTop="1" thickBot="1">
      <c r="A58" s="792"/>
      <c r="B58" s="793"/>
      <c r="C58" s="793"/>
      <c r="D58" s="794"/>
      <c r="E58" s="793"/>
      <c r="F58" s="793"/>
      <c r="G58" s="793"/>
      <c r="H58" s="795">
        <f>SUM(H4:H57)</f>
        <v>3854380</v>
      </c>
      <c r="I58" s="793"/>
      <c r="J58" s="796"/>
      <c r="K58" s="797"/>
      <c r="L58" s="798"/>
      <c r="M58" s="56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21.75" thickTop="1" thickBot="1">
      <c r="A59" s="119"/>
      <c r="B59" s="120"/>
      <c r="C59" s="120"/>
      <c r="D59" s="120"/>
      <c r="E59" s="120"/>
      <c r="F59" s="120"/>
      <c r="G59" s="120"/>
      <c r="H59" s="120"/>
      <c r="I59" s="125"/>
      <c r="J59" s="120"/>
      <c r="K59" s="120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1" spans="1:26" ht="20.25">
      <c r="A61" s="116"/>
      <c r="B61" s="610"/>
      <c r="C61" s="117"/>
      <c r="D61" s="117"/>
      <c r="E61" s="117"/>
      <c r="F61" s="117"/>
      <c r="G61" s="117"/>
      <c r="H61" s="117"/>
      <c r="I61" s="118"/>
      <c r="J61" s="117"/>
      <c r="K61" s="117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20.25">
      <c r="A62" s="119"/>
      <c r="B62" s="612"/>
      <c r="C62" s="126"/>
      <c r="D62" s="126"/>
      <c r="E62" s="120"/>
      <c r="F62" s="120"/>
      <c r="G62" s="120"/>
      <c r="H62" s="120"/>
      <c r="I62" s="121"/>
      <c r="J62" s="120"/>
      <c r="K62" s="120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20.25">
      <c r="A63" s="119"/>
      <c r="B63" s="122"/>
      <c r="C63" s="123"/>
      <c r="D63" s="613"/>
      <c r="E63" s="127"/>
      <c r="F63" s="120"/>
      <c r="G63" s="120"/>
      <c r="H63" s="123"/>
      <c r="I63" s="124"/>
      <c r="J63" s="122"/>
      <c r="K63" s="122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20.25">
      <c r="A64" s="119"/>
      <c r="B64" s="122"/>
      <c r="C64" s="123"/>
      <c r="D64" s="611"/>
      <c r="E64" s="127"/>
      <c r="F64" s="120"/>
      <c r="G64" s="120"/>
      <c r="H64" s="123"/>
      <c r="I64" s="124"/>
      <c r="J64" s="122"/>
      <c r="K64" s="122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20.25">
      <c r="A65" s="119"/>
      <c r="B65" s="122"/>
      <c r="C65" s="123"/>
      <c r="D65" s="611"/>
      <c r="E65" s="127"/>
      <c r="F65" s="120"/>
      <c r="G65" s="120"/>
      <c r="H65" s="123"/>
      <c r="I65" s="124"/>
      <c r="J65" s="122"/>
      <c r="K65" s="122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20.25">
      <c r="A66" s="119"/>
      <c r="B66" s="613"/>
      <c r="C66" s="123"/>
      <c r="D66" s="122"/>
      <c r="E66" s="127"/>
      <c r="F66" s="120"/>
      <c r="G66" s="120"/>
      <c r="H66" s="123"/>
      <c r="I66" s="124"/>
      <c r="J66" s="122"/>
      <c r="K66" s="122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20.25">
      <c r="A67" s="119"/>
      <c r="B67" s="611"/>
      <c r="C67" s="123"/>
      <c r="D67" s="122"/>
      <c r="E67" s="127"/>
      <c r="F67" s="120"/>
      <c r="G67" s="120"/>
      <c r="H67" s="123"/>
      <c r="I67" s="124"/>
      <c r="J67" s="122"/>
      <c r="K67" s="122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20.25">
      <c r="A68" s="119"/>
      <c r="B68" s="611"/>
      <c r="C68" s="123"/>
      <c r="D68" s="122"/>
      <c r="E68" s="127"/>
      <c r="F68" s="120"/>
      <c r="G68" s="120"/>
      <c r="H68" s="123"/>
      <c r="I68" s="124"/>
      <c r="J68" s="122"/>
      <c r="K68" s="122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20.25">
      <c r="A69" s="119"/>
      <c r="B69" s="122"/>
      <c r="C69" s="123"/>
      <c r="D69" s="613"/>
      <c r="E69" s="127"/>
      <c r="F69" s="120"/>
      <c r="G69" s="120"/>
      <c r="H69" s="123"/>
      <c r="I69" s="124"/>
      <c r="J69" s="122"/>
      <c r="K69" s="122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20.25">
      <c r="A70" s="119"/>
      <c r="B70" s="122"/>
      <c r="C70" s="123"/>
      <c r="D70" s="613"/>
      <c r="E70" s="127"/>
      <c r="F70" s="120"/>
      <c r="G70" s="120"/>
      <c r="H70" s="123"/>
      <c r="I70" s="124"/>
      <c r="J70" s="122"/>
      <c r="K70" s="122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20.25">
      <c r="A71" s="119"/>
      <c r="B71" s="122"/>
      <c r="C71" s="123"/>
      <c r="D71" s="611"/>
      <c r="E71" s="122"/>
      <c r="F71" s="120"/>
      <c r="G71" s="120"/>
      <c r="H71" s="123"/>
      <c r="I71" s="128"/>
      <c r="J71" s="122"/>
      <c r="K71" s="122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21" thickBot="1">
      <c r="A72" s="119"/>
      <c r="B72" s="120"/>
      <c r="C72" s="120"/>
      <c r="D72" s="120"/>
      <c r="E72" s="120"/>
      <c r="F72" s="120"/>
      <c r="G72" s="120"/>
      <c r="H72" s="120"/>
      <c r="I72" s="125"/>
      <c r="J72" s="120"/>
      <c r="K72" s="120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</sheetData>
  <mergeCells count="8">
    <mergeCell ref="C26:D26"/>
    <mergeCell ref="C54:D54"/>
    <mergeCell ref="E1:G1"/>
    <mergeCell ref="C3:D3"/>
    <mergeCell ref="C6:D6"/>
    <mergeCell ref="C14:D14"/>
    <mergeCell ref="C19:D19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858-0983-479A-ACD1-6BE00DF02C9D}">
  <sheetPr>
    <tabColor rgb="FFFF0000"/>
  </sheetPr>
  <dimension ref="A1:M178"/>
  <sheetViews>
    <sheetView view="pageBreakPreview" topLeftCell="A119" zoomScaleSheetLayoutView="100" workbookViewId="0">
      <selection activeCell="C134" sqref="C134"/>
    </sheetView>
  </sheetViews>
  <sheetFormatPr defaultColWidth="9" defaultRowHeight="14.25"/>
  <cols>
    <col min="1" max="1" width="5.25" style="36" customWidth="1"/>
    <col min="2" max="2" width="38.125" style="36" customWidth="1"/>
    <col min="3" max="3" width="13.25" style="36" customWidth="1"/>
    <col min="4" max="4" width="9.75" style="36" customWidth="1"/>
    <col min="5" max="5" width="15.875" style="87" customWidth="1"/>
    <col min="6" max="6" width="12.25" style="36" customWidth="1"/>
    <col min="7" max="7" width="6.25" style="36" customWidth="1"/>
    <col min="8" max="8" width="5.625" style="36" customWidth="1"/>
    <col min="9" max="11" width="6.25" style="36" customWidth="1"/>
    <col min="12" max="12" width="7.625" style="36" customWidth="1"/>
    <col min="13" max="13" width="23.125" style="36" customWidth="1"/>
    <col min="14" max="16384" width="9" style="36"/>
  </cols>
  <sheetData>
    <row r="1" spans="1:13" s="44" customFormat="1" ht="19.5">
      <c r="A1" s="1231" t="s">
        <v>3255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s="44" customFormat="1" ht="19.5">
      <c r="A2" s="1231" t="s">
        <v>3563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s="44" customFormat="1" ht="19.5">
      <c r="A3" s="37"/>
      <c r="B3" s="37"/>
      <c r="C3" s="37"/>
      <c r="D3" s="37"/>
      <c r="E3" s="86"/>
      <c r="F3" s="37"/>
      <c r="G3" s="37"/>
      <c r="H3" s="37"/>
      <c r="I3" s="37"/>
      <c r="J3" s="37"/>
      <c r="K3" s="37"/>
      <c r="L3" s="37"/>
      <c r="M3" s="37"/>
    </row>
    <row r="4" spans="1:13" s="44" customFormat="1" ht="19.5" hidden="1">
      <c r="A4" s="38" t="s">
        <v>144</v>
      </c>
      <c r="B4" s="1229" t="s">
        <v>0</v>
      </c>
      <c r="C4" s="1229" t="s">
        <v>1</v>
      </c>
      <c r="D4" s="39" t="s">
        <v>28</v>
      </c>
      <c r="E4" s="1234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s="44" customFormat="1" ht="19.5">
      <c r="A5" s="40" t="s">
        <v>145</v>
      </c>
      <c r="B5" s="1232"/>
      <c r="C5" s="1232"/>
      <c r="D5" s="41" t="s">
        <v>37</v>
      </c>
      <c r="E5" s="1235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s="44" customFormat="1" ht="19.5">
      <c r="A6" s="42"/>
      <c r="B6" s="1233"/>
      <c r="C6" s="1233"/>
      <c r="D6" s="43"/>
      <c r="E6" s="1236"/>
      <c r="F6" s="1230"/>
      <c r="G6" s="1230"/>
      <c r="H6" s="1230"/>
      <c r="I6" s="42" t="s">
        <v>38</v>
      </c>
      <c r="J6" s="1230"/>
      <c r="K6" s="42" t="s">
        <v>39</v>
      </c>
      <c r="L6" s="42" t="s">
        <v>40</v>
      </c>
      <c r="M6" s="1230"/>
    </row>
    <row r="7" spans="1:13" s="44" customFormat="1" ht="19.5">
      <c r="A7" s="45"/>
      <c r="B7" s="582" t="s">
        <v>1739</v>
      </c>
      <c r="C7" s="45"/>
      <c r="D7" s="47"/>
      <c r="E7" s="609"/>
      <c r="F7" s="90"/>
      <c r="G7" s="90"/>
      <c r="H7" s="90"/>
      <c r="I7" s="45"/>
      <c r="J7" s="90"/>
      <c r="K7" s="45"/>
      <c r="L7" s="45"/>
      <c r="M7" s="90"/>
    </row>
    <row r="8" spans="1:13" s="44" customFormat="1" ht="19.5" customHeight="1">
      <c r="A8" s="82"/>
      <c r="B8" s="582" t="s">
        <v>65</v>
      </c>
      <c r="C8" s="82"/>
      <c r="D8" s="84"/>
      <c r="E8" s="85"/>
      <c r="F8" s="141"/>
      <c r="G8" s="1"/>
      <c r="H8" s="142"/>
      <c r="I8" s="1"/>
      <c r="J8" s="1"/>
      <c r="K8" s="1"/>
      <c r="L8" s="1"/>
      <c r="M8" s="1"/>
    </row>
    <row r="9" spans="1:13" s="44" customFormat="1" ht="19.5" customHeight="1">
      <c r="A9" s="617">
        <v>1</v>
      </c>
      <c r="B9" s="567" t="s">
        <v>1270</v>
      </c>
      <c r="C9" s="584" t="s">
        <v>1271</v>
      </c>
      <c r="D9" s="585">
        <v>230344</v>
      </c>
      <c r="E9" s="586">
        <v>3824</v>
      </c>
      <c r="F9" s="580" t="s">
        <v>3178</v>
      </c>
      <c r="G9" s="1"/>
      <c r="H9" s="587" t="s">
        <v>3565</v>
      </c>
      <c r="I9" s="1"/>
      <c r="J9" s="567"/>
      <c r="K9" s="1"/>
      <c r="L9" s="567"/>
      <c r="M9" s="580" t="s">
        <v>3566</v>
      </c>
    </row>
    <row r="10" spans="1:13" s="44" customFormat="1" ht="19.5">
      <c r="A10" s="617">
        <v>2</v>
      </c>
      <c r="B10" s="567" t="s">
        <v>1272</v>
      </c>
      <c r="C10" s="584" t="s">
        <v>1273</v>
      </c>
      <c r="D10" s="585">
        <v>230340</v>
      </c>
      <c r="E10" s="586">
        <v>3824</v>
      </c>
      <c r="F10" s="580" t="s">
        <v>3178</v>
      </c>
      <c r="G10" s="1"/>
      <c r="H10" s="587" t="s">
        <v>3565</v>
      </c>
      <c r="I10" s="1"/>
      <c r="J10" s="567"/>
      <c r="K10" s="1"/>
      <c r="L10" s="567"/>
      <c r="M10" s="580" t="s">
        <v>3566</v>
      </c>
    </row>
    <row r="11" spans="1:13" s="44" customFormat="1" ht="19.5">
      <c r="A11" s="617">
        <v>3</v>
      </c>
      <c r="B11" s="567" t="s">
        <v>99</v>
      </c>
      <c r="C11" s="584" t="s">
        <v>181</v>
      </c>
      <c r="D11" s="585">
        <v>241872</v>
      </c>
      <c r="E11" s="586">
        <v>3380</v>
      </c>
      <c r="F11" s="580" t="s">
        <v>3490</v>
      </c>
      <c r="G11" s="1"/>
      <c r="H11" s="587" t="s">
        <v>3565</v>
      </c>
      <c r="I11" s="3"/>
      <c r="J11" s="567"/>
      <c r="K11" s="3"/>
      <c r="L11" s="567"/>
      <c r="M11" s="588">
        <v>1478.75</v>
      </c>
    </row>
    <row r="12" spans="1:13" s="44" customFormat="1" ht="19.5">
      <c r="A12" s="567"/>
      <c r="B12" s="567"/>
      <c r="C12" s="567"/>
      <c r="D12" s="585"/>
      <c r="E12" s="567"/>
      <c r="F12" s="580"/>
      <c r="G12" s="1"/>
      <c r="H12" s="567"/>
      <c r="I12" s="1"/>
      <c r="J12" s="567"/>
      <c r="K12" s="1"/>
      <c r="L12" s="567"/>
      <c r="M12" s="567"/>
    </row>
    <row r="13" spans="1:13" s="44" customFormat="1" ht="19.5">
      <c r="A13" s="581"/>
      <c r="B13" s="582" t="s">
        <v>190</v>
      </c>
      <c r="C13" s="581"/>
      <c r="D13" s="589"/>
      <c r="E13" s="581"/>
      <c r="F13" s="590"/>
      <c r="G13" s="1"/>
      <c r="H13" s="581"/>
      <c r="I13" s="1"/>
      <c r="J13" s="581"/>
      <c r="K13" s="1"/>
      <c r="L13" s="581"/>
      <c r="M13" s="581"/>
    </row>
    <row r="14" spans="1:13" s="44" customFormat="1" ht="19.5">
      <c r="A14" s="617">
        <v>4</v>
      </c>
      <c r="B14" s="567" t="s">
        <v>3567</v>
      </c>
      <c r="C14" s="584" t="s">
        <v>1306</v>
      </c>
      <c r="D14" s="585">
        <v>230340</v>
      </c>
      <c r="E14" s="586">
        <v>3000</v>
      </c>
      <c r="F14" s="580" t="s">
        <v>3178</v>
      </c>
      <c r="G14" s="1"/>
      <c r="H14" s="587" t="s">
        <v>3565</v>
      </c>
      <c r="I14" s="1"/>
      <c r="J14" s="567"/>
      <c r="K14" s="1"/>
      <c r="L14" s="567"/>
      <c r="M14" s="580" t="s">
        <v>3566</v>
      </c>
    </row>
    <row r="15" spans="1:13" s="44" customFormat="1" ht="19.5">
      <c r="A15" s="617">
        <v>5</v>
      </c>
      <c r="B15" s="567" t="s">
        <v>3567</v>
      </c>
      <c r="C15" s="584" t="s">
        <v>1307</v>
      </c>
      <c r="D15" s="585">
        <v>230340</v>
      </c>
      <c r="E15" s="586">
        <v>3000</v>
      </c>
      <c r="F15" s="580" t="s">
        <v>3178</v>
      </c>
      <c r="G15" s="1"/>
      <c r="H15" s="587" t="s">
        <v>3565</v>
      </c>
      <c r="I15" s="1"/>
      <c r="J15" s="567"/>
      <c r="K15" s="1"/>
      <c r="L15" s="567"/>
      <c r="M15" s="580" t="s">
        <v>3566</v>
      </c>
    </row>
    <row r="16" spans="1:13" s="44" customFormat="1" ht="19.5">
      <c r="A16" s="617">
        <v>6</v>
      </c>
      <c r="B16" s="567" t="s">
        <v>3567</v>
      </c>
      <c r="C16" s="584" t="s">
        <v>1308</v>
      </c>
      <c r="D16" s="585">
        <v>230340</v>
      </c>
      <c r="E16" s="586">
        <v>3000</v>
      </c>
      <c r="F16" s="580" t="s">
        <v>3178</v>
      </c>
      <c r="G16" s="1"/>
      <c r="H16" s="587" t="s">
        <v>3565</v>
      </c>
      <c r="I16" s="1"/>
      <c r="J16" s="567"/>
      <c r="K16" s="1"/>
      <c r="L16" s="567"/>
      <c r="M16" s="580" t="s">
        <v>3566</v>
      </c>
    </row>
    <row r="17" spans="1:13" s="44" customFormat="1" ht="19.5">
      <c r="A17" s="617">
        <v>7</v>
      </c>
      <c r="B17" s="567" t="s">
        <v>3567</v>
      </c>
      <c r="C17" s="513" t="s">
        <v>1309</v>
      </c>
      <c r="D17" s="585">
        <v>230340</v>
      </c>
      <c r="E17" s="586">
        <v>3000</v>
      </c>
      <c r="F17" s="580" t="s">
        <v>3178</v>
      </c>
      <c r="G17" s="82"/>
      <c r="H17" s="587" t="s">
        <v>3565</v>
      </c>
      <c r="I17" s="1"/>
      <c r="J17" s="567"/>
      <c r="K17" s="1"/>
      <c r="L17" s="567"/>
      <c r="M17" s="580" t="s">
        <v>3566</v>
      </c>
    </row>
    <row r="18" spans="1:13" s="44" customFormat="1" ht="19.5">
      <c r="A18" s="617">
        <v>8</v>
      </c>
      <c r="B18" s="567" t="s">
        <v>3567</v>
      </c>
      <c r="C18" s="584" t="s">
        <v>1310</v>
      </c>
      <c r="D18" s="585">
        <v>230340</v>
      </c>
      <c r="E18" s="586">
        <v>3000</v>
      </c>
      <c r="F18" s="580" t="s">
        <v>3178</v>
      </c>
      <c r="G18" s="1"/>
      <c r="H18" s="587" t="s">
        <v>3565</v>
      </c>
      <c r="I18" s="1"/>
      <c r="J18" s="567"/>
      <c r="K18" s="1"/>
      <c r="L18" s="567"/>
      <c r="M18" s="580" t="s">
        <v>3566</v>
      </c>
    </row>
    <row r="19" spans="1:13" s="44" customFormat="1" ht="19.5">
      <c r="A19" s="617">
        <v>9</v>
      </c>
      <c r="B19" s="567" t="s">
        <v>3567</v>
      </c>
      <c r="C19" s="584" t="s">
        <v>1311</v>
      </c>
      <c r="D19" s="585">
        <v>230340</v>
      </c>
      <c r="E19" s="586">
        <v>3000</v>
      </c>
      <c r="F19" s="580" t="s">
        <v>3178</v>
      </c>
      <c r="G19" s="1"/>
      <c r="H19" s="587" t="s">
        <v>3565</v>
      </c>
      <c r="I19" s="142"/>
      <c r="J19" s="567"/>
      <c r="K19" s="1"/>
      <c r="L19" s="567"/>
      <c r="M19" s="580" t="s">
        <v>3566</v>
      </c>
    </row>
    <row r="20" spans="1:13" s="44" customFormat="1" ht="19.5" customHeight="1">
      <c r="A20" s="617">
        <v>10</v>
      </c>
      <c r="B20" s="567" t="s">
        <v>3567</v>
      </c>
      <c r="C20" s="584" t="s">
        <v>1312</v>
      </c>
      <c r="D20" s="585">
        <v>230340</v>
      </c>
      <c r="E20" s="586">
        <v>3000</v>
      </c>
      <c r="F20" s="580" t="s">
        <v>3178</v>
      </c>
      <c r="G20" s="35"/>
      <c r="H20" s="587" t="s">
        <v>3565</v>
      </c>
      <c r="I20" s="142"/>
      <c r="J20" s="567"/>
      <c r="K20" s="1"/>
      <c r="L20" s="567"/>
      <c r="M20" s="580" t="s">
        <v>3566</v>
      </c>
    </row>
    <row r="21" spans="1:13" s="44" customFormat="1" ht="19.5" customHeight="1">
      <c r="A21" s="617">
        <v>11</v>
      </c>
      <c r="B21" s="567" t="s">
        <v>3567</v>
      </c>
      <c r="C21" s="584" t="s">
        <v>1314</v>
      </c>
      <c r="D21" s="585">
        <v>230340</v>
      </c>
      <c r="E21" s="586">
        <v>3000</v>
      </c>
      <c r="F21" s="580" t="s">
        <v>3178</v>
      </c>
      <c r="G21" s="1"/>
      <c r="H21" s="587" t="s">
        <v>3565</v>
      </c>
      <c r="I21" s="142"/>
      <c r="J21" s="567"/>
      <c r="K21" s="1"/>
      <c r="L21" s="567"/>
      <c r="M21" s="580" t="s">
        <v>3566</v>
      </c>
    </row>
    <row r="22" spans="1:13" s="44" customFormat="1" ht="19.5">
      <c r="A22" s="617">
        <v>12</v>
      </c>
      <c r="B22" s="567" t="s">
        <v>1315</v>
      </c>
      <c r="C22" s="584" t="s">
        <v>1316</v>
      </c>
      <c r="D22" s="585">
        <v>230340</v>
      </c>
      <c r="E22" s="586">
        <v>1400</v>
      </c>
      <c r="F22" s="580" t="s">
        <v>3178</v>
      </c>
      <c r="G22" s="1"/>
      <c r="H22" s="587" t="s">
        <v>3565</v>
      </c>
      <c r="I22" s="142"/>
      <c r="J22" s="567"/>
      <c r="K22" s="1"/>
      <c r="L22" s="567"/>
      <c r="M22" s="580" t="s">
        <v>3566</v>
      </c>
    </row>
    <row r="23" spans="1:13" s="44" customFormat="1" ht="19.5">
      <c r="A23" s="617">
        <v>13</v>
      </c>
      <c r="B23" s="567" t="s">
        <v>1315</v>
      </c>
      <c r="C23" s="584" t="s">
        <v>1318</v>
      </c>
      <c r="D23" s="585">
        <v>230135</v>
      </c>
      <c r="E23" s="586">
        <v>1400</v>
      </c>
      <c r="F23" s="580" t="s">
        <v>3178</v>
      </c>
      <c r="G23" s="1"/>
      <c r="H23" s="587" t="s">
        <v>3565</v>
      </c>
      <c r="I23" s="142"/>
      <c r="J23" s="567"/>
      <c r="K23" s="1"/>
      <c r="L23" s="567"/>
      <c r="M23" s="580" t="s">
        <v>3566</v>
      </c>
    </row>
    <row r="24" spans="1:13" s="44" customFormat="1" ht="19.5">
      <c r="A24" s="617">
        <v>14</v>
      </c>
      <c r="B24" s="567" t="s">
        <v>3568</v>
      </c>
      <c r="C24" s="584" t="s">
        <v>1670</v>
      </c>
      <c r="D24" s="591">
        <v>232692</v>
      </c>
      <c r="E24" s="592">
        <v>900</v>
      </c>
      <c r="F24" s="580" t="s">
        <v>3173</v>
      </c>
      <c r="G24" s="1"/>
      <c r="H24" s="587" t="s">
        <v>3565</v>
      </c>
      <c r="I24" s="142"/>
      <c r="J24" s="567"/>
      <c r="K24" s="1"/>
      <c r="L24" s="567"/>
      <c r="M24" s="580" t="s">
        <v>3566</v>
      </c>
    </row>
    <row r="25" spans="1:13" s="44" customFormat="1" ht="19.5">
      <c r="A25" s="617">
        <v>15</v>
      </c>
      <c r="B25" s="567" t="s">
        <v>1319</v>
      </c>
      <c r="C25" s="584" t="s">
        <v>1324</v>
      </c>
      <c r="D25" s="585">
        <v>233998</v>
      </c>
      <c r="E25" s="592">
        <v>2580</v>
      </c>
      <c r="F25" s="580" t="s">
        <v>3178</v>
      </c>
      <c r="G25" s="1"/>
      <c r="H25" s="587" t="s">
        <v>3565</v>
      </c>
      <c r="I25" s="142"/>
      <c r="J25" s="567"/>
      <c r="K25" s="1"/>
      <c r="L25" s="567"/>
      <c r="M25" s="580" t="s">
        <v>3566</v>
      </c>
    </row>
    <row r="26" spans="1:13" s="44" customFormat="1" ht="19.5">
      <c r="A26" s="617">
        <v>16</v>
      </c>
      <c r="B26" s="567" t="s">
        <v>1319</v>
      </c>
      <c r="C26" s="584" t="s">
        <v>1329</v>
      </c>
      <c r="D26" s="585">
        <v>233998</v>
      </c>
      <c r="E26" s="586">
        <v>2580</v>
      </c>
      <c r="F26" s="580" t="s">
        <v>3178</v>
      </c>
      <c r="G26" s="1"/>
      <c r="H26" s="587" t="s">
        <v>3565</v>
      </c>
      <c r="I26" s="142"/>
      <c r="J26" s="567"/>
      <c r="K26" s="1"/>
      <c r="L26" s="567"/>
      <c r="M26" s="580" t="s">
        <v>3566</v>
      </c>
    </row>
    <row r="27" spans="1:13" s="44" customFormat="1" ht="19.5">
      <c r="A27" s="617">
        <v>17</v>
      </c>
      <c r="B27" s="567" t="s">
        <v>1319</v>
      </c>
      <c r="C27" s="584" t="s">
        <v>1336</v>
      </c>
      <c r="D27" s="585">
        <v>233998</v>
      </c>
      <c r="E27" s="586">
        <v>2580</v>
      </c>
      <c r="F27" s="580" t="s">
        <v>3178</v>
      </c>
      <c r="G27" s="1"/>
      <c r="H27" s="587" t="s">
        <v>3565</v>
      </c>
      <c r="I27" s="1"/>
      <c r="J27" s="567"/>
      <c r="K27" s="1"/>
      <c r="L27" s="567"/>
      <c r="M27" s="580" t="s">
        <v>3566</v>
      </c>
    </row>
    <row r="28" spans="1:13" s="44" customFormat="1" ht="19.5">
      <c r="A28" s="617">
        <v>18</v>
      </c>
      <c r="B28" s="567" t="s">
        <v>1319</v>
      </c>
      <c r="C28" s="584" t="s">
        <v>1340</v>
      </c>
      <c r="D28" s="585">
        <v>233998</v>
      </c>
      <c r="E28" s="586">
        <v>2580</v>
      </c>
      <c r="F28" s="580" t="s">
        <v>3178</v>
      </c>
      <c r="G28" s="1"/>
      <c r="H28" s="587" t="s">
        <v>3565</v>
      </c>
      <c r="I28" s="1"/>
      <c r="J28" s="567"/>
      <c r="K28" s="1"/>
      <c r="L28" s="567"/>
      <c r="M28" s="580" t="s">
        <v>3566</v>
      </c>
    </row>
    <row r="29" spans="1:13" s="44" customFormat="1" ht="19.5">
      <c r="A29" s="617">
        <v>19</v>
      </c>
      <c r="B29" s="567" t="s">
        <v>193</v>
      </c>
      <c r="C29" s="584" t="s">
        <v>339</v>
      </c>
      <c r="D29" s="585">
        <v>234110</v>
      </c>
      <c r="E29" s="586">
        <v>700</v>
      </c>
      <c r="F29" s="580" t="s">
        <v>3569</v>
      </c>
      <c r="G29" s="1"/>
      <c r="H29" s="587" t="s">
        <v>3565</v>
      </c>
      <c r="I29" s="1"/>
      <c r="J29" s="567"/>
      <c r="K29" s="1"/>
      <c r="L29" s="567"/>
      <c r="M29" s="580" t="s">
        <v>3566</v>
      </c>
    </row>
    <row r="30" spans="1:13" s="44" customFormat="1" ht="19.5">
      <c r="A30" s="617">
        <v>20</v>
      </c>
      <c r="B30" s="567" t="s">
        <v>193</v>
      </c>
      <c r="C30" s="584" t="s">
        <v>340</v>
      </c>
      <c r="D30" s="585">
        <v>234110</v>
      </c>
      <c r="E30" s="586">
        <v>700</v>
      </c>
      <c r="F30" s="580" t="s">
        <v>3569</v>
      </c>
      <c r="G30" s="1"/>
      <c r="H30" s="587" t="s">
        <v>3565</v>
      </c>
      <c r="I30" s="1"/>
      <c r="J30" s="567"/>
      <c r="K30" s="1"/>
      <c r="L30" s="567"/>
      <c r="M30" s="580" t="s">
        <v>3566</v>
      </c>
    </row>
    <row r="31" spans="1:13" s="44" customFormat="1" ht="19.5">
      <c r="A31" s="617">
        <v>21</v>
      </c>
      <c r="B31" s="567" t="s">
        <v>193</v>
      </c>
      <c r="C31" s="584" t="s">
        <v>341</v>
      </c>
      <c r="D31" s="585">
        <v>234110</v>
      </c>
      <c r="E31" s="586">
        <v>700</v>
      </c>
      <c r="F31" s="580" t="s">
        <v>3569</v>
      </c>
      <c r="G31" s="1"/>
      <c r="H31" s="587" t="s">
        <v>3565</v>
      </c>
      <c r="I31" s="1"/>
      <c r="J31" s="567"/>
      <c r="K31" s="1"/>
      <c r="L31" s="567"/>
      <c r="M31" s="580" t="s">
        <v>3566</v>
      </c>
    </row>
    <row r="32" spans="1:13" s="44" customFormat="1" ht="19.5">
      <c r="A32" s="617">
        <v>22</v>
      </c>
      <c r="B32" s="567" t="s">
        <v>193</v>
      </c>
      <c r="C32" s="584" t="s">
        <v>342</v>
      </c>
      <c r="D32" s="585">
        <v>234110</v>
      </c>
      <c r="E32" s="586">
        <v>700</v>
      </c>
      <c r="F32" s="580" t="s">
        <v>3569</v>
      </c>
      <c r="G32" s="1"/>
      <c r="H32" s="587" t="s">
        <v>3565</v>
      </c>
      <c r="I32" s="1"/>
      <c r="J32" s="567"/>
      <c r="K32" s="1"/>
      <c r="L32" s="567"/>
      <c r="M32" s="580" t="s">
        <v>3566</v>
      </c>
    </row>
    <row r="33" spans="1:13" s="44" customFormat="1" ht="19.5">
      <c r="A33" s="617">
        <v>23</v>
      </c>
      <c r="B33" s="567" t="s">
        <v>3570</v>
      </c>
      <c r="C33" s="584" t="s">
        <v>1348</v>
      </c>
      <c r="D33" s="585">
        <v>235424</v>
      </c>
      <c r="E33" s="586">
        <v>3000</v>
      </c>
      <c r="F33" s="579" t="s">
        <v>3178</v>
      </c>
      <c r="G33" s="1"/>
      <c r="H33" s="587" t="s">
        <v>3565</v>
      </c>
      <c r="I33" s="1"/>
      <c r="J33" s="567"/>
      <c r="K33" s="1"/>
      <c r="L33" s="567"/>
      <c r="M33" s="580" t="s">
        <v>3566</v>
      </c>
    </row>
    <row r="34" spans="1:13" s="44" customFormat="1" ht="19.5">
      <c r="A34" s="617">
        <v>24</v>
      </c>
      <c r="B34" s="567" t="s">
        <v>3570</v>
      </c>
      <c r="C34" s="584" t="s">
        <v>1349</v>
      </c>
      <c r="D34" s="585">
        <v>235424</v>
      </c>
      <c r="E34" s="586">
        <v>3000</v>
      </c>
      <c r="F34" s="579" t="s">
        <v>3178</v>
      </c>
      <c r="G34" s="1"/>
      <c r="H34" s="587" t="s">
        <v>3565</v>
      </c>
      <c r="I34" s="1"/>
      <c r="J34" s="567"/>
      <c r="K34" s="1"/>
      <c r="L34" s="567"/>
      <c r="M34" s="580" t="s">
        <v>3566</v>
      </c>
    </row>
    <row r="35" spans="1:13" s="44" customFormat="1" ht="19.5">
      <c r="A35" s="617">
        <v>25</v>
      </c>
      <c r="B35" s="567" t="s">
        <v>1366</v>
      </c>
      <c r="C35" s="584" t="s">
        <v>1367</v>
      </c>
      <c r="D35" s="585">
        <v>238574</v>
      </c>
      <c r="E35" s="586">
        <v>2200</v>
      </c>
      <c r="F35" s="579" t="s">
        <v>3178</v>
      </c>
      <c r="G35" s="1"/>
      <c r="H35" s="587" t="s">
        <v>3565</v>
      </c>
      <c r="I35" s="1"/>
      <c r="J35" s="567"/>
      <c r="K35" s="1"/>
      <c r="L35" s="567"/>
      <c r="M35" s="580" t="s">
        <v>3566</v>
      </c>
    </row>
    <row r="36" spans="1:13" s="44" customFormat="1" ht="19.5">
      <c r="A36" s="567"/>
      <c r="B36" s="567"/>
      <c r="C36" s="567"/>
      <c r="D36" s="585"/>
      <c r="E36" s="586"/>
      <c r="F36" s="567"/>
      <c r="G36" s="1"/>
      <c r="H36" s="567"/>
      <c r="I36" s="1"/>
      <c r="J36" s="567"/>
      <c r="K36" s="1"/>
      <c r="L36" s="567"/>
      <c r="M36" s="567"/>
    </row>
    <row r="37" spans="1:13" s="44" customFormat="1" ht="19.5">
      <c r="A37" s="581"/>
      <c r="B37" s="582" t="s">
        <v>1684</v>
      </c>
      <c r="C37" s="581"/>
      <c r="D37" s="581"/>
      <c r="E37" s="581"/>
      <c r="F37" s="581"/>
      <c r="G37" s="1"/>
      <c r="H37" s="581"/>
      <c r="I37" s="1"/>
      <c r="J37" s="581"/>
      <c r="K37" s="1"/>
      <c r="L37" s="581"/>
      <c r="M37" s="581"/>
    </row>
    <row r="38" spans="1:13" s="44" customFormat="1" ht="19.5">
      <c r="A38" s="617">
        <v>26</v>
      </c>
      <c r="B38" s="567" t="s">
        <v>1686</v>
      </c>
      <c r="C38" s="584" t="s">
        <v>1685</v>
      </c>
      <c r="D38" s="591">
        <v>232381</v>
      </c>
      <c r="E38" s="586">
        <v>8600</v>
      </c>
      <c r="F38" s="580" t="s">
        <v>1649</v>
      </c>
      <c r="G38" s="1"/>
      <c r="H38" s="567"/>
      <c r="I38" s="1"/>
      <c r="J38" s="587" t="s">
        <v>3565</v>
      </c>
      <c r="K38" s="1"/>
      <c r="L38" s="567"/>
      <c r="M38" s="593" t="s">
        <v>3571</v>
      </c>
    </row>
    <row r="39" spans="1:13" s="44" customFormat="1" ht="19.5">
      <c r="A39" s="617">
        <v>27</v>
      </c>
      <c r="B39" s="567" t="s">
        <v>3572</v>
      </c>
      <c r="C39" s="584" t="s">
        <v>1367</v>
      </c>
      <c r="D39" s="591">
        <v>238574</v>
      </c>
      <c r="E39" s="586">
        <v>2200</v>
      </c>
      <c r="F39" s="580" t="s">
        <v>1649</v>
      </c>
      <c r="G39" s="1"/>
      <c r="H39" s="567"/>
      <c r="I39" s="49"/>
      <c r="J39" s="587" t="s">
        <v>3565</v>
      </c>
      <c r="K39" s="49"/>
      <c r="L39" s="567"/>
      <c r="M39" s="593" t="s">
        <v>3571</v>
      </c>
    </row>
    <row r="40" spans="1:13" s="44" customFormat="1" ht="19.5">
      <c r="A40" s="567"/>
      <c r="B40" s="567"/>
      <c r="C40" s="567"/>
      <c r="D40" s="591"/>
      <c r="E40" s="586"/>
      <c r="F40" s="580"/>
      <c r="G40" s="1"/>
      <c r="H40" s="567"/>
      <c r="I40" s="49"/>
      <c r="J40" s="567"/>
      <c r="K40" s="49"/>
      <c r="L40" s="567"/>
      <c r="M40" s="567"/>
    </row>
    <row r="41" spans="1:13" s="44" customFormat="1" ht="19.5">
      <c r="A41" s="581"/>
      <c r="B41" s="582" t="s">
        <v>695</v>
      </c>
      <c r="C41" s="581"/>
      <c r="D41" s="594"/>
      <c r="E41" s="595"/>
      <c r="F41" s="590"/>
      <c r="G41" s="1"/>
      <c r="H41" s="581"/>
      <c r="I41" s="1"/>
      <c r="J41" s="581"/>
      <c r="K41" s="49"/>
      <c r="L41" s="581"/>
      <c r="M41" s="581"/>
    </row>
    <row r="42" spans="1:13" s="44" customFormat="1" ht="19.5">
      <c r="A42" s="617">
        <v>28</v>
      </c>
      <c r="B42" s="567" t="s">
        <v>699</v>
      </c>
      <c r="C42" s="584" t="s">
        <v>2260</v>
      </c>
      <c r="D42" s="591">
        <v>232150</v>
      </c>
      <c r="E42" s="586">
        <v>90000</v>
      </c>
      <c r="F42" s="580" t="s">
        <v>1649</v>
      </c>
      <c r="G42" s="1"/>
      <c r="H42" s="587" t="s">
        <v>3565</v>
      </c>
      <c r="I42" s="1"/>
      <c r="J42" s="567"/>
      <c r="K42" s="3"/>
      <c r="L42" s="567"/>
      <c r="M42" s="580" t="s">
        <v>3566</v>
      </c>
    </row>
    <row r="43" spans="1:13" s="44" customFormat="1" ht="19.5">
      <c r="A43" s="617">
        <v>29</v>
      </c>
      <c r="B43" s="567" t="s">
        <v>2257</v>
      </c>
      <c r="C43" s="584" t="s">
        <v>2262</v>
      </c>
      <c r="D43" s="591">
        <v>234093</v>
      </c>
      <c r="E43" s="586">
        <v>45000</v>
      </c>
      <c r="F43" s="580" t="s">
        <v>1649</v>
      </c>
      <c r="G43" s="1"/>
      <c r="H43" s="587" t="s">
        <v>3565</v>
      </c>
      <c r="I43" s="3"/>
      <c r="J43" s="567"/>
      <c r="K43" s="3"/>
      <c r="L43" s="567"/>
      <c r="M43" s="580" t="s">
        <v>3566</v>
      </c>
    </row>
    <row r="44" spans="1:13" s="44" customFormat="1" ht="19.5">
      <c r="A44" s="617">
        <v>30</v>
      </c>
      <c r="B44" s="567" t="s">
        <v>2257</v>
      </c>
      <c r="C44" s="584" t="s">
        <v>2263</v>
      </c>
      <c r="D44" s="591">
        <v>234093</v>
      </c>
      <c r="E44" s="586">
        <v>45000</v>
      </c>
      <c r="F44" s="580" t="s">
        <v>1649</v>
      </c>
      <c r="G44" s="1"/>
      <c r="H44" s="587" t="s">
        <v>3565</v>
      </c>
      <c r="I44" s="3"/>
      <c r="J44" s="567"/>
      <c r="K44" s="3"/>
      <c r="L44" s="567"/>
      <c r="M44" s="580" t="s">
        <v>3566</v>
      </c>
    </row>
    <row r="45" spans="1:13" s="44" customFormat="1" ht="19.5">
      <c r="A45" s="617">
        <v>31</v>
      </c>
      <c r="B45" s="567" t="s">
        <v>699</v>
      </c>
      <c r="C45" s="584" t="s">
        <v>703</v>
      </c>
      <c r="D45" s="591">
        <v>233804</v>
      </c>
      <c r="E45" s="586">
        <v>27000</v>
      </c>
      <c r="F45" s="580" t="s">
        <v>3490</v>
      </c>
      <c r="G45" s="1"/>
      <c r="H45" s="587" t="s">
        <v>3565</v>
      </c>
      <c r="I45" s="3"/>
      <c r="J45" s="567"/>
      <c r="K45" s="3"/>
      <c r="L45" s="567"/>
      <c r="M45" s="580" t="s">
        <v>3566</v>
      </c>
    </row>
    <row r="46" spans="1:13" s="44" customFormat="1" ht="19.5">
      <c r="A46" s="567"/>
      <c r="B46" s="567"/>
      <c r="C46" s="567"/>
      <c r="D46" s="596"/>
      <c r="E46" s="586"/>
      <c r="F46" s="567"/>
      <c r="G46" s="1"/>
      <c r="H46" s="567"/>
      <c r="I46" s="1"/>
      <c r="J46" s="567"/>
      <c r="K46" s="1"/>
      <c r="L46" s="567"/>
      <c r="M46" s="567"/>
    </row>
    <row r="47" spans="1:13" s="44" customFormat="1" ht="19.5">
      <c r="A47" s="581"/>
      <c r="B47" s="582" t="s">
        <v>3573</v>
      </c>
      <c r="C47" s="581"/>
      <c r="D47" s="597"/>
      <c r="E47" s="595"/>
      <c r="F47" s="581"/>
      <c r="G47" s="1"/>
      <c r="H47" s="581"/>
      <c r="I47" s="1"/>
      <c r="J47" s="581"/>
      <c r="K47" s="1"/>
      <c r="L47" s="581"/>
      <c r="M47" s="581"/>
    </row>
    <row r="48" spans="1:13" s="44" customFormat="1" ht="28.5">
      <c r="A48" s="618">
        <v>32</v>
      </c>
      <c r="B48" s="598" t="s">
        <v>793</v>
      </c>
      <c r="C48" s="599" t="s">
        <v>799</v>
      </c>
      <c r="D48" s="585">
        <v>19625</v>
      </c>
      <c r="E48" s="600">
        <v>1250</v>
      </c>
      <c r="F48" s="579" t="s">
        <v>3178</v>
      </c>
      <c r="G48" s="1"/>
      <c r="H48" s="587" t="s">
        <v>3565</v>
      </c>
      <c r="I48" s="1"/>
      <c r="J48" s="579"/>
      <c r="K48" s="1"/>
      <c r="L48" s="579"/>
      <c r="M48" s="578" t="s">
        <v>3574</v>
      </c>
    </row>
    <row r="49" spans="1:13" s="44" customFormat="1" ht="28.5">
      <c r="A49" s="618">
        <v>33</v>
      </c>
      <c r="B49" s="598" t="s">
        <v>793</v>
      </c>
      <c r="C49" s="601" t="s">
        <v>800</v>
      </c>
      <c r="D49" s="585">
        <v>19625</v>
      </c>
      <c r="E49" s="600">
        <v>1250</v>
      </c>
      <c r="F49" s="579" t="s">
        <v>3178</v>
      </c>
      <c r="G49" s="1"/>
      <c r="H49" s="587" t="s">
        <v>3565</v>
      </c>
      <c r="I49" s="49"/>
      <c r="J49" s="579"/>
      <c r="K49" s="49"/>
      <c r="L49" s="579"/>
      <c r="M49" s="578" t="s">
        <v>3574</v>
      </c>
    </row>
    <row r="50" spans="1:13" s="44" customFormat="1" ht="19.5">
      <c r="A50" s="567"/>
      <c r="B50" s="567"/>
      <c r="C50" s="567"/>
      <c r="D50" s="591"/>
      <c r="E50" s="586"/>
      <c r="F50" s="567"/>
      <c r="G50" s="1"/>
      <c r="H50" s="567"/>
      <c r="I50" s="1"/>
      <c r="J50" s="567"/>
      <c r="K50" s="49"/>
      <c r="L50" s="567"/>
      <c r="M50" s="567"/>
    </row>
    <row r="51" spans="1:13" s="44" customFormat="1" ht="19.5">
      <c r="A51" s="581"/>
      <c r="B51" s="581" t="s">
        <v>1734</v>
      </c>
      <c r="C51" s="581"/>
      <c r="D51" s="597"/>
      <c r="E51" s="595"/>
      <c r="F51" s="581"/>
      <c r="G51" s="1"/>
      <c r="H51" s="581"/>
      <c r="I51" s="1"/>
      <c r="J51" s="581"/>
      <c r="K51" s="49"/>
      <c r="L51" s="581"/>
      <c r="M51" s="581"/>
    </row>
    <row r="52" spans="1:13" s="44" customFormat="1" ht="57">
      <c r="A52" s="579">
        <v>34</v>
      </c>
      <c r="B52" s="602" t="s">
        <v>3575</v>
      </c>
      <c r="C52" s="603" t="s">
        <v>1992</v>
      </c>
      <c r="D52" s="585">
        <v>228459</v>
      </c>
      <c r="E52" s="600">
        <v>1109836</v>
      </c>
      <c r="F52" s="579" t="s">
        <v>1649</v>
      </c>
      <c r="G52" s="1"/>
      <c r="H52" s="567"/>
      <c r="I52" s="1"/>
      <c r="J52" s="567"/>
      <c r="K52" s="49"/>
      <c r="L52" s="567"/>
      <c r="M52" s="602" t="s">
        <v>3576</v>
      </c>
    </row>
    <row r="53" spans="1:13" s="44" customFormat="1" ht="57">
      <c r="A53" s="579">
        <v>35</v>
      </c>
      <c r="B53" s="604" t="s">
        <v>3577</v>
      </c>
      <c r="C53" s="603" t="s">
        <v>2642</v>
      </c>
      <c r="D53" s="585">
        <v>232258</v>
      </c>
      <c r="E53" s="600">
        <v>1142774</v>
      </c>
      <c r="F53" s="579" t="s">
        <v>1649</v>
      </c>
      <c r="G53" s="1"/>
      <c r="H53" s="579"/>
      <c r="I53" s="1"/>
      <c r="J53" s="579"/>
      <c r="K53" s="49"/>
      <c r="L53" s="579"/>
      <c r="M53" s="602" t="s">
        <v>3576</v>
      </c>
    </row>
    <row r="54" spans="1:13" s="44" customFormat="1" ht="72.75">
      <c r="A54" s="579">
        <v>36</v>
      </c>
      <c r="B54" s="605" t="s">
        <v>3578</v>
      </c>
      <c r="C54" s="603" t="s">
        <v>1992</v>
      </c>
      <c r="D54" s="585">
        <v>233018</v>
      </c>
      <c r="E54" s="600">
        <v>1142774</v>
      </c>
      <c r="F54" s="579" t="s">
        <v>1649</v>
      </c>
      <c r="G54" s="1"/>
      <c r="H54" s="579"/>
      <c r="I54" s="49"/>
      <c r="J54" s="579"/>
      <c r="K54" s="49"/>
      <c r="L54" s="579"/>
      <c r="M54" s="602" t="s">
        <v>3576</v>
      </c>
    </row>
    <row r="55" spans="1:13" s="44" customFormat="1" ht="30">
      <c r="A55" s="579">
        <v>37</v>
      </c>
      <c r="B55" s="605" t="s">
        <v>3579</v>
      </c>
      <c r="C55" s="579" t="s">
        <v>2055</v>
      </c>
      <c r="D55" s="585">
        <v>235060</v>
      </c>
      <c r="E55" s="600">
        <v>86000</v>
      </c>
      <c r="F55" s="579" t="s">
        <v>1508</v>
      </c>
      <c r="G55" s="1"/>
      <c r="H55" s="587" t="s">
        <v>3565</v>
      </c>
      <c r="I55" s="49"/>
      <c r="J55" s="567"/>
      <c r="K55" s="49"/>
      <c r="L55" s="567"/>
      <c r="M55" s="602" t="s">
        <v>3576</v>
      </c>
    </row>
    <row r="56" spans="1:13" s="44" customFormat="1" ht="30">
      <c r="A56" s="579">
        <v>38</v>
      </c>
      <c r="B56" s="605" t="s">
        <v>3580</v>
      </c>
      <c r="C56" s="579" t="s">
        <v>2057</v>
      </c>
      <c r="D56" s="585">
        <v>235060</v>
      </c>
      <c r="E56" s="586">
        <v>86000</v>
      </c>
      <c r="F56" s="579" t="s">
        <v>1508</v>
      </c>
      <c r="G56" s="1"/>
      <c r="H56" s="587" t="s">
        <v>3565</v>
      </c>
      <c r="I56" s="49"/>
      <c r="J56" s="567"/>
      <c r="K56" s="49"/>
      <c r="L56" s="567"/>
      <c r="M56" s="602" t="s">
        <v>3576</v>
      </c>
    </row>
    <row r="57" spans="1:13" s="44" customFormat="1" ht="19.5">
      <c r="A57" s="567"/>
      <c r="B57" s="567"/>
      <c r="C57" s="567"/>
      <c r="D57" s="596"/>
      <c r="E57" s="586"/>
      <c r="F57" s="567"/>
      <c r="G57" s="1"/>
      <c r="H57" s="567"/>
      <c r="I57" s="49"/>
      <c r="J57" s="567"/>
      <c r="K57" s="49"/>
      <c r="L57" s="567"/>
      <c r="M57" s="567"/>
    </row>
    <row r="58" spans="1:13" s="44" customFormat="1" ht="19.5">
      <c r="A58" s="581"/>
      <c r="B58" s="582" t="s">
        <v>1735</v>
      </c>
      <c r="C58" s="581"/>
      <c r="D58" s="597"/>
      <c r="E58" s="595"/>
      <c r="F58" s="581"/>
      <c r="G58" s="1"/>
      <c r="H58" s="581"/>
      <c r="I58" s="1"/>
      <c r="J58" s="581"/>
      <c r="K58" s="1"/>
      <c r="L58" s="581"/>
      <c r="M58" s="581"/>
    </row>
    <row r="59" spans="1:13" s="44" customFormat="1" ht="19.5">
      <c r="A59" s="618">
        <v>39</v>
      </c>
      <c r="B59" s="605" t="s">
        <v>3581</v>
      </c>
      <c r="C59" s="599" t="s">
        <v>1674</v>
      </c>
      <c r="D59" s="591">
        <v>230028</v>
      </c>
      <c r="E59" s="592">
        <v>54900</v>
      </c>
      <c r="F59" s="579" t="s">
        <v>1649</v>
      </c>
      <c r="G59" s="1"/>
      <c r="H59" s="587" t="s">
        <v>3565</v>
      </c>
      <c r="I59" s="1"/>
      <c r="J59" s="567"/>
      <c r="K59" s="1"/>
      <c r="L59" s="567"/>
      <c r="M59" s="602" t="s">
        <v>3566</v>
      </c>
    </row>
    <row r="60" spans="1:13" s="44" customFormat="1" ht="19.5">
      <c r="A60" s="567"/>
      <c r="B60" s="567"/>
      <c r="C60" s="567"/>
      <c r="D60" s="596"/>
      <c r="E60" s="567"/>
      <c r="F60" s="567"/>
      <c r="G60" s="1"/>
      <c r="H60" s="567"/>
      <c r="I60" s="1"/>
      <c r="J60" s="567"/>
      <c r="K60" s="1"/>
      <c r="L60" s="567"/>
      <c r="M60" s="567"/>
    </row>
    <row r="61" spans="1:13" s="44" customFormat="1" ht="19.5">
      <c r="A61" s="581"/>
      <c r="B61" s="582" t="s">
        <v>3582</v>
      </c>
      <c r="C61" s="581"/>
      <c r="D61" s="597"/>
      <c r="E61" s="581"/>
      <c r="F61" s="581"/>
      <c r="G61" s="1"/>
      <c r="H61" s="581"/>
      <c r="I61" s="1"/>
      <c r="J61" s="581"/>
      <c r="K61" s="1"/>
      <c r="L61" s="581"/>
      <c r="M61" s="581"/>
    </row>
    <row r="62" spans="1:13" s="44" customFormat="1" ht="19.5">
      <c r="A62" s="581"/>
      <c r="B62" s="582" t="s">
        <v>1524</v>
      </c>
      <c r="C62" s="581"/>
      <c r="D62" s="597"/>
      <c r="E62" s="581"/>
      <c r="F62" s="581"/>
      <c r="G62" s="1"/>
      <c r="H62" s="581"/>
      <c r="I62" s="1"/>
      <c r="J62" s="581"/>
      <c r="K62" s="1"/>
      <c r="L62" s="581"/>
      <c r="M62" s="581"/>
    </row>
    <row r="63" spans="1:13" s="44" customFormat="1" ht="19.5">
      <c r="A63" s="618">
        <v>40</v>
      </c>
      <c r="B63" s="567" t="s">
        <v>1558</v>
      </c>
      <c r="C63" s="606" t="s">
        <v>1559</v>
      </c>
      <c r="D63" s="591">
        <v>238315</v>
      </c>
      <c r="E63" s="586">
        <v>17999.54</v>
      </c>
      <c r="F63" s="580" t="s">
        <v>1508</v>
      </c>
      <c r="G63" s="1"/>
      <c r="H63" s="587" t="s">
        <v>3565</v>
      </c>
      <c r="I63" s="1"/>
      <c r="J63" s="567"/>
      <c r="K63" s="1"/>
      <c r="L63" s="567"/>
      <c r="M63" s="602" t="s">
        <v>3566</v>
      </c>
    </row>
    <row r="64" spans="1:13" s="44" customFormat="1" ht="19.5">
      <c r="A64" s="618">
        <v>41</v>
      </c>
      <c r="B64" s="567" t="s">
        <v>1558</v>
      </c>
      <c r="C64" s="606" t="s">
        <v>1561</v>
      </c>
      <c r="D64" s="591">
        <v>238315</v>
      </c>
      <c r="E64" s="586">
        <v>17999.54</v>
      </c>
      <c r="F64" s="580" t="s">
        <v>1508</v>
      </c>
      <c r="G64" s="1"/>
      <c r="H64" s="587" t="s">
        <v>3565</v>
      </c>
      <c r="I64" s="1"/>
      <c r="J64" s="567"/>
      <c r="K64" s="1"/>
      <c r="L64" s="567"/>
      <c r="M64" s="602" t="s">
        <v>3566</v>
      </c>
    </row>
    <row r="65" spans="1:13" s="44" customFormat="1" ht="19.5">
      <c r="A65" s="618">
        <v>42</v>
      </c>
      <c r="B65" s="567" t="s">
        <v>1558</v>
      </c>
      <c r="C65" s="606" t="s">
        <v>1562</v>
      </c>
      <c r="D65" s="591">
        <v>238315</v>
      </c>
      <c r="E65" s="586">
        <v>17999.54</v>
      </c>
      <c r="F65" s="580" t="s">
        <v>1508</v>
      </c>
      <c r="G65" s="1"/>
      <c r="H65" s="587" t="s">
        <v>3565</v>
      </c>
      <c r="I65" s="1"/>
      <c r="J65" s="567"/>
      <c r="K65" s="1"/>
      <c r="L65" s="567"/>
      <c r="M65" s="602" t="s">
        <v>3566</v>
      </c>
    </row>
    <row r="66" spans="1:13" s="44" customFormat="1" ht="19.5">
      <c r="A66" s="618">
        <v>43</v>
      </c>
      <c r="B66" s="567" t="s">
        <v>1558</v>
      </c>
      <c r="C66" s="606" t="s">
        <v>1563</v>
      </c>
      <c r="D66" s="591">
        <v>238315</v>
      </c>
      <c r="E66" s="586">
        <v>17999.54</v>
      </c>
      <c r="F66" s="580" t="s">
        <v>1508</v>
      </c>
      <c r="G66" s="1"/>
      <c r="H66" s="587" t="s">
        <v>3565</v>
      </c>
      <c r="I66" s="1"/>
      <c r="J66" s="567"/>
      <c r="K66" s="1"/>
      <c r="L66" s="567"/>
      <c r="M66" s="602" t="s">
        <v>3566</v>
      </c>
    </row>
    <row r="67" spans="1:13" s="44" customFormat="1" ht="30">
      <c r="A67" s="618">
        <v>44</v>
      </c>
      <c r="B67" s="605" t="s">
        <v>3583</v>
      </c>
      <c r="C67" s="606" t="s">
        <v>1560</v>
      </c>
      <c r="D67" s="591">
        <v>239533</v>
      </c>
      <c r="E67" s="588">
        <v>37000</v>
      </c>
      <c r="F67" s="580" t="s">
        <v>1508</v>
      </c>
      <c r="G67" s="1"/>
      <c r="H67" s="587" t="s">
        <v>3565</v>
      </c>
      <c r="I67" s="1"/>
      <c r="J67" s="567"/>
      <c r="K67" s="1"/>
      <c r="L67" s="567"/>
      <c r="M67" s="602" t="s">
        <v>3566</v>
      </c>
    </row>
    <row r="68" spans="1:13" s="44" customFormat="1" ht="30">
      <c r="A68" s="618">
        <v>45</v>
      </c>
      <c r="B68" s="605" t="s">
        <v>3584</v>
      </c>
      <c r="C68" s="606" t="s">
        <v>1525</v>
      </c>
      <c r="D68" s="591">
        <v>239533</v>
      </c>
      <c r="E68" s="588">
        <v>5650</v>
      </c>
      <c r="F68" s="580" t="s">
        <v>1508</v>
      </c>
      <c r="G68" s="35"/>
      <c r="H68" s="587" t="s">
        <v>3565</v>
      </c>
      <c r="I68" s="35"/>
      <c r="J68" s="567"/>
      <c r="K68" s="35"/>
      <c r="L68" s="567"/>
      <c r="M68" s="602" t="s">
        <v>3566</v>
      </c>
    </row>
    <row r="69" spans="1:13" s="44" customFormat="1" ht="30">
      <c r="A69" s="618">
        <v>46</v>
      </c>
      <c r="B69" s="605" t="s">
        <v>3584</v>
      </c>
      <c r="C69" s="606" t="s">
        <v>1526</v>
      </c>
      <c r="D69" s="591">
        <v>239533</v>
      </c>
      <c r="E69" s="588">
        <v>5650</v>
      </c>
      <c r="F69" s="580" t="s">
        <v>1508</v>
      </c>
      <c r="G69" s="1"/>
      <c r="H69" s="587" t="s">
        <v>3565</v>
      </c>
      <c r="I69" s="1"/>
      <c r="J69" s="567"/>
      <c r="K69" s="1"/>
      <c r="L69" s="567"/>
      <c r="M69" s="602" t="s">
        <v>3566</v>
      </c>
    </row>
    <row r="70" spans="1:13" s="44" customFormat="1" ht="29.25">
      <c r="A70" s="618">
        <v>47</v>
      </c>
      <c r="B70" s="605" t="s">
        <v>3584</v>
      </c>
      <c r="C70" s="606" t="s">
        <v>1527</v>
      </c>
      <c r="D70" s="591">
        <v>239533</v>
      </c>
      <c r="E70" s="588">
        <v>5650</v>
      </c>
      <c r="F70" s="580" t="s">
        <v>1508</v>
      </c>
      <c r="G70" s="36"/>
      <c r="H70" s="587" t="s">
        <v>3565</v>
      </c>
      <c r="I70" s="36"/>
      <c r="J70" s="567"/>
      <c r="K70" s="36"/>
      <c r="L70" s="567"/>
      <c r="M70" s="602" t="s">
        <v>3566</v>
      </c>
    </row>
    <row r="71" spans="1:13" s="44" customFormat="1" ht="29.25">
      <c r="A71" s="618">
        <v>48</v>
      </c>
      <c r="B71" s="605" t="s">
        <v>3584</v>
      </c>
      <c r="C71" s="606" t="s">
        <v>1528</v>
      </c>
      <c r="D71" s="591">
        <v>239533</v>
      </c>
      <c r="E71" s="588">
        <v>5650</v>
      </c>
      <c r="F71" s="580" t="s">
        <v>1508</v>
      </c>
      <c r="G71" s="36"/>
      <c r="H71" s="587" t="s">
        <v>3565</v>
      </c>
      <c r="I71" s="36"/>
      <c r="J71" s="567"/>
      <c r="K71" s="36"/>
      <c r="L71" s="567"/>
      <c r="M71" s="602" t="s">
        <v>3566</v>
      </c>
    </row>
    <row r="72" spans="1:13" s="44" customFormat="1" ht="29.25">
      <c r="A72" s="618">
        <v>49</v>
      </c>
      <c r="B72" s="605" t="s">
        <v>3584</v>
      </c>
      <c r="C72" s="606" t="s">
        <v>1529</v>
      </c>
      <c r="D72" s="591">
        <v>239533</v>
      </c>
      <c r="E72" s="588">
        <v>5650</v>
      </c>
      <c r="F72" s="580" t="s">
        <v>1508</v>
      </c>
      <c r="G72" s="36"/>
      <c r="H72" s="587" t="s">
        <v>3565</v>
      </c>
      <c r="I72" s="36"/>
      <c r="J72" s="567"/>
      <c r="K72" s="36"/>
      <c r="L72" s="567"/>
      <c r="M72" s="602" t="s">
        <v>3566</v>
      </c>
    </row>
    <row r="73" spans="1:13" s="44" customFormat="1" ht="29.25">
      <c r="A73" s="618">
        <v>50</v>
      </c>
      <c r="B73" s="605" t="s">
        <v>3584</v>
      </c>
      <c r="C73" s="606" t="s">
        <v>1530</v>
      </c>
      <c r="D73" s="591">
        <v>239533</v>
      </c>
      <c r="E73" s="586">
        <v>5650</v>
      </c>
      <c r="F73" s="580" t="s">
        <v>1508</v>
      </c>
      <c r="G73" s="36"/>
      <c r="H73" s="587" t="s">
        <v>3565</v>
      </c>
      <c r="I73" s="36"/>
      <c r="J73" s="567"/>
      <c r="K73" s="36"/>
      <c r="L73" s="567"/>
      <c r="M73" s="602" t="s">
        <v>3566</v>
      </c>
    </row>
    <row r="74" spans="1:13" s="44" customFormat="1" ht="29.25">
      <c r="A74" s="618">
        <v>51</v>
      </c>
      <c r="B74" s="605" t="s">
        <v>3584</v>
      </c>
      <c r="C74" s="606" t="s">
        <v>1531</v>
      </c>
      <c r="D74" s="591">
        <v>239533</v>
      </c>
      <c r="E74" s="586">
        <v>5650</v>
      </c>
      <c r="F74" s="580" t="s">
        <v>1508</v>
      </c>
      <c r="G74" s="36"/>
      <c r="H74" s="587" t="s">
        <v>3565</v>
      </c>
      <c r="I74" s="36"/>
      <c r="J74" s="567"/>
      <c r="K74" s="36"/>
      <c r="L74" s="567"/>
      <c r="M74" s="602" t="s">
        <v>3566</v>
      </c>
    </row>
    <row r="75" spans="1:13" s="46" customFormat="1" ht="30">
      <c r="A75" s="618">
        <v>52</v>
      </c>
      <c r="B75" s="605" t="s">
        <v>3584</v>
      </c>
      <c r="C75" s="606" t="s">
        <v>1532</v>
      </c>
      <c r="D75" s="591">
        <v>239533</v>
      </c>
      <c r="E75" s="586">
        <v>5650</v>
      </c>
      <c r="F75" s="580" t="s">
        <v>1508</v>
      </c>
      <c r="G75" s="36"/>
      <c r="H75" s="587" t="s">
        <v>3565</v>
      </c>
      <c r="I75" s="36"/>
      <c r="J75" s="567"/>
      <c r="K75" s="36"/>
      <c r="L75" s="567"/>
      <c r="M75" s="602" t="s">
        <v>3566</v>
      </c>
    </row>
    <row r="76" spans="1:13" s="46" customFormat="1" ht="30">
      <c r="A76" s="618">
        <v>53</v>
      </c>
      <c r="B76" s="605" t="s">
        <v>3584</v>
      </c>
      <c r="C76" s="606" t="s">
        <v>1533</v>
      </c>
      <c r="D76" s="591">
        <v>239533</v>
      </c>
      <c r="E76" s="586">
        <v>5650</v>
      </c>
      <c r="F76" s="580" t="s">
        <v>1508</v>
      </c>
      <c r="G76" s="36"/>
      <c r="H76" s="587" t="s">
        <v>3565</v>
      </c>
      <c r="I76" s="36"/>
      <c r="J76" s="567"/>
      <c r="K76" s="36"/>
      <c r="L76" s="567"/>
      <c r="M76" s="602" t="s">
        <v>3566</v>
      </c>
    </row>
    <row r="77" spans="1:13" s="46" customFormat="1" ht="30">
      <c r="A77" s="618">
        <v>54</v>
      </c>
      <c r="B77" s="605" t="s">
        <v>3584</v>
      </c>
      <c r="C77" s="606" t="s">
        <v>1534</v>
      </c>
      <c r="D77" s="591">
        <v>239533</v>
      </c>
      <c r="E77" s="586">
        <v>5650</v>
      </c>
      <c r="F77" s="580" t="s">
        <v>1508</v>
      </c>
      <c r="G77" s="36"/>
      <c r="H77" s="587" t="s">
        <v>3565</v>
      </c>
      <c r="I77" s="36"/>
      <c r="J77" s="567"/>
      <c r="K77" s="36"/>
      <c r="L77" s="567"/>
      <c r="M77" s="602" t="s">
        <v>3566</v>
      </c>
    </row>
    <row r="78" spans="1:13" s="46" customFormat="1" ht="30">
      <c r="A78" s="618">
        <v>55</v>
      </c>
      <c r="B78" s="605" t="s">
        <v>3584</v>
      </c>
      <c r="C78" s="606" t="s">
        <v>1535</v>
      </c>
      <c r="D78" s="591">
        <v>239533</v>
      </c>
      <c r="E78" s="586">
        <v>5650</v>
      </c>
      <c r="F78" s="580" t="s">
        <v>1508</v>
      </c>
      <c r="G78" s="36"/>
      <c r="H78" s="587" t="s">
        <v>3565</v>
      </c>
      <c r="I78" s="36"/>
      <c r="J78" s="567"/>
      <c r="K78" s="36"/>
      <c r="L78" s="567"/>
      <c r="M78" s="602" t="s">
        <v>3566</v>
      </c>
    </row>
    <row r="79" spans="1:13" s="46" customFormat="1" ht="30">
      <c r="A79" s="618">
        <v>56</v>
      </c>
      <c r="B79" s="605" t="s">
        <v>3583</v>
      </c>
      <c r="C79" s="606" t="s">
        <v>1536</v>
      </c>
      <c r="D79" s="591">
        <v>239533</v>
      </c>
      <c r="E79" s="586">
        <v>4800</v>
      </c>
      <c r="F79" s="580" t="s">
        <v>1508</v>
      </c>
      <c r="G79" s="36"/>
      <c r="H79" s="587" t="s">
        <v>3565</v>
      </c>
      <c r="I79" s="36"/>
      <c r="J79" s="567"/>
      <c r="K79" s="36"/>
      <c r="L79" s="567"/>
      <c r="M79" s="602" t="s">
        <v>3566</v>
      </c>
    </row>
    <row r="80" spans="1:13" s="44" customFormat="1" ht="29.25">
      <c r="A80" s="618">
        <v>57</v>
      </c>
      <c r="B80" s="605" t="s">
        <v>3583</v>
      </c>
      <c r="C80" s="580" t="s">
        <v>3585</v>
      </c>
      <c r="D80" s="591">
        <v>239533</v>
      </c>
      <c r="E80" s="586">
        <v>4800</v>
      </c>
      <c r="F80" s="580" t="s">
        <v>1508</v>
      </c>
      <c r="G80" s="36"/>
      <c r="H80" s="587" t="s">
        <v>3565</v>
      </c>
      <c r="I80" s="36"/>
      <c r="J80" s="567"/>
      <c r="K80" s="36"/>
      <c r="L80" s="567"/>
      <c r="M80" s="602" t="s">
        <v>3566</v>
      </c>
    </row>
    <row r="81" spans="1:13" s="44" customFormat="1" ht="29.25">
      <c r="A81" s="618">
        <v>58</v>
      </c>
      <c r="B81" s="605" t="s">
        <v>3584</v>
      </c>
      <c r="C81" s="606" t="s">
        <v>1539</v>
      </c>
      <c r="D81" s="591">
        <v>239533</v>
      </c>
      <c r="E81" s="586">
        <v>37000</v>
      </c>
      <c r="F81" s="580" t="s">
        <v>1508</v>
      </c>
      <c r="G81" s="36"/>
      <c r="H81" s="587" t="s">
        <v>3565</v>
      </c>
      <c r="I81" s="36"/>
      <c r="J81" s="567"/>
      <c r="K81" s="36"/>
      <c r="L81" s="567"/>
      <c r="M81" s="602" t="s">
        <v>3566</v>
      </c>
    </row>
    <row r="82" spans="1:13" s="44" customFormat="1" ht="29.25">
      <c r="A82" s="618">
        <v>59</v>
      </c>
      <c r="B82" s="605" t="s">
        <v>3584</v>
      </c>
      <c r="C82" s="606" t="s">
        <v>1540</v>
      </c>
      <c r="D82" s="591">
        <v>239533</v>
      </c>
      <c r="E82" s="586">
        <v>5650</v>
      </c>
      <c r="F82" s="580" t="s">
        <v>1508</v>
      </c>
      <c r="G82" s="36"/>
      <c r="H82" s="587" t="s">
        <v>3565</v>
      </c>
      <c r="I82" s="36"/>
      <c r="J82" s="567"/>
      <c r="K82" s="36"/>
      <c r="L82" s="567"/>
      <c r="M82" s="602" t="s">
        <v>3566</v>
      </c>
    </row>
    <row r="83" spans="1:13" s="44" customFormat="1" ht="29.25">
      <c r="A83" s="618">
        <v>60</v>
      </c>
      <c r="B83" s="605" t="s">
        <v>3584</v>
      </c>
      <c r="C83" s="606" t="s">
        <v>1541</v>
      </c>
      <c r="D83" s="591">
        <v>239533</v>
      </c>
      <c r="E83" s="586">
        <v>5650</v>
      </c>
      <c r="F83" s="580" t="s">
        <v>1508</v>
      </c>
      <c r="G83" s="36"/>
      <c r="H83" s="587" t="s">
        <v>3565</v>
      </c>
      <c r="I83" s="36"/>
      <c r="J83" s="567"/>
      <c r="K83" s="36"/>
      <c r="L83" s="567"/>
      <c r="M83" s="602" t="s">
        <v>3566</v>
      </c>
    </row>
    <row r="84" spans="1:13" s="91" customFormat="1" ht="29.25">
      <c r="A84" s="618">
        <v>61</v>
      </c>
      <c r="B84" s="605" t="s">
        <v>3584</v>
      </c>
      <c r="C84" s="606" t="s">
        <v>1542</v>
      </c>
      <c r="D84" s="591">
        <v>239533</v>
      </c>
      <c r="E84" s="586">
        <v>5650</v>
      </c>
      <c r="F84" s="580" t="s">
        <v>1508</v>
      </c>
      <c r="G84" s="36"/>
      <c r="H84" s="587" t="s">
        <v>3565</v>
      </c>
      <c r="I84" s="36"/>
      <c r="J84" s="567"/>
      <c r="K84" s="36"/>
      <c r="L84" s="567"/>
      <c r="M84" s="602" t="s">
        <v>3566</v>
      </c>
    </row>
    <row r="85" spans="1:13" s="44" customFormat="1" ht="29.25">
      <c r="A85" s="618">
        <v>62</v>
      </c>
      <c r="B85" s="605" t="s">
        <v>3584</v>
      </c>
      <c r="C85" s="606" t="s">
        <v>1543</v>
      </c>
      <c r="D85" s="591">
        <v>239533</v>
      </c>
      <c r="E85" s="586">
        <v>5650</v>
      </c>
      <c r="F85" s="580" t="s">
        <v>1508</v>
      </c>
      <c r="G85" s="36"/>
      <c r="H85" s="587" t="s">
        <v>3565</v>
      </c>
      <c r="I85" s="36"/>
      <c r="J85" s="567"/>
      <c r="K85" s="36"/>
      <c r="L85" s="567"/>
      <c r="M85" s="602" t="s">
        <v>3566</v>
      </c>
    </row>
    <row r="86" spans="1:13" s="44" customFormat="1" ht="29.25">
      <c r="A86" s="618">
        <v>63</v>
      </c>
      <c r="B86" s="605" t="s">
        <v>3584</v>
      </c>
      <c r="C86" s="606" t="s">
        <v>1544</v>
      </c>
      <c r="D86" s="591">
        <v>239533</v>
      </c>
      <c r="E86" s="586">
        <v>5650</v>
      </c>
      <c r="F86" s="580" t="s">
        <v>1508</v>
      </c>
      <c r="G86" s="36"/>
      <c r="H86" s="587" t="s">
        <v>3565</v>
      </c>
      <c r="I86" s="36"/>
      <c r="J86" s="567"/>
      <c r="K86" s="36"/>
      <c r="L86" s="567"/>
      <c r="M86" s="602" t="s">
        <v>3566</v>
      </c>
    </row>
    <row r="87" spans="1:13" s="44" customFormat="1" ht="29.25">
      <c r="A87" s="618">
        <v>64</v>
      </c>
      <c r="B87" s="605" t="s">
        <v>3584</v>
      </c>
      <c r="C87" s="606" t="s">
        <v>1545</v>
      </c>
      <c r="D87" s="591">
        <v>239533</v>
      </c>
      <c r="E87" s="586">
        <v>5650</v>
      </c>
      <c r="F87" s="580" t="s">
        <v>1508</v>
      </c>
      <c r="G87" s="36"/>
      <c r="H87" s="587" t="s">
        <v>3565</v>
      </c>
      <c r="I87" s="36"/>
      <c r="J87" s="567"/>
      <c r="K87" s="36"/>
      <c r="L87" s="567"/>
      <c r="M87" s="602" t="s">
        <v>3566</v>
      </c>
    </row>
    <row r="88" spans="1:13" s="44" customFormat="1" ht="29.25">
      <c r="A88" s="618">
        <v>65</v>
      </c>
      <c r="B88" s="605" t="s">
        <v>3583</v>
      </c>
      <c r="C88" s="606" t="s">
        <v>1546</v>
      </c>
      <c r="D88" s="591">
        <v>239533</v>
      </c>
      <c r="E88" s="586">
        <v>5650</v>
      </c>
      <c r="F88" s="580" t="s">
        <v>1508</v>
      </c>
      <c r="G88" s="36"/>
      <c r="H88" s="587" t="s">
        <v>3565</v>
      </c>
      <c r="I88" s="36"/>
      <c r="J88" s="567"/>
      <c r="K88" s="36"/>
      <c r="L88" s="567"/>
      <c r="M88" s="602" t="s">
        <v>3566</v>
      </c>
    </row>
    <row r="89" spans="1:13" s="44" customFormat="1" ht="29.25">
      <c r="A89" s="618">
        <v>66</v>
      </c>
      <c r="B89" s="605" t="s">
        <v>3583</v>
      </c>
      <c r="C89" s="606" t="s">
        <v>1547</v>
      </c>
      <c r="D89" s="591">
        <v>239533</v>
      </c>
      <c r="E89" s="586">
        <v>4800</v>
      </c>
      <c r="F89" s="580" t="s">
        <v>1508</v>
      </c>
      <c r="G89" s="36"/>
      <c r="H89" s="587" t="s">
        <v>3565</v>
      </c>
      <c r="I89" s="36"/>
      <c r="J89" s="567"/>
      <c r="K89" s="36"/>
      <c r="L89" s="567"/>
      <c r="M89" s="602" t="s">
        <v>3566</v>
      </c>
    </row>
    <row r="90" spans="1:13" s="44" customFormat="1" ht="29.25">
      <c r="A90" s="618">
        <v>67</v>
      </c>
      <c r="B90" s="605" t="s">
        <v>3583</v>
      </c>
      <c r="C90" s="606" t="s">
        <v>1724</v>
      </c>
      <c r="D90" s="591">
        <v>239533</v>
      </c>
      <c r="E90" s="586">
        <v>4800</v>
      </c>
      <c r="F90" s="580" t="s">
        <v>1508</v>
      </c>
      <c r="G90" s="36"/>
      <c r="H90" s="587" t="s">
        <v>3565</v>
      </c>
      <c r="I90" s="36"/>
      <c r="J90" s="567"/>
      <c r="K90" s="36"/>
      <c r="L90" s="567"/>
      <c r="M90" s="602" t="s">
        <v>3566</v>
      </c>
    </row>
    <row r="91" spans="1:13" s="44" customFormat="1" ht="29.25">
      <c r="A91" s="618">
        <v>68</v>
      </c>
      <c r="B91" s="605" t="s">
        <v>3583</v>
      </c>
      <c r="C91" s="606" t="s">
        <v>1548</v>
      </c>
      <c r="D91" s="591">
        <v>239533</v>
      </c>
      <c r="E91" s="586">
        <v>4800</v>
      </c>
      <c r="F91" s="580" t="s">
        <v>1508</v>
      </c>
      <c r="G91" s="36"/>
      <c r="H91" s="587" t="s">
        <v>3565</v>
      </c>
      <c r="I91" s="36"/>
      <c r="J91" s="567"/>
      <c r="K91" s="36"/>
      <c r="L91" s="567"/>
      <c r="M91" s="602" t="s">
        <v>3566</v>
      </c>
    </row>
    <row r="92" spans="1:13" s="44" customFormat="1" ht="29.25">
      <c r="A92" s="618">
        <v>69</v>
      </c>
      <c r="B92" s="605" t="s">
        <v>3583</v>
      </c>
      <c r="C92" s="606" t="s">
        <v>1549</v>
      </c>
      <c r="D92" s="591">
        <v>239533</v>
      </c>
      <c r="E92" s="586">
        <v>4800</v>
      </c>
      <c r="F92" s="580" t="s">
        <v>1508</v>
      </c>
      <c r="G92" s="36"/>
      <c r="H92" s="587" t="s">
        <v>3565</v>
      </c>
      <c r="I92" s="36"/>
      <c r="J92" s="567"/>
      <c r="K92" s="36"/>
      <c r="L92" s="567"/>
      <c r="M92" s="602" t="s">
        <v>3566</v>
      </c>
    </row>
    <row r="93" spans="1:13" s="44" customFormat="1" ht="29.25">
      <c r="A93" s="618">
        <v>70</v>
      </c>
      <c r="B93" s="605" t="s">
        <v>3583</v>
      </c>
      <c r="C93" s="606" t="s">
        <v>1550</v>
      </c>
      <c r="D93" s="591">
        <v>239533</v>
      </c>
      <c r="E93" s="586">
        <v>4800</v>
      </c>
      <c r="F93" s="580" t="s">
        <v>1508</v>
      </c>
      <c r="G93" s="36"/>
      <c r="H93" s="587" t="s">
        <v>3565</v>
      </c>
      <c r="I93" s="36"/>
      <c r="J93" s="567"/>
      <c r="K93" s="36"/>
      <c r="L93" s="567"/>
      <c r="M93" s="602" t="s">
        <v>3566</v>
      </c>
    </row>
    <row r="94" spans="1:13" s="44" customFormat="1" ht="29.25">
      <c r="A94" s="618">
        <v>71</v>
      </c>
      <c r="B94" s="605" t="s">
        <v>3583</v>
      </c>
      <c r="C94" s="606" t="s">
        <v>1551</v>
      </c>
      <c r="D94" s="591">
        <v>239533</v>
      </c>
      <c r="E94" s="586">
        <v>4800</v>
      </c>
      <c r="F94" s="580" t="s">
        <v>1508</v>
      </c>
      <c r="G94" s="36"/>
      <c r="H94" s="587" t="s">
        <v>3565</v>
      </c>
      <c r="I94" s="36"/>
      <c r="J94" s="567"/>
      <c r="K94" s="36"/>
      <c r="L94" s="567"/>
      <c r="M94" s="602" t="s">
        <v>3566</v>
      </c>
    </row>
    <row r="95" spans="1:13" s="44" customFormat="1" ht="29.25">
      <c r="A95" s="618">
        <v>72</v>
      </c>
      <c r="B95" s="605" t="s">
        <v>1556</v>
      </c>
      <c r="C95" s="606" t="s">
        <v>1553</v>
      </c>
      <c r="D95" s="591">
        <v>239533</v>
      </c>
      <c r="E95" s="586">
        <v>72214.48</v>
      </c>
      <c r="F95" s="580" t="s">
        <v>1508</v>
      </c>
      <c r="G95" s="36"/>
      <c r="H95" s="587" t="s">
        <v>3565</v>
      </c>
      <c r="I95" s="36"/>
      <c r="J95" s="567"/>
      <c r="K95" s="36"/>
      <c r="L95" s="567"/>
      <c r="M95" s="602" t="s">
        <v>3566</v>
      </c>
    </row>
    <row r="96" spans="1:13" s="44" customFormat="1" ht="29.25">
      <c r="A96" s="618">
        <v>73</v>
      </c>
      <c r="B96" s="605" t="s">
        <v>3586</v>
      </c>
      <c r="C96" s="606" t="s">
        <v>2075</v>
      </c>
      <c r="D96" s="591">
        <v>239533</v>
      </c>
      <c r="E96" s="586">
        <v>20000</v>
      </c>
      <c r="F96" s="580" t="s">
        <v>1508</v>
      </c>
      <c r="G96" s="36"/>
      <c r="H96" s="587" t="s">
        <v>3565</v>
      </c>
      <c r="I96" s="36"/>
      <c r="J96" s="567"/>
      <c r="K96" s="36"/>
      <c r="L96" s="567"/>
      <c r="M96" s="602" t="s">
        <v>3566</v>
      </c>
    </row>
    <row r="97" spans="1:13" s="44" customFormat="1" ht="18.75">
      <c r="A97" s="618">
        <v>74</v>
      </c>
      <c r="B97" s="605" t="s">
        <v>2072</v>
      </c>
      <c r="C97" s="606" t="s">
        <v>2073</v>
      </c>
      <c r="D97" s="591">
        <v>239735</v>
      </c>
      <c r="E97" s="586">
        <v>10900</v>
      </c>
      <c r="F97" s="580" t="s">
        <v>1508</v>
      </c>
      <c r="G97" s="36"/>
      <c r="H97" s="587" t="s">
        <v>3565</v>
      </c>
      <c r="I97" s="36"/>
      <c r="J97" s="567"/>
      <c r="K97" s="36"/>
      <c r="L97" s="567"/>
      <c r="M97" s="602" t="s">
        <v>3566</v>
      </c>
    </row>
    <row r="98" spans="1:13" s="44" customFormat="1" ht="18.75">
      <c r="A98" s="618">
        <v>75</v>
      </c>
      <c r="B98" s="605" t="s">
        <v>2072</v>
      </c>
      <c r="C98" s="606" t="s">
        <v>2074</v>
      </c>
      <c r="D98" s="591">
        <v>239735</v>
      </c>
      <c r="E98" s="586">
        <v>10900</v>
      </c>
      <c r="F98" s="580" t="s">
        <v>1508</v>
      </c>
      <c r="G98" s="36"/>
      <c r="H98" s="587" t="s">
        <v>3565</v>
      </c>
      <c r="I98" s="36"/>
      <c r="J98" s="567"/>
      <c r="K98" s="36"/>
      <c r="L98" s="567"/>
      <c r="M98" s="602" t="s">
        <v>3566</v>
      </c>
    </row>
    <row r="99" spans="1:13" s="44" customFormat="1" ht="18.75">
      <c r="A99" s="618">
        <v>76</v>
      </c>
      <c r="B99" s="605" t="s">
        <v>2101</v>
      </c>
      <c r="C99" s="606" t="s">
        <v>2102</v>
      </c>
      <c r="D99" s="591">
        <v>240881</v>
      </c>
      <c r="E99" s="586">
        <v>46973</v>
      </c>
      <c r="F99" s="580" t="s">
        <v>1508</v>
      </c>
      <c r="G99" s="36"/>
      <c r="H99" s="587" t="s">
        <v>3565</v>
      </c>
      <c r="I99" s="36"/>
      <c r="J99" s="567"/>
      <c r="K99" s="36"/>
      <c r="L99" s="567"/>
      <c r="M99" s="602" t="s">
        <v>3566</v>
      </c>
    </row>
    <row r="100" spans="1:13" s="44" customFormat="1" ht="18.75">
      <c r="A100" s="618">
        <v>77</v>
      </c>
      <c r="B100" s="605" t="s">
        <v>2101</v>
      </c>
      <c r="C100" s="606" t="s">
        <v>2103</v>
      </c>
      <c r="D100" s="591">
        <v>240881</v>
      </c>
      <c r="E100" s="586">
        <v>46973</v>
      </c>
      <c r="F100" s="580" t="s">
        <v>1508</v>
      </c>
      <c r="G100" s="36"/>
      <c r="H100" s="587" t="s">
        <v>3565</v>
      </c>
      <c r="I100" s="36"/>
      <c r="J100" s="567"/>
      <c r="K100" s="36"/>
      <c r="L100" s="567"/>
      <c r="M100" s="602" t="s">
        <v>3566</v>
      </c>
    </row>
    <row r="101" spans="1:13" s="44" customFormat="1" ht="18.75">
      <c r="A101" s="618">
        <v>78</v>
      </c>
      <c r="B101" s="605" t="s">
        <v>2101</v>
      </c>
      <c r="C101" s="606" t="s">
        <v>2104</v>
      </c>
      <c r="D101" s="591">
        <v>240881</v>
      </c>
      <c r="E101" s="586">
        <v>46973</v>
      </c>
      <c r="F101" s="580" t="s">
        <v>1508</v>
      </c>
      <c r="G101" s="36"/>
      <c r="H101" s="587" t="s">
        <v>3565</v>
      </c>
      <c r="I101" s="36"/>
      <c r="J101" s="567"/>
      <c r="K101" s="36"/>
      <c r="L101" s="567"/>
      <c r="M101" s="602" t="s">
        <v>3566</v>
      </c>
    </row>
    <row r="102" spans="1:13" s="44" customFormat="1" ht="18.75">
      <c r="A102" s="618">
        <v>79</v>
      </c>
      <c r="B102" s="605" t="s">
        <v>2101</v>
      </c>
      <c r="C102" s="606" t="s">
        <v>2105</v>
      </c>
      <c r="D102" s="591">
        <v>240881</v>
      </c>
      <c r="E102" s="586">
        <v>46973</v>
      </c>
      <c r="F102" s="580" t="s">
        <v>1508</v>
      </c>
      <c r="G102" s="36"/>
      <c r="H102" s="587" t="s">
        <v>3565</v>
      </c>
      <c r="I102" s="36"/>
      <c r="J102" s="567"/>
      <c r="K102" s="36"/>
      <c r="L102" s="567"/>
      <c r="M102" s="602" t="s">
        <v>3566</v>
      </c>
    </row>
    <row r="103" spans="1:13" s="44" customFormat="1" ht="18.75">
      <c r="A103" s="618">
        <v>80</v>
      </c>
      <c r="B103" s="605" t="s">
        <v>2101</v>
      </c>
      <c r="C103" s="606" t="s">
        <v>2106</v>
      </c>
      <c r="D103" s="591">
        <v>240881</v>
      </c>
      <c r="E103" s="586">
        <v>46973</v>
      </c>
      <c r="F103" s="580" t="s">
        <v>1508</v>
      </c>
      <c r="G103" s="36"/>
      <c r="H103" s="587" t="s">
        <v>3565</v>
      </c>
      <c r="I103" s="36"/>
      <c r="J103" s="567"/>
      <c r="K103" s="36"/>
      <c r="L103" s="567"/>
      <c r="M103" s="602" t="s">
        <v>3566</v>
      </c>
    </row>
    <row r="104" spans="1:13" s="44" customFormat="1" ht="18.75">
      <c r="A104" s="618">
        <v>81</v>
      </c>
      <c r="B104" s="605" t="s">
        <v>2101</v>
      </c>
      <c r="C104" s="606" t="s">
        <v>2107</v>
      </c>
      <c r="D104" s="591">
        <v>240881</v>
      </c>
      <c r="E104" s="586">
        <v>46973</v>
      </c>
      <c r="F104" s="580" t="s">
        <v>1508</v>
      </c>
      <c r="G104" s="36"/>
      <c r="H104" s="587" t="s">
        <v>3565</v>
      </c>
      <c r="I104" s="36"/>
      <c r="J104" s="567"/>
      <c r="K104" s="36"/>
      <c r="L104" s="567"/>
      <c r="M104" s="602" t="s">
        <v>3566</v>
      </c>
    </row>
    <row r="105" spans="1:13" s="44" customFormat="1" ht="18.75">
      <c r="A105" s="618">
        <v>82</v>
      </c>
      <c r="B105" s="605" t="s">
        <v>2101</v>
      </c>
      <c r="C105" s="606" t="s">
        <v>2108</v>
      </c>
      <c r="D105" s="591">
        <v>240881</v>
      </c>
      <c r="E105" s="586">
        <v>46973</v>
      </c>
      <c r="F105" s="580" t="s">
        <v>1508</v>
      </c>
      <c r="G105" s="36"/>
      <c r="H105" s="587" t="s">
        <v>3565</v>
      </c>
      <c r="I105" s="36"/>
      <c r="J105" s="567"/>
      <c r="K105" s="36"/>
      <c r="L105" s="567"/>
      <c r="M105" s="602" t="s">
        <v>3566</v>
      </c>
    </row>
    <row r="106" spans="1:13" s="44" customFormat="1" ht="18.75">
      <c r="A106" s="618">
        <v>83</v>
      </c>
      <c r="B106" s="605" t="s">
        <v>2101</v>
      </c>
      <c r="C106" s="606" t="s">
        <v>2109</v>
      </c>
      <c r="D106" s="591">
        <v>240881</v>
      </c>
      <c r="E106" s="586">
        <v>46973</v>
      </c>
      <c r="F106" s="580" t="s">
        <v>1508</v>
      </c>
      <c r="G106" s="36"/>
      <c r="H106" s="587" t="s">
        <v>3565</v>
      </c>
      <c r="I106" s="36"/>
      <c r="J106" s="567"/>
      <c r="K106" s="36"/>
      <c r="L106" s="567"/>
      <c r="M106" s="602" t="s">
        <v>3566</v>
      </c>
    </row>
    <row r="107" spans="1:13" s="44" customFormat="1" ht="18.75">
      <c r="A107" s="618">
        <v>84</v>
      </c>
      <c r="B107" s="605" t="s">
        <v>2101</v>
      </c>
      <c r="C107" s="606" t="s">
        <v>2110</v>
      </c>
      <c r="D107" s="591">
        <v>240881</v>
      </c>
      <c r="E107" s="586">
        <v>46973</v>
      </c>
      <c r="F107" s="580" t="s">
        <v>1508</v>
      </c>
      <c r="G107" s="36"/>
      <c r="H107" s="587" t="s">
        <v>3565</v>
      </c>
      <c r="I107" s="36"/>
      <c r="J107" s="567"/>
      <c r="K107" s="36"/>
      <c r="L107" s="567"/>
      <c r="M107" s="602" t="s">
        <v>3566</v>
      </c>
    </row>
    <row r="108" spans="1:13" s="44" customFormat="1" ht="18.75">
      <c r="A108" s="618">
        <v>85</v>
      </c>
      <c r="B108" s="605" t="s">
        <v>2111</v>
      </c>
      <c r="C108" s="606" t="s">
        <v>2112</v>
      </c>
      <c r="D108" s="591">
        <v>240881</v>
      </c>
      <c r="E108" s="586">
        <v>20330</v>
      </c>
      <c r="F108" s="580" t="s">
        <v>1508</v>
      </c>
      <c r="G108" s="36"/>
      <c r="H108" s="587" t="s">
        <v>3565</v>
      </c>
      <c r="I108" s="36"/>
      <c r="J108" s="567"/>
      <c r="K108" s="36"/>
      <c r="L108" s="567"/>
      <c r="M108" s="602" t="s">
        <v>3566</v>
      </c>
    </row>
    <row r="109" spans="1:13" s="44" customFormat="1" ht="18.75">
      <c r="A109" s="618">
        <v>86</v>
      </c>
      <c r="B109" s="605" t="s">
        <v>2098</v>
      </c>
      <c r="C109" s="606" t="s">
        <v>2078</v>
      </c>
      <c r="D109" s="591">
        <v>241009</v>
      </c>
      <c r="E109" s="586">
        <v>8500</v>
      </c>
      <c r="F109" s="580" t="s">
        <v>1508</v>
      </c>
      <c r="G109" s="36"/>
      <c r="H109" s="587" t="s">
        <v>3565</v>
      </c>
      <c r="I109" s="36"/>
      <c r="J109" s="567"/>
      <c r="K109" s="36"/>
      <c r="L109" s="567"/>
      <c r="M109" s="602" t="s">
        <v>3566</v>
      </c>
    </row>
    <row r="110" spans="1:13" s="44" customFormat="1" ht="18.75">
      <c r="A110" s="618">
        <v>87</v>
      </c>
      <c r="B110" s="605" t="s">
        <v>2098</v>
      </c>
      <c r="C110" s="606" t="s">
        <v>2079</v>
      </c>
      <c r="D110" s="591">
        <v>241009</v>
      </c>
      <c r="E110" s="586">
        <v>8500</v>
      </c>
      <c r="F110" s="580" t="s">
        <v>1508</v>
      </c>
      <c r="G110" s="36"/>
      <c r="H110" s="587" t="s">
        <v>3565</v>
      </c>
      <c r="I110" s="36"/>
      <c r="J110" s="567"/>
      <c r="K110" s="36"/>
      <c r="L110" s="567"/>
      <c r="M110" s="602" t="s">
        <v>3566</v>
      </c>
    </row>
    <row r="111" spans="1:13" s="44" customFormat="1" ht="18.75">
      <c r="A111" s="618">
        <v>88</v>
      </c>
      <c r="B111" s="605" t="s">
        <v>2098</v>
      </c>
      <c r="C111" s="606" t="s">
        <v>2080</v>
      </c>
      <c r="D111" s="591">
        <v>241009</v>
      </c>
      <c r="E111" s="586">
        <v>8500</v>
      </c>
      <c r="F111" s="580" t="s">
        <v>1508</v>
      </c>
      <c r="G111" s="36"/>
      <c r="H111" s="587" t="s">
        <v>3565</v>
      </c>
      <c r="I111" s="36"/>
      <c r="J111" s="567"/>
      <c r="K111" s="36"/>
      <c r="L111" s="567"/>
      <c r="M111" s="602" t="s">
        <v>3566</v>
      </c>
    </row>
    <row r="112" spans="1:13" s="44" customFormat="1" ht="18.75">
      <c r="A112" s="618">
        <v>89</v>
      </c>
      <c r="B112" s="605" t="s">
        <v>2098</v>
      </c>
      <c r="C112" s="606" t="s">
        <v>2081</v>
      </c>
      <c r="D112" s="591">
        <v>241009</v>
      </c>
      <c r="E112" s="586">
        <v>8500</v>
      </c>
      <c r="F112" s="580" t="s">
        <v>1508</v>
      </c>
      <c r="G112" s="36"/>
      <c r="H112" s="587" t="s">
        <v>3565</v>
      </c>
      <c r="I112" s="36"/>
      <c r="J112" s="567"/>
      <c r="K112" s="36"/>
      <c r="L112" s="567"/>
      <c r="M112" s="602" t="s">
        <v>3566</v>
      </c>
    </row>
    <row r="113" spans="1:13" s="44" customFormat="1" ht="18.75">
      <c r="A113" s="618">
        <v>90</v>
      </c>
      <c r="B113" s="605" t="s">
        <v>2098</v>
      </c>
      <c r="C113" s="606" t="s">
        <v>2082</v>
      </c>
      <c r="D113" s="591">
        <v>241009</v>
      </c>
      <c r="E113" s="586">
        <v>8500</v>
      </c>
      <c r="F113" s="580" t="s">
        <v>1508</v>
      </c>
      <c r="G113" s="36"/>
      <c r="H113" s="587" t="s">
        <v>3565</v>
      </c>
      <c r="I113" s="36"/>
      <c r="J113" s="567"/>
      <c r="K113" s="36"/>
      <c r="L113" s="567"/>
      <c r="M113" s="602" t="s">
        <v>3566</v>
      </c>
    </row>
    <row r="114" spans="1:13" s="44" customFormat="1" ht="18.75">
      <c r="A114" s="618">
        <v>91</v>
      </c>
      <c r="B114" s="605" t="s">
        <v>2098</v>
      </c>
      <c r="C114" s="606" t="s">
        <v>2083</v>
      </c>
      <c r="D114" s="591">
        <v>241009</v>
      </c>
      <c r="E114" s="586">
        <v>8500</v>
      </c>
      <c r="F114" s="580" t="s">
        <v>1508</v>
      </c>
      <c r="G114" s="36"/>
      <c r="H114" s="587" t="s">
        <v>3565</v>
      </c>
      <c r="I114" s="36"/>
      <c r="J114" s="567"/>
      <c r="K114" s="36"/>
      <c r="L114" s="567"/>
      <c r="M114" s="602" t="s">
        <v>3566</v>
      </c>
    </row>
    <row r="115" spans="1:13" s="44" customFormat="1" ht="18.75">
      <c r="A115" s="618">
        <v>92</v>
      </c>
      <c r="B115" s="605" t="s">
        <v>2098</v>
      </c>
      <c r="C115" s="606" t="s">
        <v>2084</v>
      </c>
      <c r="D115" s="591">
        <v>241009</v>
      </c>
      <c r="E115" s="586">
        <v>8500</v>
      </c>
      <c r="F115" s="580" t="s">
        <v>1508</v>
      </c>
      <c r="G115" s="36"/>
      <c r="H115" s="587" t="s">
        <v>3565</v>
      </c>
      <c r="I115" s="36"/>
      <c r="J115" s="567"/>
      <c r="K115" s="36"/>
      <c r="L115" s="567"/>
      <c r="M115" s="602" t="s">
        <v>3566</v>
      </c>
    </row>
    <row r="116" spans="1:13" s="44" customFormat="1" ht="18.75">
      <c r="A116" s="618">
        <v>93</v>
      </c>
      <c r="B116" s="605" t="s">
        <v>2098</v>
      </c>
      <c r="C116" s="606" t="s">
        <v>2085</v>
      </c>
      <c r="D116" s="591">
        <v>241009</v>
      </c>
      <c r="E116" s="586">
        <v>8500</v>
      </c>
      <c r="F116" s="580" t="s">
        <v>1508</v>
      </c>
      <c r="G116" s="36"/>
      <c r="H116" s="587" t="s">
        <v>3565</v>
      </c>
      <c r="I116" s="36"/>
      <c r="J116" s="567"/>
      <c r="K116" s="36"/>
      <c r="L116" s="567"/>
      <c r="M116" s="602" t="s">
        <v>3566</v>
      </c>
    </row>
    <row r="117" spans="1:13" s="44" customFormat="1" ht="18.75">
      <c r="A117" s="618">
        <v>94</v>
      </c>
      <c r="B117" s="605" t="s">
        <v>2098</v>
      </c>
      <c r="C117" s="606" t="s">
        <v>2086</v>
      </c>
      <c r="D117" s="591">
        <v>241009</v>
      </c>
      <c r="E117" s="586">
        <v>8500</v>
      </c>
      <c r="F117" s="580" t="s">
        <v>1508</v>
      </c>
      <c r="G117" s="36"/>
      <c r="H117" s="587" t="s">
        <v>3565</v>
      </c>
      <c r="I117" s="36"/>
      <c r="J117" s="567"/>
      <c r="K117" s="36"/>
      <c r="L117" s="567"/>
      <c r="M117" s="602" t="s">
        <v>3566</v>
      </c>
    </row>
    <row r="118" spans="1:13" s="44" customFormat="1" ht="18.75">
      <c r="A118" s="618">
        <v>95</v>
      </c>
      <c r="B118" s="605" t="s">
        <v>2098</v>
      </c>
      <c r="C118" s="606" t="s">
        <v>2087</v>
      </c>
      <c r="D118" s="591">
        <v>241009</v>
      </c>
      <c r="E118" s="586">
        <v>8500</v>
      </c>
      <c r="F118" s="580" t="s">
        <v>1508</v>
      </c>
      <c r="G118" s="36"/>
      <c r="H118" s="587" t="s">
        <v>3565</v>
      </c>
      <c r="I118" s="36"/>
      <c r="J118" s="567"/>
      <c r="K118" s="36"/>
      <c r="L118" s="567"/>
      <c r="M118" s="602" t="s">
        <v>3566</v>
      </c>
    </row>
    <row r="119" spans="1:13" s="44" customFormat="1" ht="18.75">
      <c r="A119" s="618">
        <v>96</v>
      </c>
      <c r="B119" s="605" t="s">
        <v>2098</v>
      </c>
      <c r="C119" s="606" t="s">
        <v>2088</v>
      </c>
      <c r="D119" s="591">
        <v>241009</v>
      </c>
      <c r="E119" s="586">
        <v>8500</v>
      </c>
      <c r="F119" s="580" t="s">
        <v>1508</v>
      </c>
      <c r="G119" s="36"/>
      <c r="H119" s="587" t="s">
        <v>3565</v>
      </c>
      <c r="I119" s="36"/>
      <c r="J119" s="567"/>
      <c r="K119" s="36"/>
      <c r="L119" s="567"/>
      <c r="M119" s="602" t="s">
        <v>3566</v>
      </c>
    </row>
    <row r="120" spans="1:13" s="44" customFormat="1" ht="18.75">
      <c r="A120" s="618">
        <v>97</v>
      </c>
      <c r="B120" s="605" t="s">
        <v>2098</v>
      </c>
      <c r="C120" s="606" t="s">
        <v>2089</v>
      </c>
      <c r="D120" s="591">
        <v>241009</v>
      </c>
      <c r="E120" s="586">
        <v>8500</v>
      </c>
      <c r="F120" s="580" t="s">
        <v>1508</v>
      </c>
      <c r="G120" s="36"/>
      <c r="H120" s="587" t="s">
        <v>3565</v>
      </c>
      <c r="I120" s="36"/>
      <c r="J120" s="567"/>
      <c r="K120" s="36"/>
      <c r="L120" s="567"/>
      <c r="M120" s="602" t="s">
        <v>3566</v>
      </c>
    </row>
    <row r="121" spans="1:13" s="88" customFormat="1" ht="19.5">
      <c r="A121" s="618">
        <v>98</v>
      </c>
      <c r="B121" s="605" t="s">
        <v>2098</v>
      </c>
      <c r="C121" s="606" t="s">
        <v>2090</v>
      </c>
      <c r="D121" s="591">
        <v>241009</v>
      </c>
      <c r="E121" s="586">
        <v>8500</v>
      </c>
      <c r="F121" s="580" t="s">
        <v>1508</v>
      </c>
      <c r="G121" s="36"/>
      <c r="H121" s="587" t="s">
        <v>3565</v>
      </c>
      <c r="I121" s="36"/>
      <c r="J121" s="567"/>
      <c r="K121" s="36"/>
      <c r="L121" s="567"/>
      <c r="M121" s="602" t="s">
        <v>3566</v>
      </c>
    </row>
    <row r="122" spans="1:13" s="44" customFormat="1" ht="18.75">
      <c r="A122" s="618">
        <v>99</v>
      </c>
      <c r="B122" s="605" t="s">
        <v>2098</v>
      </c>
      <c r="C122" s="606" t="s">
        <v>2091</v>
      </c>
      <c r="D122" s="591">
        <v>241009</v>
      </c>
      <c r="E122" s="586">
        <v>8500</v>
      </c>
      <c r="F122" s="580" t="s">
        <v>1508</v>
      </c>
      <c r="G122" s="36"/>
      <c r="H122" s="587" t="s">
        <v>3565</v>
      </c>
      <c r="I122" s="36"/>
      <c r="J122" s="567"/>
      <c r="K122" s="36"/>
      <c r="L122" s="567"/>
      <c r="M122" s="602" t="s">
        <v>3566</v>
      </c>
    </row>
    <row r="123" spans="1:13" s="44" customFormat="1" ht="18.75">
      <c r="A123" s="618">
        <v>100</v>
      </c>
      <c r="B123" s="605" t="s">
        <v>2098</v>
      </c>
      <c r="C123" s="606" t="s">
        <v>2092</v>
      </c>
      <c r="D123" s="591">
        <v>241009</v>
      </c>
      <c r="E123" s="586">
        <v>8500</v>
      </c>
      <c r="F123" s="580" t="s">
        <v>1508</v>
      </c>
      <c r="G123" s="36"/>
      <c r="H123" s="587" t="s">
        <v>3565</v>
      </c>
      <c r="I123" s="36"/>
      <c r="J123" s="567"/>
      <c r="K123" s="36"/>
      <c r="L123" s="567"/>
      <c r="M123" s="602" t="s">
        <v>3566</v>
      </c>
    </row>
    <row r="124" spans="1:13" s="44" customFormat="1" ht="18.75">
      <c r="A124" s="618">
        <v>101</v>
      </c>
      <c r="B124" s="605" t="s">
        <v>2098</v>
      </c>
      <c r="C124" s="606" t="s">
        <v>2093</v>
      </c>
      <c r="D124" s="591">
        <v>241009</v>
      </c>
      <c r="E124" s="586">
        <v>8500</v>
      </c>
      <c r="F124" s="580" t="s">
        <v>1508</v>
      </c>
      <c r="G124" s="36"/>
      <c r="H124" s="587" t="s">
        <v>3565</v>
      </c>
      <c r="I124" s="36"/>
      <c r="J124" s="567"/>
      <c r="K124" s="36"/>
      <c r="L124" s="567"/>
      <c r="M124" s="602" t="s">
        <v>3566</v>
      </c>
    </row>
    <row r="125" spans="1:13" s="44" customFormat="1" ht="18.75">
      <c r="A125" s="618">
        <v>102</v>
      </c>
      <c r="B125" s="605" t="s">
        <v>2098</v>
      </c>
      <c r="C125" s="606" t="s">
        <v>2094</v>
      </c>
      <c r="D125" s="591">
        <v>241009</v>
      </c>
      <c r="E125" s="586">
        <v>8500</v>
      </c>
      <c r="F125" s="580" t="s">
        <v>1508</v>
      </c>
      <c r="G125" s="36"/>
      <c r="H125" s="587" t="s">
        <v>3565</v>
      </c>
      <c r="I125" s="36"/>
      <c r="J125" s="567"/>
      <c r="K125" s="36"/>
      <c r="L125" s="567"/>
      <c r="M125" s="602" t="s">
        <v>3566</v>
      </c>
    </row>
    <row r="126" spans="1:13" s="44" customFormat="1" ht="18.75">
      <c r="A126" s="618">
        <v>103</v>
      </c>
      <c r="B126" s="605" t="s">
        <v>2098</v>
      </c>
      <c r="C126" s="606" t="s">
        <v>2095</v>
      </c>
      <c r="D126" s="591">
        <v>241009</v>
      </c>
      <c r="E126" s="586">
        <v>8500</v>
      </c>
      <c r="F126" s="580" t="s">
        <v>1508</v>
      </c>
      <c r="G126" s="36"/>
      <c r="H126" s="587" t="s">
        <v>3565</v>
      </c>
      <c r="I126" s="36"/>
      <c r="J126" s="567"/>
      <c r="K126" s="36"/>
      <c r="L126" s="567"/>
      <c r="M126" s="602" t="s">
        <v>3566</v>
      </c>
    </row>
    <row r="127" spans="1:13" s="44" customFormat="1" ht="18.75">
      <c r="A127" s="618">
        <v>104</v>
      </c>
      <c r="B127" s="605" t="s">
        <v>2098</v>
      </c>
      <c r="C127" s="606" t="s">
        <v>2096</v>
      </c>
      <c r="D127" s="591">
        <v>241009</v>
      </c>
      <c r="E127" s="586">
        <v>8500</v>
      </c>
      <c r="F127" s="580" t="s">
        <v>1508</v>
      </c>
      <c r="G127" s="36"/>
      <c r="H127" s="587" t="s">
        <v>3565</v>
      </c>
      <c r="I127" s="36"/>
      <c r="J127" s="567"/>
      <c r="K127" s="36"/>
      <c r="L127" s="567"/>
      <c r="M127" s="602" t="s">
        <v>3566</v>
      </c>
    </row>
    <row r="128" spans="1:13" s="44" customFormat="1" ht="18.75">
      <c r="A128" s="618">
        <v>105</v>
      </c>
      <c r="B128" s="605" t="s">
        <v>2098</v>
      </c>
      <c r="C128" s="606" t="s">
        <v>2097</v>
      </c>
      <c r="D128" s="591">
        <v>241009</v>
      </c>
      <c r="E128" s="586">
        <v>8500</v>
      </c>
      <c r="F128" s="580" t="s">
        <v>1508</v>
      </c>
      <c r="G128" s="36"/>
      <c r="H128" s="587" t="s">
        <v>3565</v>
      </c>
      <c r="I128" s="36"/>
      <c r="J128" s="567"/>
      <c r="K128" s="36"/>
      <c r="L128" s="567"/>
      <c r="M128" s="602" t="s">
        <v>3566</v>
      </c>
    </row>
    <row r="129" spans="1:13" s="44" customFormat="1" ht="18.75">
      <c r="A129" s="618">
        <v>106</v>
      </c>
      <c r="B129" s="605" t="s">
        <v>2200</v>
      </c>
      <c r="C129" s="606" t="s">
        <v>2201</v>
      </c>
      <c r="D129" s="591">
        <v>241009</v>
      </c>
      <c r="E129" s="592">
        <v>9000</v>
      </c>
      <c r="F129" s="580" t="s">
        <v>1508</v>
      </c>
      <c r="G129" s="36"/>
      <c r="H129" s="587" t="s">
        <v>3565</v>
      </c>
      <c r="I129" s="36"/>
      <c r="J129" s="567"/>
      <c r="K129" s="36"/>
      <c r="L129" s="567"/>
      <c r="M129" s="602" t="s">
        <v>3566</v>
      </c>
    </row>
    <row r="130" spans="1:13" s="44" customFormat="1" ht="18.75">
      <c r="A130" s="618">
        <v>107</v>
      </c>
      <c r="B130" s="605" t="s">
        <v>2200</v>
      </c>
      <c r="C130" s="606" t="s">
        <v>2202</v>
      </c>
      <c r="D130" s="591">
        <v>241009</v>
      </c>
      <c r="E130" s="592">
        <v>9000</v>
      </c>
      <c r="F130" s="580" t="s">
        <v>1508</v>
      </c>
      <c r="G130" s="36"/>
      <c r="H130" s="587" t="s">
        <v>3565</v>
      </c>
      <c r="I130" s="36"/>
      <c r="J130" s="567"/>
      <c r="K130" s="36"/>
      <c r="L130" s="567"/>
      <c r="M130" s="602" t="s">
        <v>3566</v>
      </c>
    </row>
    <row r="131" spans="1:13" s="44" customFormat="1" ht="18.75">
      <c r="A131" s="618">
        <v>108</v>
      </c>
      <c r="B131" s="605" t="s">
        <v>2200</v>
      </c>
      <c r="C131" s="606" t="s">
        <v>2203</v>
      </c>
      <c r="D131" s="591">
        <v>241009</v>
      </c>
      <c r="E131" s="592">
        <v>9000</v>
      </c>
      <c r="F131" s="580" t="s">
        <v>1508</v>
      </c>
      <c r="G131" s="36"/>
      <c r="H131" s="587" t="s">
        <v>3565</v>
      </c>
      <c r="I131" s="36"/>
      <c r="J131" s="567"/>
      <c r="K131" s="36"/>
      <c r="L131" s="567"/>
      <c r="M131" s="602" t="s">
        <v>3566</v>
      </c>
    </row>
    <row r="132" spans="1:13" s="44" customFormat="1" ht="18.75">
      <c r="A132" s="567"/>
      <c r="B132" s="567"/>
      <c r="C132" s="567"/>
      <c r="D132" s="596"/>
      <c r="E132" s="567"/>
      <c r="F132" s="567"/>
      <c r="G132" s="36"/>
      <c r="H132" s="567"/>
      <c r="I132" s="36"/>
      <c r="J132" s="567"/>
      <c r="K132" s="36"/>
      <c r="L132" s="567"/>
      <c r="M132" s="567"/>
    </row>
    <row r="133" spans="1:13" s="44" customFormat="1" ht="18.75">
      <c r="A133" s="581"/>
      <c r="B133" s="607" t="s">
        <v>3587</v>
      </c>
      <c r="C133" s="581"/>
      <c r="D133" s="597"/>
      <c r="E133" s="581"/>
      <c r="F133" s="581"/>
      <c r="G133" s="36"/>
      <c r="H133" s="581"/>
      <c r="I133" s="36"/>
      <c r="J133" s="581"/>
      <c r="K133" s="36"/>
      <c r="L133" s="581"/>
      <c r="M133" s="581"/>
    </row>
    <row r="134" spans="1:13" s="44" customFormat="1" ht="18.75">
      <c r="A134" s="618">
        <v>109</v>
      </c>
      <c r="B134" s="605" t="s">
        <v>1537</v>
      </c>
      <c r="C134" s="606" t="s">
        <v>1538</v>
      </c>
      <c r="D134" s="591">
        <v>239528</v>
      </c>
      <c r="E134" s="592">
        <v>68500</v>
      </c>
      <c r="F134" s="580" t="s">
        <v>1508</v>
      </c>
      <c r="G134" s="36"/>
      <c r="H134" s="587" t="s">
        <v>3565</v>
      </c>
      <c r="I134" s="36"/>
      <c r="J134" s="567"/>
      <c r="K134" s="36"/>
      <c r="L134" s="567"/>
      <c r="M134" s="602" t="s">
        <v>3566</v>
      </c>
    </row>
    <row r="135" spans="1:13" s="44" customFormat="1" ht="29.25">
      <c r="A135" s="618">
        <v>110</v>
      </c>
      <c r="B135" s="605" t="s">
        <v>1552</v>
      </c>
      <c r="C135" s="606" t="s">
        <v>1976</v>
      </c>
      <c r="D135" s="591">
        <v>239528</v>
      </c>
      <c r="E135" s="592">
        <v>68500</v>
      </c>
      <c r="F135" s="580" t="s">
        <v>1508</v>
      </c>
      <c r="G135" s="36"/>
      <c r="H135" s="587" t="s">
        <v>3565</v>
      </c>
      <c r="I135" s="36"/>
      <c r="J135" s="567"/>
      <c r="K135" s="36"/>
      <c r="L135" s="567"/>
      <c r="M135" s="602" t="s">
        <v>3566</v>
      </c>
    </row>
    <row r="136" spans="1:13" s="44" customFormat="1" ht="18.75">
      <c r="A136" s="579"/>
      <c r="B136" s="567"/>
      <c r="C136" s="567"/>
      <c r="D136" s="596"/>
      <c r="E136" s="567"/>
      <c r="F136" s="567"/>
      <c r="G136" s="36"/>
      <c r="H136" s="567"/>
      <c r="I136" s="36"/>
      <c r="J136" s="567"/>
      <c r="K136" s="36"/>
      <c r="L136" s="567"/>
      <c r="M136" s="567"/>
    </row>
    <row r="137" spans="1:13" s="44" customFormat="1" ht="18.75">
      <c r="A137" s="583"/>
      <c r="B137" s="607" t="s">
        <v>3588</v>
      </c>
      <c r="C137" s="581"/>
      <c r="D137" s="597"/>
      <c r="E137" s="581"/>
      <c r="F137" s="581"/>
      <c r="G137" s="36"/>
      <c r="H137" s="581"/>
      <c r="I137" s="36"/>
      <c r="J137" s="581"/>
      <c r="K137" s="36"/>
      <c r="L137" s="581"/>
      <c r="M137" s="581"/>
    </row>
    <row r="138" spans="1:13" s="44" customFormat="1" ht="18.75">
      <c r="A138" s="618">
        <v>111</v>
      </c>
      <c r="B138" s="605" t="s">
        <v>876</v>
      </c>
      <c r="C138" s="606" t="s">
        <v>878</v>
      </c>
      <c r="D138" s="591">
        <v>237997</v>
      </c>
      <c r="E138" s="586">
        <v>27000</v>
      </c>
      <c r="F138" s="580" t="s">
        <v>3490</v>
      </c>
      <c r="G138" s="36"/>
      <c r="H138" s="587" t="s">
        <v>3565</v>
      </c>
      <c r="I138" s="36"/>
      <c r="J138" s="567"/>
      <c r="K138" s="36"/>
      <c r="L138" s="567"/>
      <c r="M138" s="602" t="s">
        <v>3566</v>
      </c>
    </row>
    <row r="139" spans="1:13" s="44" customFormat="1" ht="18.75">
      <c r="A139" s="618">
        <v>112</v>
      </c>
      <c r="B139" s="605" t="s">
        <v>3564</v>
      </c>
      <c r="C139" s="606" t="s">
        <v>881</v>
      </c>
      <c r="D139" s="591">
        <v>237997</v>
      </c>
      <c r="E139" s="586">
        <v>62200</v>
      </c>
      <c r="F139" s="580" t="s">
        <v>3490</v>
      </c>
      <c r="G139" s="36"/>
      <c r="H139" s="587" t="s">
        <v>3565</v>
      </c>
      <c r="I139" s="36"/>
      <c r="J139" s="567"/>
      <c r="K139" s="36"/>
      <c r="L139" s="567"/>
      <c r="M139" s="602" t="s">
        <v>3566</v>
      </c>
    </row>
    <row r="140" spans="1:13" s="44" customFormat="1" ht="18.75">
      <c r="A140" s="579"/>
      <c r="B140" s="567"/>
      <c r="C140" s="567"/>
      <c r="D140" s="596"/>
      <c r="E140" s="567"/>
      <c r="F140" s="567"/>
      <c r="G140" s="36"/>
      <c r="H140" s="567"/>
      <c r="I140" s="36"/>
      <c r="J140" s="567"/>
      <c r="K140" s="36"/>
      <c r="L140" s="567"/>
      <c r="M140" s="567"/>
    </row>
    <row r="141" spans="1:13" s="44" customFormat="1" ht="18.75">
      <c r="A141" s="583"/>
      <c r="B141" s="581" t="s">
        <v>3589</v>
      </c>
      <c r="C141" s="581"/>
      <c r="D141" s="597"/>
      <c r="E141" s="581"/>
      <c r="F141" s="581"/>
      <c r="G141" s="36"/>
      <c r="H141" s="581"/>
      <c r="I141" s="36"/>
      <c r="J141" s="581"/>
      <c r="K141" s="36"/>
      <c r="L141" s="581"/>
      <c r="M141" s="581"/>
    </row>
    <row r="142" spans="1:13" s="44" customFormat="1" ht="18.75">
      <c r="A142" s="618">
        <v>113</v>
      </c>
      <c r="B142" s="567" t="s">
        <v>893</v>
      </c>
      <c r="C142" s="584" t="s">
        <v>894</v>
      </c>
      <c r="D142" s="591">
        <v>18851</v>
      </c>
      <c r="E142" s="586">
        <v>3980</v>
      </c>
      <c r="F142" s="580" t="s">
        <v>3490</v>
      </c>
      <c r="G142" s="36"/>
      <c r="H142" s="567"/>
      <c r="I142" s="36"/>
      <c r="J142" s="567"/>
      <c r="K142" s="36"/>
      <c r="L142" s="587" t="s">
        <v>3565</v>
      </c>
      <c r="M142" s="602" t="s">
        <v>3566</v>
      </c>
    </row>
    <row r="143" spans="1:13" s="44" customFormat="1" ht="29.25">
      <c r="A143" s="618">
        <v>114</v>
      </c>
      <c r="B143" s="605" t="s">
        <v>895</v>
      </c>
      <c r="C143" s="584" t="s">
        <v>896</v>
      </c>
      <c r="D143" s="591">
        <v>230508</v>
      </c>
      <c r="E143" s="586">
        <v>27500</v>
      </c>
      <c r="F143" s="580" t="s">
        <v>3490</v>
      </c>
      <c r="G143" s="36"/>
      <c r="H143" s="567"/>
      <c r="I143" s="36"/>
      <c r="J143" s="567"/>
      <c r="K143" s="36"/>
      <c r="L143" s="587" t="s">
        <v>3565</v>
      </c>
      <c r="M143" s="602" t="s">
        <v>3566</v>
      </c>
    </row>
    <row r="144" spans="1:13" s="44" customFormat="1" ht="18.75">
      <c r="A144" s="567"/>
      <c r="B144" s="567"/>
      <c r="C144" s="567"/>
      <c r="D144" s="591"/>
      <c r="E144" s="567"/>
      <c r="F144" s="567"/>
      <c r="G144" s="36"/>
      <c r="H144" s="567"/>
      <c r="I144" s="36"/>
      <c r="J144" s="567"/>
      <c r="K144" s="36"/>
      <c r="L144" s="567"/>
      <c r="M144" s="567"/>
    </row>
    <row r="145" spans="1:13" s="44" customFormat="1" ht="18.75">
      <c r="A145" s="581"/>
      <c r="B145" s="581" t="s">
        <v>1740</v>
      </c>
      <c r="C145" s="581"/>
      <c r="D145" s="594"/>
      <c r="E145" s="581"/>
      <c r="F145" s="581"/>
      <c r="G145" s="36"/>
      <c r="H145" s="581"/>
      <c r="I145" s="36"/>
      <c r="J145" s="581"/>
      <c r="K145" s="36"/>
      <c r="L145" s="581"/>
      <c r="M145" s="581"/>
    </row>
    <row r="146" spans="1:13" s="44" customFormat="1" ht="29.25">
      <c r="A146" s="617">
        <v>115</v>
      </c>
      <c r="B146" s="605" t="s">
        <v>3590</v>
      </c>
      <c r="C146" s="584" t="s">
        <v>1483</v>
      </c>
      <c r="D146" s="591">
        <v>238286</v>
      </c>
      <c r="E146" s="586">
        <v>9656.75</v>
      </c>
      <c r="F146" s="580" t="s">
        <v>3178</v>
      </c>
      <c r="G146" s="36"/>
      <c r="H146" s="567"/>
      <c r="I146" s="36"/>
      <c r="J146" s="567"/>
      <c r="K146" s="36"/>
      <c r="L146" s="587" t="s">
        <v>3565</v>
      </c>
      <c r="M146" s="602" t="s">
        <v>3566</v>
      </c>
    </row>
    <row r="147" spans="1:13" s="44" customFormat="1" ht="29.25">
      <c r="A147" s="617">
        <v>116</v>
      </c>
      <c r="B147" s="605" t="s">
        <v>3590</v>
      </c>
      <c r="C147" s="584" t="s">
        <v>1484</v>
      </c>
      <c r="D147" s="591">
        <v>238286</v>
      </c>
      <c r="E147" s="592">
        <v>9656.75</v>
      </c>
      <c r="F147" s="580" t="s">
        <v>3178</v>
      </c>
      <c r="G147" s="36"/>
      <c r="H147" s="567"/>
      <c r="I147" s="36"/>
      <c r="J147" s="567"/>
      <c r="K147" s="36"/>
      <c r="L147" s="587" t="s">
        <v>3565</v>
      </c>
      <c r="M147" s="602" t="s">
        <v>3566</v>
      </c>
    </row>
    <row r="148" spans="1:13" s="44" customFormat="1" ht="29.25">
      <c r="A148" s="617">
        <v>117</v>
      </c>
      <c r="B148" s="605" t="s">
        <v>3591</v>
      </c>
      <c r="C148" s="584" t="s">
        <v>1485</v>
      </c>
      <c r="D148" s="591">
        <v>238286</v>
      </c>
      <c r="E148" s="592">
        <v>10111.5</v>
      </c>
      <c r="F148" s="580" t="s">
        <v>3178</v>
      </c>
      <c r="G148" s="36"/>
      <c r="H148" s="567"/>
      <c r="I148" s="36"/>
      <c r="J148" s="567"/>
      <c r="K148" s="36"/>
      <c r="L148" s="587" t="s">
        <v>3565</v>
      </c>
      <c r="M148" s="602" t="s">
        <v>3566</v>
      </c>
    </row>
    <row r="149" spans="1:13" s="44" customFormat="1" ht="29.25">
      <c r="A149" s="617">
        <v>118</v>
      </c>
      <c r="B149" s="605" t="s">
        <v>3591</v>
      </c>
      <c r="C149" s="584" t="s">
        <v>1486</v>
      </c>
      <c r="D149" s="591">
        <v>238286</v>
      </c>
      <c r="E149" s="592">
        <v>10111.5</v>
      </c>
      <c r="F149" s="580" t="s">
        <v>3178</v>
      </c>
      <c r="G149" s="36"/>
      <c r="H149" s="567"/>
      <c r="I149" s="36"/>
      <c r="J149" s="567"/>
      <c r="K149" s="36"/>
      <c r="L149" s="587" t="s">
        <v>3565</v>
      </c>
      <c r="M149" s="602" t="s">
        <v>3566</v>
      </c>
    </row>
    <row r="150" spans="1:13" s="44" customFormat="1" ht="29.25">
      <c r="A150" s="617">
        <v>119</v>
      </c>
      <c r="B150" s="605" t="s">
        <v>3592</v>
      </c>
      <c r="C150" s="584" t="s">
        <v>1487</v>
      </c>
      <c r="D150" s="591">
        <v>238286</v>
      </c>
      <c r="E150" s="586">
        <v>10165</v>
      </c>
      <c r="F150" s="580" t="s">
        <v>3178</v>
      </c>
      <c r="G150" s="36"/>
      <c r="H150" s="567"/>
      <c r="I150" s="36"/>
      <c r="J150" s="567"/>
      <c r="K150" s="36"/>
      <c r="L150" s="587" t="s">
        <v>3565</v>
      </c>
      <c r="M150" s="602" t="s">
        <v>3566</v>
      </c>
    </row>
    <row r="151" spans="1:13" s="44" customFormat="1" ht="29.25">
      <c r="A151" s="617">
        <v>120</v>
      </c>
      <c r="B151" s="605" t="s">
        <v>3592</v>
      </c>
      <c r="C151" s="584" t="s">
        <v>1488</v>
      </c>
      <c r="D151" s="591">
        <v>238286</v>
      </c>
      <c r="E151" s="586">
        <v>10165</v>
      </c>
      <c r="F151" s="580" t="s">
        <v>3178</v>
      </c>
      <c r="G151" s="36"/>
      <c r="H151" s="567"/>
      <c r="I151" s="36"/>
      <c r="J151" s="567"/>
      <c r="K151" s="36"/>
      <c r="L151" s="587" t="s">
        <v>3565</v>
      </c>
      <c r="M151" s="602" t="s">
        <v>3566</v>
      </c>
    </row>
    <row r="152" spans="1:13" s="44" customFormat="1" ht="18.75">
      <c r="A152" s="567"/>
      <c r="B152" s="567"/>
      <c r="C152" s="567"/>
      <c r="D152" s="591"/>
      <c r="E152" s="586"/>
      <c r="F152" s="580"/>
      <c r="G152" s="36"/>
      <c r="H152" s="567"/>
      <c r="I152" s="36"/>
      <c r="J152" s="567"/>
      <c r="K152" s="36"/>
      <c r="L152" s="567"/>
      <c r="M152" s="567"/>
    </row>
    <row r="153" spans="1:13" s="44" customFormat="1" ht="18.75">
      <c r="A153" s="581"/>
      <c r="B153" s="581" t="s">
        <v>3593</v>
      </c>
      <c r="C153" s="581"/>
      <c r="D153" s="594"/>
      <c r="E153" s="595"/>
      <c r="F153" s="590"/>
      <c r="G153" s="36"/>
      <c r="H153" s="581"/>
      <c r="I153" s="36"/>
      <c r="J153" s="581"/>
      <c r="K153" s="36"/>
      <c r="L153" s="581"/>
      <c r="M153" s="581"/>
    </row>
    <row r="154" spans="1:13" s="44" customFormat="1" ht="18.75">
      <c r="A154" s="567">
        <v>121</v>
      </c>
      <c r="B154" s="567" t="s">
        <v>617</v>
      </c>
      <c r="C154" s="584" t="s">
        <v>620</v>
      </c>
      <c r="D154" s="591">
        <v>236094</v>
      </c>
      <c r="E154" s="586">
        <v>51400</v>
      </c>
      <c r="F154" s="580" t="s">
        <v>1508</v>
      </c>
      <c r="G154" s="36"/>
      <c r="H154" s="587" t="s">
        <v>3565</v>
      </c>
      <c r="I154" s="36"/>
      <c r="J154" s="567"/>
      <c r="K154" s="36"/>
      <c r="L154" s="567"/>
      <c r="M154" s="602" t="s">
        <v>3566</v>
      </c>
    </row>
    <row r="155" spans="1:13" s="44" customFormat="1" ht="18.75">
      <c r="A155" s="567">
        <v>122</v>
      </c>
      <c r="B155" s="567" t="s">
        <v>617</v>
      </c>
      <c r="C155" s="584" t="s">
        <v>3142</v>
      </c>
      <c r="D155" s="591">
        <v>236454</v>
      </c>
      <c r="E155" s="586">
        <v>46564.26</v>
      </c>
      <c r="F155" s="580" t="s">
        <v>3143</v>
      </c>
      <c r="G155" s="36"/>
      <c r="H155" s="587" t="s">
        <v>3565</v>
      </c>
      <c r="I155" s="36"/>
      <c r="J155" s="567"/>
      <c r="K155" s="36"/>
      <c r="L155" s="567"/>
      <c r="M155" s="602" t="s">
        <v>3566</v>
      </c>
    </row>
    <row r="156" spans="1:13" s="44" customFormat="1" ht="18.75">
      <c r="A156" s="567">
        <v>123</v>
      </c>
      <c r="B156" s="567" t="s">
        <v>5</v>
      </c>
      <c r="C156" s="584" t="s">
        <v>11</v>
      </c>
      <c r="D156" s="591">
        <v>238322</v>
      </c>
      <c r="E156" s="586">
        <v>34600</v>
      </c>
      <c r="F156" s="580" t="s">
        <v>3594</v>
      </c>
      <c r="G156" s="36"/>
      <c r="H156" s="587" t="s">
        <v>3565</v>
      </c>
      <c r="I156" s="36"/>
      <c r="J156" s="567"/>
      <c r="K156" s="36"/>
      <c r="L156" s="567"/>
      <c r="M156" s="602" t="s">
        <v>3566</v>
      </c>
    </row>
    <row r="157" spans="1:13" s="44" customFormat="1" ht="18.75">
      <c r="A157" s="567">
        <v>124</v>
      </c>
      <c r="B157" s="567" t="s">
        <v>3595</v>
      </c>
      <c r="C157" s="584" t="s">
        <v>646</v>
      </c>
      <c r="D157" s="591">
        <v>238322</v>
      </c>
      <c r="E157" s="586">
        <v>5300</v>
      </c>
      <c r="F157" s="580" t="s">
        <v>3569</v>
      </c>
      <c r="G157" s="36"/>
      <c r="H157" s="587" t="s">
        <v>3565</v>
      </c>
      <c r="I157" s="36"/>
      <c r="J157" s="567"/>
      <c r="K157" s="36"/>
      <c r="L157" s="567"/>
      <c r="M157" s="602" t="s">
        <v>3566</v>
      </c>
    </row>
    <row r="158" spans="1:13" s="44" customFormat="1" ht="29.25">
      <c r="A158" s="567">
        <v>125</v>
      </c>
      <c r="B158" s="605" t="s">
        <v>3596</v>
      </c>
      <c r="C158" s="584" t="s">
        <v>648</v>
      </c>
      <c r="D158" s="591">
        <v>238322</v>
      </c>
      <c r="E158" s="586">
        <v>15400</v>
      </c>
      <c r="F158" s="580" t="s">
        <v>3569</v>
      </c>
      <c r="G158" s="36"/>
      <c r="H158" s="587" t="s">
        <v>3565</v>
      </c>
      <c r="I158" s="36"/>
      <c r="J158" s="567"/>
      <c r="K158" s="36"/>
      <c r="L158" s="567"/>
      <c r="M158" s="602" t="s">
        <v>3566</v>
      </c>
    </row>
    <row r="159" spans="1:13" s="44" customFormat="1" ht="18.75">
      <c r="A159" s="567">
        <v>126</v>
      </c>
      <c r="B159" s="567" t="s">
        <v>1984</v>
      </c>
      <c r="C159" s="584" t="s">
        <v>648</v>
      </c>
      <c r="D159" s="591">
        <v>238322</v>
      </c>
      <c r="E159" s="586">
        <v>21900</v>
      </c>
      <c r="F159" s="580" t="s">
        <v>1508</v>
      </c>
      <c r="G159" s="36"/>
      <c r="H159" s="587" t="s">
        <v>3565</v>
      </c>
      <c r="I159" s="36"/>
      <c r="J159" s="567"/>
      <c r="K159" s="36"/>
      <c r="L159" s="567"/>
      <c r="M159" s="602" t="s">
        <v>3566</v>
      </c>
    </row>
    <row r="160" spans="1:13" s="44" customFormat="1" ht="29.25">
      <c r="A160" s="567">
        <v>127</v>
      </c>
      <c r="B160" s="605" t="s">
        <v>3597</v>
      </c>
      <c r="C160" s="584" t="s">
        <v>2129</v>
      </c>
      <c r="D160" s="591">
        <v>239533</v>
      </c>
      <c r="E160" s="586">
        <v>8500</v>
      </c>
      <c r="F160" s="580" t="s">
        <v>1508</v>
      </c>
      <c r="G160" s="36"/>
      <c r="H160" s="587" t="s">
        <v>3565</v>
      </c>
      <c r="I160" s="36"/>
      <c r="J160" s="567"/>
      <c r="K160" s="36"/>
      <c r="L160" s="567"/>
      <c r="M160" s="602" t="s">
        <v>3566</v>
      </c>
    </row>
    <row r="161" spans="1:13" s="44" customFormat="1" ht="29.25">
      <c r="A161" s="567">
        <v>128</v>
      </c>
      <c r="B161" s="605" t="s">
        <v>3597</v>
      </c>
      <c r="C161" s="584" t="s">
        <v>1555</v>
      </c>
      <c r="D161" s="591">
        <v>239533</v>
      </c>
      <c r="E161" s="586">
        <v>8500</v>
      </c>
      <c r="F161" s="580" t="s">
        <v>1508</v>
      </c>
      <c r="G161" s="36"/>
      <c r="H161" s="587" t="s">
        <v>3565</v>
      </c>
      <c r="I161" s="36"/>
      <c r="J161" s="567"/>
      <c r="K161" s="36"/>
      <c r="L161" s="567"/>
      <c r="M161" s="602" t="s">
        <v>3566</v>
      </c>
    </row>
    <row r="162" spans="1:13" s="44" customFormat="1" ht="18.75">
      <c r="A162" s="567">
        <v>129</v>
      </c>
      <c r="B162" s="605" t="s">
        <v>3598</v>
      </c>
      <c r="C162" s="584" t="s">
        <v>2128</v>
      </c>
      <c r="D162" s="591">
        <v>239533</v>
      </c>
      <c r="E162" s="586">
        <v>27375</v>
      </c>
      <c r="F162" s="580" t="s">
        <v>1508</v>
      </c>
      <c r="G162" s="36"/>
      <c r="H162" s="587" t="s">
        <v>3565</v>
      </c>
      <c r="I162" s="36"/>
      <c r="J162" s="567"/>
      <c r="K162" s="36"/>
      <c r="L162" s="567"/>
      <c r="M162" s="602" t="s">
        <v>3566</v>
      </c>
    </row>
    <row r="163" spans="1:13" s="44" customFormat="1" ht="18.75">
      <c r="A163" s="567">
        <v>130</v>
      </c>
      <c r="B163" s="567" t="s">
        <v>1557</v>
      </c>
      <c r="C163" s="584" t="s">
        <v>1983</v>
      </c>
      <c r="D163" s="591">
        <v>239533</v>
      </c>
      <c r="E163" s="586">
        <v>6550</v>
      </c>
      <c r="F163" s="580" t="s">
        <v>1508</v>
      </c>
      <c r="G163" s="36"/>
      <c r="H163" s="587" t="s">
        <v>3565</v>
      </c>
      <c r="I163" s="36"/>
      <c r="J163" s="567"/>
      <c r="K163" s="36"/>
      <c r="L163" s="567"/>
      <c r="M163" s="602" t="s">
        <v>3566</v>
      </c>
    </row>
    <row r="164" spans="1:13">
      <c r="A164" s="567">
        <v>131</v>
      </c>
      <c r="B164" s="567" t="s">
        <v>673</v>
      </c>
      <c r="C164" s="584" t="s">
        <v>1985</v>
      </c>
      <c r="D164" s="591">
        <v>239533</v>
      </c>
      <c r="E164" s="586">
        <v>6550</v>
      </c>
      <c r="F164" s="580" t="s">
        <v>1508</v>
      </c>
      <c r="H164" s="587" t="s">
        <v>3565</v>
      </c>
      <c r="J164" s="567"/>
      <c r="L164" s="567"/>
      <c r="M164" s="602" t="s">
        <v>3566</v>
      </c>
    </row>
    <row r="165" spans="1:13">
      <c r="A165" s="567">
        <v>132</v>
      </c>
      <c r="B165" s="567" t="s">
        <v>3599</v>
      </c>
      <c r="C165" s="584" t="s">
        <v>694</v>
      </c>
      <c r="D165" s="591">
        <v>242039</v>
      </c>
      <c r="E165" s="586">
        <v>60000</v>
      </c>
      <c r="F165" s="580" t="s">
        <v>3600</v>
      </c>
      <c r="H165" s="587" t="s">
        <v>3565</v>
      </c>
      <c r="J165" s="567"/>
      <c r="L165" s="567"/>
      <c r="M165" s="602" t="s">
        <v>3566</v>
      </c>
    </row>
    <row r="166" spans="1:13">
      <c r="A166" s="567"/>
      <c r="B166" s="567"/>
      <c r="C166" s="567"/>
      <c r="D166" s="591"/>
      <c r="E166" s="586"/>
      <c r="F166" s="580"/>
      <c r="H166" s="567"/>
      <c r="J166" s="567"/>
      <c r="L166" s="567"/>
      <c r="M166" s="567"/>
    </row>
    <row r="167" spans="1:13">
      <c r="A167" s="581"/>
      <c r="B167" s="581" t="s">
        <v>3601</v>
      </c>
      <c r="C167" s="581"/>
      <c r="D167" s="594"/>
      <c r="E167" s="595"/>
      <c r="F167" s="590"/>
      <c r="H167" s="581"/>
      <c r="J167" s="581"/>
      <c r="L167" s="581"/>
      <c r="M167" s="581"/>
    </row>
    <row r="168" spans="1:13">
      <c r="A168" s="581"/>
      <c r="B168" s="581" t="s">
        <v>1739</v>
      </c>
      <c r="C168" s="581"/>
      <c r="D168" s="594"/>
      <c r="E168" s="595"/>
      <c r="F168" s="590"/>
      <c r="H168" s="581"/>
      <c r="J168" s="581"/>
      <c r="L168" s="581"/>
      <c r="M168" s="581"/>
    </row>
    <row r="169" spans="1:13">
      <c r="A169" s="567">
        <v>133</v>
      </c>
      <c r="B169" s="567" t="s">
        <v>6</v>
      </c>
      <c r="C169" s="567" t="s">
        <v>3602</v>
      </c>
      <c r="D169" s="591">
        <v>240526</v>
      </c>
      <c r="E169" s="586">
        <v>3000</v>
      </c>
      <c r="F169" s="580" t="s">
        <v>3603</v>
      </c>
      <c r="H169" s="587" t="s">
        <v>3565</v>
      </c>
      <c r="J169" s="567"/>
      <c r="L169" s="567"/>
      <c r="M169" s="602" t="s">
        <v>3566</v>
      </c>
    </row>
    <row r="170" spans="1:13">
      <c r="A170">
        <v>134</v>
      </c>
      <c r="B170" s="567" t="s">
        <v>6</v>
      </c>
      <c r="C170" s="567" t="s">
        <v>3604</v>
      </c>
      <c r="D170" s="591">
        <v>240526</v>
      </c>
      <c r="E170" s="586">
        <v>3000</v>
      </c>
      <c r="F170" s="580" t="s">
        <v>3603</v>
      </c>
      <c r="H170" s="587" t="s">
        <v>3565</v>
      </c>
      <c r="J170" s="567"/>
      <c r="L170" s="567"/>
      <c r="M170" s="602" t="s">
        <v>3566</v>
      </c>
    </row>
    <row r="171" spans="1:13">
      <c r="A171" s="567">
        <v>135</v>
      </c>
      <c r="B171" s="567" t="s">
        <v>10</v>
      </c>
      <c r="C171" s="567" t="s">
        <v>3605</v>
      </c>
      <c r="D171" s="591">
        <v>240526</v>
      </c>
      <c r="E171" s="586">
        <v>1800</v>
      </c>
      <c r="F171" s="580" t="s">
        <v>3603</v>
      </c>
      <c r="H171" s="587" t="s">
        <v>3565</v>
      </c>
      <c r="J171" s="567"/>
      <c r="L171" s="567"/>
      <c r="M171" s="602" t="s">
        <v>3566</v>
      </c>
    </row>
    <row r="172" spans="1:13">
      <c r="A172" s="567">
        <v>136</v>
      </c>
      <c r="B172" s="567" t="s">
        <v>3606</v>
      </c>
      <c r="C172" s="567" t="s">
        <v>3607</v>
      </c>
      <c r="D172" s="591">
        <v>239543</v>
      </c>
      <c r="E172" s="586">
        <v>585</v>
      </c>
      <c r="F172" s="580" t="s">
        <v>2360</v>
      </c>
      <c r="H172" s="587" t="s">
        <v>3565</v>
      </c>
      <c r="J172" s="567"/>
      <c r="L172" s="567"/>
      <c r="M172" s="602" t="s">
        <v>3566</v>
      </c>
    </row>
    <row r="173" spans="1:13">
      <c r="A173" s="567"/>
      <c r="B173" s="567"/>
      <c r="C173" s="567"/>
      <c r="D173" s="591"/>
      <c r="E173" s="586"/>
      <c r="F173" s="580"/>
      <c r="H173" s="567"/>
      <c r="J173" s="567"/>
      <c r="L173" s="567"/>
      <c r="M173" s="567"/>
    </row>
    <row r="174" spans="1:13">
      <c r="A174" s="581"/>
      <c r="B174" s="581" t="s">
        <v>3608</v>
      </c>
      <c r="C174" s="581"/>
      <c r="D174" s="594"/>
      <c r="E174" s="595"/>
      <c r="F174" s="590"/>
      <c r="H174" s="581"/>
      <c r="J174" s="581"/>
      <c r="L174" s="581"/>
      <c r="M174" s="581"/>
    </row>
    <row r="175" spans="1:13">
      <c r="A175" s="567">
        <v>137</v>
      </c>
      <c r="B175" s="567" t="s">
        <v>2453</v>
      </c>
      <c r="C175" s="567" t="s">
        <v>3609</v>
      </c>
      <c r="D175" s="591">
        <v>239469</v>
      </c>
      <c r="E175" s="586">
        <v>2990</v>
      </c>
      <c r="F175" s="580" t="s">
        <v>1508</v>
      </c>
      <c r="H175" s="587" t="s">
        <v>3565</v>
      </c>
      <c r="J175" s="567"/>
      <c r="L175" s="567"/>
      <c r="M175" s="602" t="s">
        <v>3566</v>
      </c>
    </row>
    <row r="176" spans="1:13">
      <c r="B176" s="567"/>
      <c r="M176" s="567"/>
    </row>
    <row r="177" spans="2:13" ht="15" thickBot="1">
      <c r="B177" s="567" t="s">
        <v>64</v>
      </c>
      <c r="M177" s="608">
        <f>SUM(M9:M175)</f>
        <v>1478.75</v>
      </c>
    </row>
    <row r="178" spans="2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47244094488188981" bottom="0.59055118110236227" header="0.31496062992125984" footer="0.31496062992125984"/>
  <pageSetup paperSize="9" scale="85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BDB9-316E-4438-812E-26848E97D761}">
  <sheetPr>
    <tabColor rgb="FFFF0000"/>
  </sheetPr>
  <dimension ref="A1:Z1086"/>
  <sheetViews>
    <sheetView topLeftCell="A62" zoomScale="85" zoomScaleNormal="85" workbookViewId="0">
      <selection activeCell="M48" sqref="M48"/>
    </sheetView>
  </sheetViews>
  <sheetFormatPr defaultColWidth="12.625" defaultRowHeight="14.25"/>
  <sheetData>
    <row r="1" spans="1:26" ht="15.75" customHeight="1">
      <c r="A1" s="1240" t="s">
        <v>3419</v>
      </c>
      <c r="B1" s="1241"/>
      <c r="C1" s="1241"/>
      <c r="D1" s="1241"/>
      <c r="E1" s="1241"/>
      <c r="F1" s="1241"/>
      <c r="G1" s="1241"/>
      <c r="H1" s="1241"/>
      <c r="I1" s="1241"/>
      <c r="J1" s="1241"/>
      <c r="K1" s="1241"/>
      <c r="L1" s="1241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.75" customHeight="1">
      <c r="A2" s="1240"/>
      <c r="B2" s="1241"/>
      <c r="C2" s="1241"/>
      <c r="D2" s="1241"/>
      <c r="E2" s="1241"/>
      <c r="F2" s="1241"/>
      <c r="G2" s="1241"/>
      <c r="H2" s="1241"/>
      <c r="I2" s="1241"/>
      <c r="J2" s="1241"/>
      <c r="K2" s="1241"/>
      <c r="L2" s="1241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5.75" customHeight="1">
      <c r="A3" s="1241"/>
      <c r="B3" s="1241"/>
      <c r="C3" s="1241"/>
      <c r="D3" s="1241"/>
      <c r="E3" s="1241"/>
      <c r="F3" s="1241"/>
      <c r="G3" s="1241"/>
      <c r="H3" s="1241"/>
      <c r="I3" s="1241"/>
      <c r="J3" s="1241"/>
      <c r="K3" s="1241"/>
      <c r="L3" s="1241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>
      <c r="A4" s="631" t="s">
        <v>3420</v>
      </c>
      <c r="B4" s="632" t="s">
        <v>3421</v>
      </c>
      <c r="C4" s="632" t="s">
        <v>0</v>
      </c>
      <c r="D4" s="633" t="s">
        <v>3422</v>
      </c>
      <c r="E4" s="632" t="s">
        <v>1</v>
      </c>
      <c r="F4" s="632" t="s">
        <v>3423</v>
      </c>
      <c r="G4" s="632" t="s">
        <v>3424</v>
      </c>
      <c r="H4" s="632" t="s">
        <v>3425</v>
      </c>
      <c r="I4" s="634" t="s">
        <v>2</v>
      </c>
      <c r="J4" s="632" t="s">
        <v>3426</v>
      </c>
      <c r="K4" s="632" t="s">
        <v>3427</v>
      </c>
      <c r="L4" s="632" t="s">
        <v>3428</v>
      </c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">
      <c r="A5" s="635">
        <v>1</v>
      </c>
      <c r="B5" s="642" t="s">
        <v>3802</v>
      </c>
      <c r="C5" s="642" t="s">
        <v>3803</v>
      </c>
      <c r="D5" s="643" t="s">
        <v>1739</v>
      </c>
      <c r="E5" s="642" t="s">
        <v>3804</v>
      </c>
      <c r="F5" s="642">
        <v>28</v>
      </c>
      <c r="G5" s="642" t="s">
        <v>3805</v>
      </c>
      <c r="H5" s="642">
        <v>2558</v>
      </c>
      <c r="I5" s="644">
        <v>36400</v>
      </c>
      <c r="J5" s="642" t="s">
        <v>3806</v>
      </c>
      <c r="K5" s="642" t="s">
        <v>3807</v>
      </c>
      <c r="L5" s="642" t="s">
        <v>3745</v>
      </c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">
      <c r="A6" s="635">
        <v>2</v>
      </c>
      <c r="B6" s="642" t="s">
        <v>3802</v>
      </c>
      <c r="C6" s="642" t="s">
        <v>3803</v>
      </c>
      <c r="D6" s="643" t="s">
        <v>1739</v>
      </c>
      <c r="E6" s="642" t="s">
        <v>3804</v>
      </c>
      <c r="F6" s="642">
        <v>28</v>
      </c>
      <c r="G6" s="642" t="s">
        <v>3805</v>
      </c>
      <c r="H6" s="642">
        <v>2558</v>
      </c>
      <c r="I6" s="644">
        <v>36400</v>
      </c>
      <c r="J6" s="642" t="s">
        <v>3806</v>
      </c>
      <c r="K6" s="642" t="s">
        <v>3807</v>
      </c>
      <c r="L6" s="642" t="s">
        <v>3745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5">
      <c r="A7" s="635">
        <v>3</v>
      </c>
      <c r="B7" s="642" t="s">
        <v>3802</v>
      </c>
      <c r="C7" s="642" t="s">
        <v>3803</v>
      </c>
      <c r="D7" s="643" t="s">
        <v>1739</v>
      </c>
      <c r="E7" s="642" t="s">
        <v>3804</v>
      </c>
      <c r="F7" s="642">
        <v>28</v>
      </c>
      <c r="G7" s="642" t="s">
        <v>3805</v>
      </c>
      <c r="H7" s="642">
        <v>2558</v>
      </c>
      <c r="I7" s="644">
        <v>36400</v>
      </c>
      <c r="J7" s="642" t="s">
        <v>3806</v>
      </c>
      <c r="K7" s="642" t="s">
        <v>3807</v>
      </c>
      <c r="L7" s="642" t="s">
        <v>3745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">
      <c r="A8" s="635">
        <v>4</v>
      </c>
      <c r="B8" s="642" t="s">
        <v>3802</v>
      </c>
      <c r="C8" s="642" t="s">
        <v>3803</v>
      </c>
      <c r="D8" s="643" t="s">
        <v>1739</v>
      </c>
      <c r="E8" s="642" t="s">
        <v>3804</v>
      </c>
      <c r="F8" s="642">
        <v>28</v>
      </c>
      <c r="G8" s="642" t="s">
        <v>3805</v>
      </c>
      <c r="H8" s="642">
        <v>2558</v>
      </c>
      <c r="I8" s="644">
        <v>36400</v>
      </c>
      <c r="J8" s="642" t="s">
        <v>3806</v>
      </c>
      <c r="K8" s="642" t="s">
        <v>3807</v>
      </c>
      <c r="L8" s="642" t="s">
        <v>3745</v>
      </c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15.75" customHeight="1">
      <c r="A9" s="635">
        <v>5</v>
      </c>
      <c r="B9" s="637" t="s">
        <v>3740</v>
      </c>
      <c r="C9" s="638" t="s">
        <v>3741</v>
      </c>
      <c r="D9" s="639" t="s">
        <v>1739</v>
      </c>
      <c r="E9" s="639" t="s">
        <v>3742</v>
      </c>
      <c r="F9" s="637">
        <v>21</v>
      </c>
      <c r="G9" s="637">
        <v>12</v>
      </c>
      <c r="H9" s="637">
        <v>2566</v>
      </c>
      <c r="I9" s="645">
        <v>79277.399999999994</v>
      </c>
      <c r="J9" s="638" t="s">
        <v>3743</v>
      </c>
      <c r="K9" s="639" t="s">
        <v>3744</v>
      </c>
      <c r="L9" s="639" t="s">
        <v>3745</v>
      </c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635">
        <v>6</v>
      </c>
      <c r="B10" s="637" t="s">
        <v>3740</v>
      </c>
      <c r="C10" s="638" t="s">
        <v>3741</v>
      </c>
      <c r="D10" s="639" t="s">
        <v>1739</v>
      </c>
      <c r="E10" s="639" t="s">
        <v>3746</v>
      </c>
      <c r="F10" s="637">
        <v>21</v>
      </c>
      <c r="G10" s="637">
        <v>12</v>
      </c>
      <c r="H10" s="637">
        <v>2566</v>
      </c>
      <c r="I10" s="645">
        <v>79277.399999999994</v>
      </c>
      <c r="J10" s="638" t="s">
        <v>3743</v>
      </c>
      <c r="K10" s="639" t="s">
        <v>3744</v>
      </c>
      <c r="L10" s="639" t="s">
        <v>3745</v>
      </c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635">
        <v>7</v>
      </c>
      <c r="B11" s="637" t="s">
        <v>3740</v>
      </c>
      <c r="C11" s="638" t="s">
        <v>3741</v>
      </c>
      <c r="D11" s="639" t="s">
        <v>1739</v>
      </c>
      <c r="E11" s="639" t="s">
        <v>3747</v>
      </c>
      <c r="F11" s="637">
        <v>21</v>
      </c>
      <c r="G11" s="637">
        <v>12</v>
      </c>
      <c r="H11" s="637">
        <v>2566</v>
      </c>
      <c r="I11" s="645">
        <v>79277.399999999994</v>
      </c>
      <c r="J11" s="638" t="s">
        <v>3743</v>
      </c>
      <c r="K11" s="639" t="s">
        <v>3744</v>
      </c>
      <c r="L11" s="639" t="s">
        <v>3745</v>
      </c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635">
        <v>8</v>
      </c>
      <c r="B12" s="637" t="s">
        <v>3740</v>
      </c>
      <c r="C12" s="638" t="s">
        <v>3741</v>
      </c>
      <c r="D12" s="639" t="s">
        <v>1739</v>
      </c>
      <c r="E12" s="639" t="s">
        <v>3748</v>
      </c>
      <c r="F12" s="637">
        <v>21</v>
      </c>
      <c r="G12" s="637">
        <v>12</v>
      </c>
      <c r="H12" s="637">
        <v>2566</v>
      </c>
      <c r="I12" s="645">
        <v>79277.399999999994</v>
      </c>
      <c r="J12" s="638" t="s">
        <v>3743</v>
      </c>
      <c r="K12" s="639" t="s">
        <v>3744</v>
      </c>
      <c r="L12" s="639" t="s">
        <v>3745</v>
      </c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>
      <c r="A13" s="635">
        <v>9</v>
      </c>
      <c r="B13" s="637" t="s">
        <v>3740</v>
      </c>
      <c r="C13" s="638" t="s">
        <v>3741</v>
      </c>
      <c r="D13" s="639" t="s">
        <v>1739</v>
      </c>
      <c r="E13" s="639" t="s">
        <v>3749</v>
      </c>
      <c r="F13" s="637">
        <v>21</v>
      </c>
      <c r="G13" s="637">
        <v>12</v>
      </c>
      <c r="H13" s="637">
        <v>2566</v>
      </c>
      <c r="I13" s="645">
        <v>79277.399999999994</v>
      </c>
      <c r="J13" s="638" t="s">
        <v>3743</v>
      </c>
      <c r="K13" s="639" t="s">
        <v>3744</v>
      </c>
      <c r="L13" s="639" t="s">
        <v>3745</v>
      </c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635">
        <v>10</v>
      </c>
      <c r="B14" s="637" t="s">
        <v>3740</v>
      </c>
      <c r="C14" s="638" t="s">
        <v>3741</v>
      </c>
      <c r="D14" s="639" t="s">
        <v>1739</v>
      </c>
      <c r="E14" s="639" t="s">
        <v>3750</v>
      </c>
      <c r="F14" s="637">
        <v>21</v>
      </c>
      <c r="G14" s="637">
        <v>12</v>
      </c>
      <c r="H14" s="637">
        <v>2566</v>
      </c>
      <c r="I14" s="645">
        <v>79277.399999999994</v>
      </c>
      <c r="J14" s="638" t="s">
        <v>3743</v>
      </c>
      <c r="K14" s="639" t="s">
        <v>3744</v>
      </c>
      <c r="L14" s="639" t="s">
        <v>3745</v>
      </c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635">
        <v>11</v>
      </c>
      <c r="B15" s="637" t="s">
        <v>3740</v>
      </c>
      <c r="C15" s="638" t="s">
        <v>3741</v>
      </c>
      <c r="D15" s="639" t="s">
        <v>1739</v>
      </c>
      <c r="E15" s="639" t="s">
        <v>3751</v>
      </c>
      <c r="F15" s="637">
        <v>21</v>
      </c>
      <c r="G15" s="637">
        <v>12</v>
      </c>
      <c r="H15" s="637">
        <v>2566</v>
      </c>
      <c r="I15" s="645">
        <v>79277.399999999994</v>
      </c>
      <c r="J15" s="638" t="s">
        <v>3743</v>
      </c>
      <c r="K15" s="639" t="s">
        <v>3744</v>
      </c>
      <c r="L15" s="639" t="s">
        <v>3745</v>
      </c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635">
        <v>12</v>
      </c>
      <c r="B16" s="637" t="s">
        <v>3740</v>
      </c>
      <c r="C16" s="638" t="s">
        <v>3741</v>
      </c>
      <c r="D16" s="639" t="s">
        <v>1739</v>
      </c>
      <c r="E16" s="639" t="s">
        <v>3752</v>
      </c>
      <c r="F16" s="637">
        <v>21</v>
      </c>
      <c r="G16" s="637">
        <v>12</v>
      </c>
      <c r="H16" s="637">
        <v>2566</v>
      </c>
      <c r="I16" s="645">
        <v>79277.399999999994</v>
      </c>
      <c r="J16" s="638" t="s">
        <v>3743</v>
      </c>
      <c r="K16" s="639" t="s">
        <v>3744</v>
      </c>
      <c r="L16" s="639" t="s">
        <v>3745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635">
        <v>13</v>
      </c>
      <c r="B17" s="637" t="s">
        <v>3740</v>
      </c>
      <c r="C17" s="638" t="s">
        <v>3741</v>
      </c>
      <c r="D17" s="639" t="s">
        <v>1739</v>
      </c>
      <c r="E17" s="639" t="s">
        <v>3611</v>
      </c>
      <c r="F17" s="637">
        <v>21</v>
      </c>
      <c r="G17" s="637">
        <v>12</v>
      </c>
      <c r="H17" s="637">
        <v>2566</v>
      </c>
      <c r="I17" s="645">
        <v>1712</v>
      </c>
      <c r="J17" s="638" t="s">
        <v>3743</v>
      </c>
      <c r="K17" s="639" t="s">
        <v>3744</v>
      </c>
      <c r="L17" s="639" t="s">
        <v>3745</v>
      </c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635">
        <v>14</v>
      </c>
      <c r="B18" s="637" t="s">
        <v>3740</v>
      </c>
      <c r="C18" s="638" t="s">
        <v>3741</v>
      </c>
      <c r="D18" s="639" t="s">
        <v>1739</v>
      </c>
      <c r="E18" s="639" t="s">
        <v>3613</v>
      </c>
      <c r="F18" s="637">
        <v>21</v>
      </c>
      <c r="G18" s="637">
        <v>12</v>
      </c>
      <c r="H18" s="637">
        <v>2566</v>
      </c>
      <c r="I18" s="645">
        <v>1712</v>
      </c>
      <c r="J18" s="638" t="s">
        <v>3743</v>
      </c>
      <c r="K18" s="639" t="s">
        <v>3744</v>
      </c>
      <c r="L18" s="639" t="s">
        <v>3745</v>
      </c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635">
        <v>15</v>
      </c>
      <c r="B19" s="637" t="s">
        <v>3740</v>
      </c>
      <c r="C19" s="638" t="s">
        <v>3741</v>
      </c>
      <c r="D19" s="639" t="s">
        <v>1739</v>
      </c>
      <c r="E19" s="639" t="s">
        <v>3614</v>
      </c>
      <c r="F19" s="637">
        <v>21</v>
      </c>
      <c r="G19" s="637">
        <v>12</v>
      </c>
      <c r="H19" s="637">
        <v>2566</v>
      </c>
      <c r="I19" s="645">
        <v>1619</v>
      </c>
      <c r="J19" s="638" t="s">
        <v>3743</v>
      </c>
      <c r="K19" s="639" t="s">
        <v>3744</v>
      </c>
      <c r="L19" s="639" t="s">
        <v>3745</v>
      </c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635">
        <v>16</v>
      </c>
      <c r="B20" s="637" t="s">
        <v>3740</v>
      </c>
      <c r="C20" s="638" t="s">
        <v>3741</v>
      </c>
      <c r="D20" s="639" t="s">
        <v>1739</v>
      </c>
      <c r="E20" s="639" t="s">
        <v>3615</v>
      </c>
      <c r="F20" s="637">
        <v>21</v>
      </c>
      <c r="G20" s="637">
        <v>12</v>
      </c>
      <c r="H20" s="637">
        <v>2566</v>
      </c>
      <c r="I20" s="645">
        <v>10400</v>
      </c>
      <c r="J20" s="638" t="s">
        <v>3743</v>
      </c>
      <c r="K20" s="639" t="s">
        <v>3744</v>
      </c>
      <c r="L20" s="639" t="s">
        <v>3745</v>
      </c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635">
        <v>17</v>
      </c>
      <c r="B21" s="637" t="s">
        <v>3740</v>
      </c>
      <c r="C21" s="638" t="s">
        <v>3741</v>
      </c>
      <c r="D21" s="639" t="s">
        <v>1739</v>
      </c>
      <c r="E21" s="639" t="s">
        <v>3616</v>
      </c>
      <c r="F21" s="637">
        <v>21</v>
      </c>
      <c r="G21" s="637">
        <v>12</v>
      </c>
      <c r="H21" s="637">
        <v>2566</v>
      </c>
      <c r="I21" s="645">
        <v>10400</v>
      </c>
      <c r="J21" s="638" t="s">
        <v>3743</v>
      </c>
      <c r="K21" s="639" t="s">
        <v>3744</v>
      </c>
      <c r="L21" s="639" t="s">
        <v>3745</v>
      </c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635">
        <v>18</v>
      </c>
      <c r="B22" s="637" t="s">
        <v>3740</v>
      </c>
      <c r="C22" s="638" t="s">
        <v>3741</v>
      </c>
      <c r="D22" s="639" t="s">
        <v>1739</v>
      </c>
      <c r="E22" s="639" t="s">
        <v>3617</v>
      </c>
      <c r="F22" s="637">
        <v>21</v>
      </c>
      <c r="G22" s="637">
        <v>12</v>
      </c>
      <c r="H22" s="637">
        <v>2566</v>
      </c>
      <c r="I22" s="645">
        <v>10400</v>
      </c>
      <c r="J22" s="638" t="s">
        <v>3743</v>
      </c>
      <c r="K22" s="639" t="s">
        <v>3744</v>
      </c>
      <c r="L22" s="639" t="s">
        <v>3745</v>
      </c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635">
        <v>19</v>
      </c>
      <c r="B23" s="637" t="s">
        <v>3740</v>
      </c>
      <c r="C23" s="638" t="s">
        <v>3741</v>
      </c>
      <c r="D23" s="639" t="s">
        <v>1739</v>
      </c>
      <c r="E23" s="639" t="s">
        <v>3618</v>
      </c>
      <c r="F23" s="637">
        <v>21</v>
      </c>
      <c r="G23" s="637">
        <v>12</v>
      </c>
      <c r="H23" s="637">
        <v>2566</v>
      </c>
      <c r="I23" s="645">
        <v>10400</v>
      </c>
      <c r="J23" s="638" t="s">
        <v>3743</v>
      </c>
      <c r="K23" s="639" t="s">
        <v>3744</v>
      </c>
      <c r="L23" s="639" t="s">
        <v>3745</v>
      </c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635">
        <v>20</v>
      </c>
      <c r="B24" s="637" t="s">
        <v>3740</v>
      </c>
      <c r="C24" s="638" t="s">
        <v>3741</v>
      </c>
      <c r="D24" s="639" t="s">
        <v>1739</v>
      </c>
      <c r="E24" s="639" t="s">
        <v>3619</v>
      </c>
      <c r="F24" s="637">
        <v>21</v>
      </c>
      <c r="G24" s="637">
        <v>12</v>
      </c>
      <c r="H24" s="637">
        <v>2566</v>
      </c>
      <c r="I24" s="645">
        <v>1691</v>
      </c>
      <c r="J24" s="638" t="s">
        <v>3743</v>
      </c>
      <c r="K24" s="639" t="s">
        <v>3744</v>
      </c>
      <c r="L24" s="639" t="s">
        <v>3745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635">
        <v>21</v>
      </c>
      <c r="B25" s="637" t="s">
        <v>3740</v>
      </c>
      <c r="C25" s="638" t="s">
        <v>3741</v>
      </c>
      <c r="D25" s="639" t="s">
        <v>1739</v>
      </c>
      <c r="E25" s="639" t="s">
        <v>3620</v>
      </c>
      <c r="F25" s="637">
        <v>21</v>
      </c>
      <c r="G25" s="637">
        <v>12</v>
      </c>
      <c r="H25" s="637">
        <v>2566</v>
      </c>
      <c r="I25" s="645">
        <v>1712</v>
      </c>
      <c r="J25" s="638" t="s">
        <v>3743</v>
      </c>
      <c r="K25" s="639" t="s">
        <v>3744</v>
      </c>
      <c r="L25" s="639" t="s">
        <v>3745</v>
      </c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635">
        <v>22</v>
      </c>
      <c r="B26" s="637" t="s">
        <v>3740</v>
      </c>
      <c r="C26" s="638" t="s">
        <v>3741</v>
      </c>
      <c r="D26" s="639" t="s">
        <v>1739</v>
      </c>
      <c r="E26" s="639" t="s">
        <v>3621</v>
      </c>
      <c r="F26" s="637">
        <v>21</v>
      </c>
      <c r="G26" s="637">
        <v>12</v>
      </c>
      <c r="H26" s="637">
        <v>2566</v>
      </c>
      <c r="I26" s="645">
        <v>10400</v>
      </c>
      <c r="J26" s="638" t="s">
        <v>3743</v>
      </c>
      <c r="K26" s="639" t="s">
        <v>3744</v>
      </c>
      <c r="L26" s="639" t="s">
        <v>3745</v>
      </c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635">
        <v>23</v>
      </c>
      <c r="B27" s="637" t="s">
        <v>3740</v>
      </c>
      <c r="C27" s="638" t="s">
        <v>3741</v>
      </c>
      <c r="D27" s="639" t="s">
        <v>1739</v>
      </c>
      <c r="E27" s="639" t="s">
        <v>3622</v>
      </c>
      <c r="F27" s="637">
        <v>21</v>
      </c>
      <c r="G27" s="637">
        <v>12</v>
      </c>
      <c r="H27" s="637">
        <v>2566</v>
      </c>
      <c r="I27" s="645">
        <v>10400</v>
      </c>
      <c r="J27" s="638" t="s">
        <v>3743</v>
      </c>
      <c r="K27" s="639" t="s">
        <v>3744</v>
      </c>
      <c r="L27" s="639" t="s">
        <v>3745</v>
      </c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635">
        <v>24</v>
      </c>
      <c r="B28" s="637" t="s">
        <v>3740</v>
      </c>
      <c r="C28" s="638" t="s">
        <v>3741</v>
      </c>
      <c r="D28" s="639" t="s">
        <v>1739</v>
      </c>
      <c r="E28" s="639" t="s">
        <v>3754</v>
      </c>
      <c r="F28" s="637">
        <v>21</v>
      </c>
      <c r="G28" s="637">
        <v>12</v>
      </c>
      <c r="H28" s="637">
        <v>2566</v>
      </c>
      <c r="I28" s="645">
        <v>325428.47999999998</v>
      </c>
      <c r="J28" s="638" t="s">
        <v>3743</v>
      </c>
      <c r="K28" s="639" t="s">
        <v>3744</v>
      </c>
      <c r="L28" s="639" t="s">
        <v>3745</v>
      </c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635">
        <v>25</v>
      </c>
      <c r="B29" s="637" t="s">
        <v>3740</v>
      </c>
      <c r="C29" s="638" t="s">
        <v>3741</v>
      </c>
      <c r="D29" s="639" t="s">
        <v>1739</v>
      </c>
      <c r="E29" s="639" t="s">
        <v>3755</v>
      </c>
      <c r="F29" s="637">
        <v>21</v>
      </c>
      <c r="G29" s="637">
        <v>12</v>
      </c>
      <c r="H29" s="637">
        <v>2566</v>
      </c>
      <c r="I29" s="645">
        <v>325428.47999999998</v>
      </c>
      <c r="J29" s="638" t="s">
        <v>3743</v>
      </c>
      <c r="K29" s="639" t="s">
        <v>3744</v>
      </c>
      <c r="L29" s="639" t="s">
        <v>3745</v>
      </c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635">
        <v>26</v>
      </c>
      <c r="B30" s="637" t="s">
        <v>3740</v>
      </c>
      <c r="C30" s="638" t="s">
        <v>3741</v>
      </c>
      <c r="D30" s="639" t="s">
        <v>1739</v>
      </c>
      <c r="E30" s="639" t="s">
        <v>3756</v>
      </c>
      <c r="F30" s="637">
        <v>21</v>
      </c>
      <c r="G30" s="637">
        <v>12</v>
      </c>
      <c r="H30" s="637">
        <v>2566</v>
      </c>
      <c r="I30" s="645">
        <v>325428.47999999998</v>
      </c>
      <c r="J30" s="638" t="s">
        <v>3743</v>
      </c>
      <c r="K30" s="639" t="s">
        <v>3744</v>
      </c>
      <c r="L30" s="639" t="s">
        <v>3745</v>
      </c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57">
      <c r="A31" s="635">
        <v>27</v>
      </c>
      <c r="B31" s="637" t="s">
        <v>3740</v>
      </c>
      <c r="C31" s="638" t="s">
        <v>3753</v>
      </c>
      <c r="D31" s="639" t="s">
        <v>1739</v>
      </c>
      <c r="E31" s="639" t="s">
        <v>3757</v>
      </c>
      <c r="F31" s="637">
        <v>21</v>
      </c>
      <c r="G31" s="637">
        <v>12</v>
      </c>
      <c r="H31" s="637">
        <v>2566</v>
      </c>
      <c r="I31" s="645">
        <v>325428.47999999998</v>
      </c>
      <c r="J31" s="638" t="s">
        <v>3743</v>
      </c>
      <c r="K31" s="639" t="s">
        <v>3744</v>
      </c>
      <c r="L31" s="639" t="s">
        <v>3745</v>
      </c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57">
      <c r="A32" s="635">
        <v>28</v>
      </c>
      <c r="B32" s="637" t="s">
        <v>3740</v>
      </c>
      <c r="C32" s="638" t="s">
        <v>3753</v>
      </c>
      <c r="D32" s="639" t="s">
        <v>1739</v>
      </c>
      <c r="E32" s="639" t="s">
        <v>3758</v>
      </c>
      <c r="F32" s="637">
        <v>21</v>
      </c>
      <c r="G32" s="637">
        <v>12</v>
      </c>
      <c r="H32" s="637">
        <v>2566</v>
      </c>
      <c r="I32" s="645">
        <v>69980</v>
      </c>
      <c r="J32" s="638" t="s">
        <v>3743</v>
      </c>
      <c r="K32" s="639" t="s">
        <v>3744</v>
      </c>
      <c r="L32" s="639" t="s">
        <v>3745</v>
      </c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57">
      <c r="A33" s="635">
        <v>29</v>
      </c>
      <c r="B33" s="637" t="s">
        <v>3740</v>
      </c>
      <c r="C33" s="638" t="s">
        <v>3753</v>
      </c>
      <c r="D33" s="639" t="s">
        <v>1739</v>
      </c>
      <c r="E33" s="639" t="s">
        <v>3759</v>
      </c>
      <c r="F33" s="637">
        <v>21</v>
      </c>
      <c r="G33" s="637">
        <v>12</v>
      </c>
      <c r="H33" s="637">
        <v>2566</v>
      </c>
      <c r="I33" s="645">
        <v>69980</v>
      </c>
      <c r="J33" s="638" t="s">
        <v>3743</v>
      </c>
      <c r="K33" s="639" t="s">
        <v>3744</v>
      </c>
      <c r="L33" s="639" t="s">
        <v>3745</v>
      </c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57">
      <c r="A34" s="635">
        <v>30</v>
      </c>
      <c r="B34" s="637" t="s">
        <v>3740</v>
      </c>
      <c r="C34" s="638" t="s">
        <v>3623</v>
      </c>
      <c r="D34" s="639" t="s">
        <v>1739</v>
      </c>
      <c r="E34" s="639" t="s">
        <v>3624</v>
      </c>
      <c r="F34" s="637">
        <v>21</v>
      </c>
      <c r="G34" s="637">
        <v>12</v>
      </c>
      <c r="H34" s="637">
        <v>2566</v>
      </c>
      <c r="I34" s="645">
        <v>70433.820000000007</v>
      </c>
      <c r="J34" s="638" t="s">
        <v>3743</v>
      </c>
      <c r="K34" s="639" t="s">
        <v>3744</v>
      </c>
      <c r="L34" s="639" t="s">
        <v>3745</v>
      </c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57">
      <c r="A35" s="635">
        <v>31</v>
      </c>
      <c r="B35" s="637" t="s">
        <v>3740</v>
      </c>
      <c r="C35" s="638" t="s">
        <v>3623</v>
      </c>
      <c r="D35" s="639" t="s">
        <v>1739</v>
      </c>
      <c r="E35" s="639" t="s">
        <v>3625</v>
      </c>
      <c r="F35" s="637">
        <v>21</v>
      </c>
      <c r="G35" s="637">
        <v>12</v>
      </c>
      <c r="H35" s="637">
        <v>2566</v>
      </c>
      <c r="I35" s="645">
        <v>31205.34</v>
      </c>
      <c r="J35" s="638" t="s">
        <v>3743</v>
      </c>
      <c r="K35" s="639" t="s">
        <v>3744</v>
      </c>
      <c r="L35" s="639" t="s">
        <v>3745</v>
      </c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57">
      <c r="A36" s="635">
        <v>32</v>
      </c>
      <c r="B36" s="637" t="s">
        <v>3740</v>
      </c>
      <c r="C36" s="638" t="s">
        <v>3623</v>
      </c>
      <c r="D36" s="639" t="s">
        <v>1739</v>
      </c>
      <c r="E36" s="639" t="s">
        <v>3626</v>
      </c>
      <c r="F36" s="637">
        <v>21</v>
      </c>
      <c r="G36" s="637">
        <v>12</v>
      </c>
      <c r="H36" s="637">
        <v>2566</v>
      </c>
      <c r="I36" s="645">
        <v>102531.15</v>
      </c>
      <c r="J36" s="638" t="s">
        <v>3743</v>
      </c>
      <c r="K36" s="639" t="s">
        <v>3744</v>
      </c>
      <c r="L36" s="639" t="s">
        <v>3745</v>
      </c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57">
      <c r="A37" s="635">
        <v>33</v>
      </c>
      <c r="B37" s="637" t="s">
        <v>3740</v>
      </c>
      <c r="C37" s="638" t="s">
        <v>3623</v>
      </c>
      <c r="D37" s="639" t="s">
        <v>1739</v>
      </c>
      <c r="E37" s="639" t="s">
        <v>3627</v>
      </c>
      <c r="F37" s="637">
        <v>21</v>
      </c>
      <c r="G37" s="637">
        <v>12</v>
      </c>
      <c r="H37" s="637">
        <v>2566</v>
      </c>
      <c r="I37" s="645">
        <v>49035.6</v>
      </c>
      <c r="J37" s="638" t="s">
        <v>3743</v>
      </c>
      <c r="K37" s="639" t="s">
        <v>3744</v>
      </c>
      <c r="L37" s="639" t="s">
        <v>3745</v>
      </c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57">
      <c r="A38" s="635">
        <v>34</v>
      </c>
      <c r="B38" s="637" t="s">
        <v>3740</v>
      </c>
      <c r="C38" s="638" t="s">
        <v>3760</v>
      </c>
      <c r="D38" s="639" t="s">
        <v>1646</v>
      </c>
      <c r="E38" s="640" t="s">
        <v>3761</v>
      </c>
      <c r="F38" s="637">
        <v>21</v>
      </c>
      <c r="G38" s="637">
        <v>12</v>
      </c>
      <c r="H38" s="637">
        <v>2566</v>
      </c>
      <c r="I38" s="641">
        <v>33390</v>
      </c>
      <c r="J38" s="638" t="s">
        <v>3743</v>
      </c>
      <c r="K38" s="639" t="s">
        <v>3744</v>
      </c>
      <c r="L38" s="639" t="s">
        <v>3745</v>
      </c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57">
      <c r="A39" s="635">
        <v>35</v>
      </c>
      <c r="B39" s="637" t="s">
        <v>3740</v>
      </c>
      <c r="C39" s="638" t="s">
        <v>3762</v>
      </c>
      <c r="D39" s="639" t="s">
        <v>1646</v>
      </c>
      <c r="E39" s="640" t="s">
        <v>3763</v>
      </c>
      <c r="F39" s="637">
        <v>21</v>
      </c>
      <c r="G39" s="637">
        <v>12</v>
      </c>
      <c r="H39" s="637">
        <v>2566</v>
      </c>
      <c r="I39" s="641">
        <v>1520</v>
      </c>
      <c r="J39" s="638" t="s">
        <v>3743</v>
      </c>
      <c r="K39" s="639" t="s">
        <v>3744</v>
      </c>
      <c r="L39" s="639" t="s">
        <v>3745</v>
      </c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57">
      <c r="A40" s="635">
        <v>36</v>
      </c>
      <c r="B40" s="637" t="s">
        <v>3740</v>
      </c>
      <c r="C40" s="638" t="s">
        <v>3762</v>
      </c>
      <c r="D40" s="639" t="s">
        <v>1646</v>
      </c>
      <c r="E40" s="640" t="s">
        <v>3764</v>
      </c>
      <c r="F40" s="637">
        <v>21</v>
      </c>
      <c r="G40" s="637">
        <v>12</v>
      </c>
      <c r="H40" s="637">
        <v>2566</v>
      </c>
      <c r="I40" s="641">
        <v>1520</v>
      </c>
      <c r="J40" s="638" t="s">
        <v>3743</v>
      </c>
      <c r="K40" s="639" t="s">
        <v>3744</v>
      </c>
      <c r="L40" s="639" t="s">
        <v>3745</v>
      </c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57">
      <c r="A41" s="635">
        <v>37</v>
      </c>
      <c r="B41" s="637" t="s">
        <v>3740</v>
      </c>
      <c r="C41" s="638" t="s">
        <v>3762</v>
      </c>
      <c r="D41" s="639" t="s">
        <v>1646</v>
      </c>
      <c r="E41" s="640" t="s">
        <v>3765</v>
      </c>
      <c r="F41" s="637">
        <v>21</v>
      </c>
      <c r="G41" s="637">
        <v>12</v>
      </c>
      <c r="H41" s="637">
        <v>2566</v>
      </c>
      <c r="I41" s="641">
        <v>1520</v>
      </c>
      <c r="J41" s="638" t="s">
        <v>3743</v>
      </c>
      <c r="K41" s="639" t="s">
        <v>3744</v>
      </c>
      <c r="L41" s="639" t="s">
        <v>3745</v>
      </c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57">
      <c r="A42" s="635">
        <v>38</v>
      </c>
      <c r="B42" s="637" t="s">
        <v>3740</v>
      </c>
      <c r="C42" s="638" t="s">
        <v>3762</v>
      </c>
      <c r="D42" s="639" t="s">
        <v>1646</v>
      </c>
      <c r="E42" s="640" t="s">
        <v>3766</v>
      </c>
      <c r="F42" s="637">
        <v>21</v>
      </c>
      <c r="G42" s="637">
        <v>12</v>
      </c>
      <c r="H42" s="637">
        <v>2566</v>
      </c>
      <c r="I42" s="641">
        <v>1520</v>
      </c>
      <c r="J42" s="638" t="s">
        <v>3743</v>
      </c>
      <c r="K42" s="639" t="s">
        <v>3744</v>
      </c>
      <c r="L42" s="639" t="s">
        <v>3745</v>
      </c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57">
      <c r="A43" s="635">
        <v>39</v>
      </c>
      <c r="B43" s="637" t="s">
        <v>3740</v>
      </c>
      <c r="C43" s="638" t="s">
        <v>3762</v>
      </c>
      <c r="D43" s="639" t="s">
        <v>1646</v>
      </c>
      <c r="E43" s="640" t="s">
        <v>3767</v>
      </c>
      <c r="F43" s="637">
        <v>21</v>
      </c>
      <c r="G43" s="637">
        <v>12</v>
      </c>
      <c r="H43" s="637">
        <v>2566</v>
      </c>
      <c r="I43" s="641">
        <v>1520</v>
      </c>
      <c r="J43" s="638" t="s">
        <v>3743</v>
      </c>
      <c r="K43" s="639" t="s">
        <v>3744</v>
      </c>
      <c r="L43" s="639" t="s">
        <v>3745</v>
      </c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57">
      <c r="A44" s="635">
        <v>40</v>
      </c>
      <c r="B44" s="637" t="s">
        <v>3740</v>
      </c>
      <c r="C44" s="638" t="s">
        <v>3762</v>
      </c>
      <c r="D44" s="639" t="s">
        <v>1646</v>
      </c>
      <c r="E44" s="640" t="s">
        <v>3768</v>
      </c>
      <c r="F44" s="637">
        <v>21</v>
      </c>
      <c r="G44" s="637">
        <v>12</v>
      </c>
      <c r="H44" s="637">
        <v>2566</v>
      </c>
      <c r="I44" s="641">
        <v>1520</v>
      </c>
      <c r="J44" s="638" t="s">
        <v>3743</v>
      </c>
      <c r="K44" s="639" t="s">
        <v>3744</v>
      </c>
      <c r="L44" s="639" t="s">
        <v>3745</v>
      </c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57">
      <c r="A45" s="635">
        <v>41</v>
      </c>
      <c r="B45" s="637" t="s">
        <v>3740</v>
      </c>
      <c r="C45" s="638" t="s">
        <v>3762</v>
      </c>
      <c r="D45" s="639" t="s">
        <v>1646</v>
      </c>
      <c r="E45" s="640" t="s">
        <v>3769</v>
      </c>
      <c r="F45" s="637">
        <v>21</v>
      </c>
      <c r="G45" s="637">
        <v>12</v>
      </c>
      <c r="H45" s="637">
        <v>2566</v>
      </c>
      <c r="I45" s="641">
        <v>1520</v>
      </c>
      <c r="J45" s="638" t="s">
        <v>3743</v>
      </c>
      <c r="K45" s="639" t="s">
        <v>3744</v>
      </c>
      <c r="L45" s="639" t="s">
        <v>3745</v>
      </c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57">
      <c r="A46" s="635">
        <v>42</v>
      </c>
      <c r="B46" s="637" t="s">
        <v>3740</v>
      </c>
      <c r="C46" s="638" t="s">
        <v>3762</v>
      </c>
      <c r="D46" s="639" t="s">
        <v>1646</v>
      </c>
      <c r="E46" s="640" t="s">
        <v>3770</v>
      </c>
      <c r="F46" s="637">
        <v>21</v>
      </c>
      <c r="G46" s="637">
        <v>12</v>
      </c>
      <c r="H46" s="637">
        <v>2566</v>
      </c>
      <c r="I46" s="641">
        <v>1520</v>
      </c>
      <c r="J46" s="638" t="s">
        <v>3743</v>
      </c>
      <c r="K46" s="639" t="s">
        <v>3744</v>
      </c>
      <c r="L46" s="639" t="s">
        <v>3745</v>
      </c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57">
      <c r="A47" s="635">
        <v>43</v>
      </c>
      <c r="B47" s="637" t="s">
        <v>3740</v>
      </c>
      <c r="C47" s="638" t="s">
        <v>3762</v>
      </c>
      <c r="D47" s="639" t="s">
        <v>1646</v>
      </c>
      <c r="E47" s="640" t="s">
        <v>3771</v>
      </c>
      <c r="F47" s="637">
        <v>21</v>
      </c>
      <c r="G47" s="637">
        <v>12</v>
      </c>
      <c r="H47" s="637">
        <v>2566</v>
      </c>
      <c r="I47" s="641">
        <v>1520</v>
      </c>
      <c r="J47" s="638" t="s">
        <v>3743</v>
      </c>
      <c r="K47" s="639" t="s">
        <v>3744</v>
      </c>
      <c r="L47" s="639" t="s">
        <v>3745</v>
      </c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57">
      <c r="A48" s="635">
        <v>44</v>
      </c>
      <c r="B48" s="637" t="s">
        <v>3740</v>
      </c>
      <c r="C48" s="638" t="s">
        <v>3762</v>
      </c>
      <c r="D48" s="639" t="s">
        <v>1646</v>
      </c>
      <c r="E48" s="640" t="s">
        <v>3772</v>
      </c>
      <c r="F48" s="637">
        <v>21</v>
      </c>
      <c r="G48" s="637">
        <v>12</v>
      </c>
      <c r="H48" s="637">
        <v>2566</v>
      </c>
      <c r="I48" s="641">
        <v>1520</v>
      </c>
      <c r="J48" s="638" t="s">
        <v>3743</v>
      </c>
      <c r="K48" s="639" t="s">
        <v>3744</v>
      </c>
      <c r="L48" s="639" t="s">
        <v>3745</v>
      </c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57">
      <c r="A49" s="635">
        <v>45</v>
      </c>
      <c r="B49" s="637" t="s">
        <v>3740</v>
      </c>
      <c r="C49" s="638" t="s">
        <v>3762</v>
      </c>
      <c r="D49" s="639" t="s">
        <v>1646</v>
      </c>
      <c r="E49" s="640" t="s">
        <v>3773</v>
      </c>
      <c r="F49" s="637">
        <v>21</v>
      </c>
      <c r="G49" s="637">
        <v>12</v>
      </c>
      <c r="H49" s="637">
        <v>2566</v>
      </c>
      <c r="I49" s="641">
        <v>1520</v>
      </c>
      <c r="J49" s="638" t="s">
        <v>3743</v>
      </c>
      <c r="K49" s="639" t="s">
        <v>3744</v>
      </c>
      <c r="L49" s="639" t="s">
        <v>3745</v>
      </c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57">
      <c r="A50" s="635">
        <v>46</v>
      </c>
      <c r="B50" s="637" t="s">
        <v>3740</v>
      </c>
      <c r="C50" s="638" t="s">
        <v>3762</v>
      </c>
      <c r="D50" s="639" t="s">
        <v>1646</v>
      </c>
      <c r="E50" s="640" t="s">
        <v>3774</v>
      </c>
      <c r="F50" s="637">
        <v>21</v>
      </c>
      <c r="G50" s="637">
        <v>12</v>
      </c>
      <c r="H50" s="637">
        <v>2566</v>
      </c>
      <c r="I50" s="641">
        <v>1520</v>
      </c>
      <c r="J50" s="638" t="s">
        <v>3743</v>
      </c>
      <c r="K50" s="639" t="s">
        <v>3744</v>
      </c>
      <c r="L50" s="639" t="s">
        <v>3745</v>
      </c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57">
      <c r="A51" s="635">
        <v>47</v>
      </c>
      <c r="B51" s="637" t="s">
        <v>3740</v>
      </c>
      <c r="C51" s="638" t="s">
        <v>3762</v>
      </c>
      <c r="D51" s="639" t="s">
        <v>1646</v>
      </c>
      <c r="E51" s="640" t="s">
        <v>3775</v>
      </c>
      <c r="F51" s="637">
        <v>21</v>
      </c>
      <c r="G51" s="637">
        <v>12</v>
      </c>
      <c r="H51" s="637">
        <v>2566</v>
      </c>
      <c r="I51" s="641">
        <v>1520</v>
      </c>
      <c r="J51" s="638" t="s">
        <v>3743</v>
      </c>
      <c r="K51" s="639" t="s">
        <v>3744</v>
      </c>
      <c r="L51" s="639" t="s">
        <v>3745</v>
      </c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57">
      <c r="A52" s="635">
        <v>48</v>
      </c>
      <c r="B52" s="637" t="s">
        <v>3740</v>
      </c>
      <c r="C52" s="638" t="s">
        <v>3762</v>
      </c>
      <c r="D52" s="639" t="s">
        <v>1646</v>
      </c>
      <c r="E52" s="640" t="s">
        <v>3776</v>
      </c>
      <c r="F52" s="637">
        <v>21</v>
      </c>
      <c r="G52" s="637">
        <v>12</v>
      </c>
      <c r="H52" s="637">
        <v>2566</v>
      </c>
      <c r="I52" s="641">
        <v>1520</v>
      </c>
      <c r="J52" s="638" t="s">
        <v>3743</v>
      </c>
      <c r="K52" s="639" t="s">
        <v>3744</v>
      </c>
      <c r="L52" s="639" t="s">
        <v>3745</v>
      </c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28.5">
      <c r="A53" s="635">
        <v>49</v>
      </c>
      <c r="B53" s="637" t="s">
        <v>3777</v>
      </c>
      <c r="C53" s="638" t="s">
        <v>3778</v>
      </c>
      <c r="D53" s="639" t="s">
        <v>3779</v>
      </c>
      <c r="E53" s="640" t="s">
        <v>3780</v>
      </c>
      <c r="F53" s="637">
        <v>5</v>
      </c>
      <c r="G53" s="637">
        <v>7</v>
      </c>
      <c r="H53" s="637">
        <v>2545</v>
      </c>
      <c r="I53" s="641">
        <v>439800</v>
      </c>
      <c r="J53" s="638" t="s">
        <v>3781</v>
      </c>
      <c r="K53" s="639" t="s">
        <v>3782</v>
      </c>
      <c r="L53" s="639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28.5">
      <c r="A54" s="635">
        <v>50</v>
      </c>
      <c r="B54" s="637" t="s">
        <v>3783</v>
      </c>
      <c r="C54" s="638" t="s">
        <v>3784</v>
      </c>
      <c r="D54" s="639" t="s">
        <v>1950</v>
      </c>
      <c r="E54" s="640" t="s">
        <v>635</v>
      </c>
      <c r="F54" s="637">
        <v>29</v>
      </c>
      <c r="G54" s="637">
        <v>5</v>
      </c>
      <c r="H54" s="637">
        <v>2551</v>
      </c>
      <c r="I54" s="641">
        <v>23400</v>
      </c>
      <c r="J54" s="638" t="s">
        <v>3785</v>
      </c>
      <c r="K54" s="639" t="s">
        <v>3786</v>
      </c>
      <c r="L54" s="639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28.5">
      <c r="A55" s="635">
        <v>51</v>
      </c>
      <c r="B55" s="637" t="s">
        <v>3783</v>
      </c>
      <c r="C55" s="638" t="s">
        <v>3784</v>
      </c>
      <c r="D55" s="639" t="s">
        <v>1950</v>
      </c>
      <c r="E55" s="640" t="s">
        <v>3787</v>
      </c>
      <c r="F55" s="637"/>
      <c r="G55" s="637"/>
      <c r="H55" s="637">
        <f ca="1">G55:H59</f>
        <v>0</v>
      </c>
      <c r="I55" s="641"/>
      <c r="J55" s="638" t="s">
        <v>3785</v>
      </c>
      <c r="K55" s="639" t="s">
        <v>3786</v>
      </c>
      <c r="L55" s="639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28.5">
      <c r="A56" s="635">
        <v>52</v>
      </c>
      <c r="B56" s="637" t="s">
        <v>3788</v>
      </c>
      <c r="C56" s="638" t="s">
        <v>3784</v>
      </c>
      <c r="D56" s="639" t="s">
        <v>1950</v>
      </c>
      <c r="E56" s="640" t="s">
        <v>3789</v>
      </c>
      <c r="F56" s="637">
        <v>29</v>
      </c>
      <c r="G56" s="637">
        <v>4</v>
      </c>
      <c r="H56" s="637">
        <v>2551</v>
      </c>
      <c r="I56" s="641">
        <v>23400</v>
      </c>
      <c r="J56" s="638" t="s">
        <v>3785</v>
      </c>
      <c r="K56" s="639" t="s">
        <v>3786</v>
      </c>
      <c r="L56" s="639" t="s">
        <v>3745</v>
      </c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28.5">
      <c r="A57" s="635">
        <v>53</v>
      </c>
      <c r="B57" s="637" t="s">
        <v>3788</v>
      </c>
      <c r="C57" s="638" t="s">
        <v>3784</v>
      </c>
      <c r="D57" s="639" t="s">
        <v>1950</v>
      </c>
      <c r="E57" s="640" t="s">
        <v>3790</v>
      </c>
      <c r="F57" s="637">
        <v>29</v>
      </c>
      <c r="G57" s="637">
        <v>4</v>
      </c>
      <c r="H57" s="637">
        <v>2551</v>
      </c>
      <c r="I57" s="641">
        <v>11600</v>
      </c>
      <c r="J57" s="638" t="s">
        <v>3785</v>
      </c>
      <c r="K57" s="639" t="s">
        <v>3786</v>
      </c>
      <c r="L57" s="639" t="s">
        <v>3745</v>
      </c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42.75">
      <c r="A58" s="635">
        <v>54</v>
      </c>
      <c r="B58" s="637" t="s">
        <v>3791</v>
      </c>
      <c r="C58" s="638" t="s">
        <v>3792</v>
      </c>
      <c r="D58" s="639" t="s">
        <v>2005</v>
      </c>
      <c r="E58" s="640" t="s">
        <v>3793</v>
      </c>
      <c r="F58" s="637">
        <v>12</v>
      </c>
      <c r="G58" s="637">
        <v>7</v>
      </c>
      <c r="H58" s="637">
        <v>2561</v>
      </c>
      <c r="I58" s="641">
        <v>40000</v>
      </c>
      <c r="J58" s="638" t="s">
        <v>3794</v>
      </c>
      <c r="K58" s="639" t="s">
        <v>3795</v>
      </c>
      <c r="L58" s="639" t="s">
        <v>3796</v>
      </c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42.75">
      <c r="A59" s="635">
        <v>55</v>
      </c>
      <c r="B59" s="637" t="s">
        <v>3791</v>
      </c>
      <c r="C59" s="638" t="s">
        <v>3797</v>
      </c>
      <c r="D59" s="639" t="s">
        <v>2005</v>
      </c>
      <c r="E59" s="640" t="s">
        <v>3798</v>
      </c>
      <c r="F59" s="637">
        <v>12</v>
      </c>
      <c r="G59" s="637">
        <v>7</v>
      </c>
      <c r="H59" s="637">
        <v>2561</v>
      </c>
      <c r="I59" s="641">
        <v>14000</v>
      </c>
      <c r="J59" s="638" t="s">
        <v>3794</v>
      </c>
      <c r="K59" s="639" t="s">
        <v>3795</v>
      </c>
      <c r="L59" s="639" t="s">
        <v>3796</v>
      </c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28.5">
      <c r="A60" s="635">
        <v>56</v>
      </c>
      <c r="B60" s="637" t="s">
        <v>3791</v>
      </c>
      <c r="C60" s="638" t="s">
        <v>3797</v>
      </c>
      <c r="D60" s="639" t="s">
        <v>2005</v>
      </c>
      <c r="E60" s="640" t="s">
        <v>3799</v>
      </c>
      <c r="F60" s="637">
        <v>12</v>
      </c>
      <c r="G60" s="637">
        <v>7</v>
      </c>
      <c r="H60" s="637">
        <v>2561</v>
      </c>
      <c r="I60" s="641">
        <v>14000</v>
      </c>
      <c r="J60" s="638" t="s">
        <v>3800</v>
      </c>
      <c r="K60" s="639" t="s">
        <v>3795</v>
      </c>
      <c r="L60" s="639" t="s">
        <v>3796</v>
      </c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75">
      <c r="A61" s="635">
        <v>57</v>
      </c>
      <c r="B61" s="637" t="s">
        <v>3830</v>
      </c>
      <c r="C61" s="646" t="s">
        <v>3831</v>
      </c>
      <c r="D61" s="646" t="s">
        <v>1739</v>
      </c>
      <c r="E61" s="647" t="s">
        <v>3808</v>
      </c>
      <c r="F61" s="647">
        <v>1</v>
      </c>
      <c r="G61" s="647">
        <v>2</v>
      </c>
      <c r="H61" s="647">
        <v>2558</v>
      </c>
      <c r="I61" s="648">
        <v>27000</v>
      </c>
      <c r="J61" s="646" t="s">
        <v>3806</v>
      </c>
      <c r="K61" s="646" t="s">
        <v>3835</v>
      </c>
      <c r="L61" s="646" t="s">
        <v>3430</v>
      </c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75">
      <c r="A62" s="635">
        <v>58</v>
      </c>
      <c r="B62" s="637" t="s">
        <v>3830</v>
      </c>
      <c r="C62" s="646" t="s">
        <v>3831</v>
      </c>
      <c r="D62" s="646" t="s">
        <v>1739</v>
      </c>
      <c r="E62" s="647" t="s">
        <v>3809</v>
      </c>
      <c r="F62" s="647">
        <v>1</v>
      </c>
      <c r="G62" s="647">
        <v>2</v>
      </c>
      <c r="H62" s="647">
        <v>2558</v>
      </c>
      <c r="I62" s="648">
        <v>27000</v>
      </c>
      <c r="J62" s="646" t="s">
        <v>3806</v>
      </c>
      <c r="K62" s="646" t="s">
        <v>3835</v>
      </c>
      <c r="L62" s="646" t="s">
        <v>3430</v>
      </c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75">
      <c r="A63" s="635">
        <v>59</v>
      </c>
      <c r="B63" s="637" t="s">
        <v>3830</v>
      </c>
      <c r="C63" s="646" t="s">
        <v>3832</v>
      </c>
      <c r="D63" s="646" t="s">
        <v>1739</v>
      </c>
      <c r="E63" s="647" t="s">
        <v>3833</v>
      </c>
      <c r="F63" s="647">
        <v>17</v>
      </c>
      <c r="G63" s="647">
        <v>2</v>
      </c>
      <c r="H63" s="647">
        <v>2540</v>
      </c>
      <c r="I63" s="648">
        <v>30000</v>
      </c>
      <c r="J63" s="646" t="s">
        <v>3836</v>
      </c>
      <c r="K63" s="646" t="s">
        <v>3837</v>
      </c>
      <c r="L63" s="646" t="s">
        <v>3430</v>
      </c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37.5">
      <c r="A64" s="635">
        <v>60</v>
      </c>
      <c r="B64" s="637" t="s">
        <v>3830</v>
      </c>
      <c r="C64" s="646" t="s">
        <v>15</v>
      </c>
      <c r="D64" s="646" t="s">
        <v>1739</v>
      </c>
      <c r="E64" s="647" t="s">
        <v>3834</v>
      </c>
      <c r="F64" s="647">
        <v>17</v>
      </c>
      <c r="G64" s="647">
        <v>2</v>
      </c>
      <c r="H64" s="647">
        <v>2540</v>
      </c>
      <c r="I64" s="648">
        <v>30000</v>
      </c>
      <c r="J64" s="646" t="s">
        <v>3836</v>
      </c>
      <c r="K64" s="646" t="s">
        <v>3837</v>
      </c>
      <c r="L64" s="646" t="s">
        <v>3430</v>
      </c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" thickBot="1">
      <c r="A65" s="96"/>
      <c r="B65" s="96"/>
      <c r="C65" s="96"/>
      <c r="D65" s="96"/>
      <c r="E65" s="96"/>
      <c r="F65" s="96"/>
      <c r="G65" s="96"/>
      <c r="H65" s="109"/>
      <c r="I65" s="110">
        <f>SUM(I5:I64)</f>
        <v>3280415.03</v>
      </c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" thickTop="1">
      <c r="A66" s="96"/>
      <c r="B66" s="96"/>
      <c r="C66" s="96"/>
      <c r="D66" s="96"/>
      <c r="E66" s="96"/>
      <c r="F66" s="96"/>
      <c r="G66" s="96"/>
      <c r="H66" s="96"/>
      <c r="I66" s="111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>
      <c r="A67" s="112"/>
      <c r="B67" s="112"/>
      <c r="C67" s="112"/>
      <c r="D67" s="112"/>
      <c r="E67" s="112"/>
      <c r="F67" s="112"/>
      <c r="G67" s="112"/>
      <c r="H67" s="112"/>
      <c r="I67" s="113"/>
      <c r="J67" s="112"/>
      <c r="K67" s="112"/>
      <c r="L67" s="112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>
      <c r="A68" s="96"/>
      <c r="B68" s="96"/>
      <c r="C68" s="96"/>
      <c r="D68" s="96"/>
      <c r="E68" s="96"/>
      <c r="F68" s="96"/>
      <c r="G68" s="96"/>
      <c r="H68" s="96"/>
      <c r="I68" s="111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>
      <c r="A69" s="1242" t="s">
        <v>3435</v>
      </c>
      <c r="B69" s="1241"/>
      <c r="C69" s="1241"/>
      <c r="D69" s="1241"/>
      <c r="E69" s="1241"/>
      <c r="F69" s="1241"/>
      <c r="G69" s="1241"/>
      <c r="H69" s="1241"/>
      <c r="I69" s="1241"/>
      <c r="J69" s="1241"/>
      <c r="K69" s="1241"/>
      <c r="L69" s="1243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>
      <c r="A70" s="1242"/>
      <c r="B70" s="1241"/>
      <c r="C70" s="1241"/>
      <c r="D70" s="1241"/>
      <c r="E70" s="1241"/>
      <c r="F70" s="1241"/>
      <c r="G70" s="1241"/>
      <c r="H70" s="1241"/>
      <c r="I70" s="1241"/>
      <c r="J70" s="1241"/>
      <c r="K70" s="1241"/>
      <c r="L70" s="1243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>
      <c r="A71" s="1244"/>
      <c r="B71" s="1245"/>
      <c r="C71" s="1245"/>
      <c r="D71" s="1245"/>
      <c r="E71" s="1245"/>
      <c r="F71" s="1245"/>
      <c r="G71" s="1245"/>
      <c r="H71" s="1245"/>
      <c r="I71" s="1245"/>
      <c r="J71" s="1245"/>
      <c r="K71" s="1245"/>
      <c r="L71" s="124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>
      <c r="A72" s="97" t="s">
        <v>3420</v>
      </c>
      <c r="B72" s="98" t="s">
        <v>3421</v>
      </c>
      <c r="C72" s="98" t="s">
        <v>0</v>
      </c>
      <c r="D72" s="98" t="s">
        <v>3422</v>
      </c>
      <c r="E72" s="98" t="s">
        <v>1</v>
      </c>
      <c r="F72" s="98" t="s">
        <v>3423</v>
      </c>
      <c r="G72" s="98" t="s">
        <v>3424</v>
      </c>
      <c r="H72" s="98" t="s">
        <v>3425</v>
      </c>
      <c r="I72" s="114" t="s">
        <v>2</v>
      </c>
      <c r="J72" s="98" t="s">
        <v>3426</v>
      </c>
      <c r="K72" s="98" t="s">
        <v>3436</v>
      </c>
      <c r="L72" s="98" t="s">
        <v>3428</v>
      </c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56.25">
      <c r="A73" s="101">
        <v>1</v>
      </c>
      <c r="B73" s="620" t="s">
        <v>3815</v>
      </c>
      <c r="C73" s="649" t="s">
        <v>3335</v>
      </c>
      <c r="D73" s="620"/>
      <c r="E73" s="650" t="s">
        <v>3336</v>
      </c>
      <c r="F73" s="650">
        <v>19</v>
      </c>
      <c r="G73" s="650">
        <v>1</v>
      </c>
      <c r="H73" s="650">
        <v>2554</v>
      </c>
      <c r="I73" s="651">
        <v>23831</v>
      </c>
      <c r="J73" s="649" t="s">
        <v>3363</v>
      </c>
      <c r="K73" s="649" t="s">
        <v>3744</v>
      </c>
      <c r="L73" s="620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56.25">
      <c r="A74" s="101">
        <v>2</v>
      </c>
      <c r="B74" s="620" t="s">
        <v>3815</v>
      </c>
      <c r="C74" s="652" t="s">
        <v>3335</v>
      </c>
      <c r="D74" s="620"/>
      <c r="E74" s="653" t="s">
        <v>3337</v>
      </c>
      <c r="F74" s="653">
        <v>19</v>
      </c>
      <c r="G74" s="653">
        <v>1</v>
      </c>
      <c r="H74" s="653">
        <v>2554</v>
      </c>
      <c r="I74" s="654">
        <v>23831</v>
      </c>
      <c r="J74" s="652" t="s">
        <v>3363</v>
      </c>
      <c r="K74" s="652" t="s">
        <v>3744</v>
      </c>
      <c r="L74" s="620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56.25">
      <c r="A75" s="101">
        <v>3</v>
      </c>
      <c r="B75" s="620" t="s">
        <v>3815</v>
      </c>
      <c r="C75" s="652" t="s">
        <v>3335</v>
      </c>
      <c r="D75" s="620"/>
      <c r="E75" s="653" t="s">
        <v>3338</v>
      </c>
      <c r="F75" s="653">
        <v>19</v>
      </c>
      <c r="G75" s="653">
        <v>1</v>
      </c>
      <c r="H75" s="653">
        <v>2554</v>
      </c>
      <c r="I75" s="654">
        <v>23831</v>
      </c>
      <c r="J75" s="652" t="s">
        <v>3363</v>
      </c>
      <c r="K75" s="652" t="s">
        <v>3744</v>
      </c>
      <c r="L75" s="620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56.25">
      <c r="A76" s="101">
        <v>4</v>
      </c>
      <c r="B76" s="620" t="s">
        <v>3815</v>
      </c>
      <c r="C76" s="652" t="s">
        <v>3335</v>
      </c>
      <c r="D76" s="620"/>
      <c r="E76" s="653" t="s">
        <v>3339</v>
      </c>
      <c r="F76" s="653">
        <v>19</v>
      </c>
      <c r="G76" s="653">
        <v>1</v>
      </c>
      <c r="H76" s="653">
        <v>2554</v>
      </c>
      <c r="I76" s="654">
        <v>23831</v>
      </c>
      <c r="J76" s="652" t="s">
        <v>3363</v>
      </c>
      <c r="K76" s="652" t="s">
        <v>3744</v>
      </c>
      <c r="L76" s="620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75">
      <c r="A77" s="101">
        <v>5</v>
      </c>
      <c r="B77" s="620" t="s">
        <v>3815</v>
      </c>
      <c r="C77" s="652" t="s">
        <v>3431</v>
      </c>
      <c r="D77" s="620"/>
      <c r="E77" s="653" t="s">
        <v>3340</v>
      </c>
      <c r="F77" s="653">
        <v>19</v>
      </c>
      <c r="G77" s="653">
        <v>1</v>
      </c>
      <c r="H77" s="653">
        <v>2554</v>
      </c>
      <c r="I77" s="654">
        <v>35420</v>
      </c>
      <c r="J77" s="652" t="s">
        <v>3363</v>
      </c>
      <c r="K77" s="652" t="s">
        <v>3744</v>
      </c>
      <c r="L77" s="620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75">
      <c r="A78" s="101">
        <v>6</v>
      </c>
      <c r="B78" s="620" t="s">
        <v>3815</v>
      </c>
      <c r="C78" s="652" t="s">
        <v>3432</v>
      </c>
      <c r="D78" s="620"/>
      <c r="E78" s="653" t="s">
        <v>3341</v>
      </c>
      <c r="F78" s="653">
        <v>19</v>
      </c>
      <c r="G78" s="653">
        <v>1</v>
      </c>
      <c r="H78" s="653">
        <v>2554</v>
      </c>
      <c r="I78" s="654">
        <v>36000</v>
      </c>
      <c r="J78" s="652" t="s">
        <v>3363</v>
      </c>
      <c r="K78" s="652" t="s">
        <v>3744</v>
      </c>
      <c r="L78" s="620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75">
      <c r="A79" s="101">
        <v>7</v>
      </c>
      <c r="B79" s="620" t="s">
        <v>3815</v>
      </c>
      <c r="C79" s="652" t="s">
        <v>3433</v>
      </c>
      <c r="D79" s="620"/>
      <c r="E79" s="653" t="s">
        <v>3342</v>
      </c>
      <c r="F79" s="653">
        <v>19</v>
      </c>
      <c r="G79" s="653">
        <v>1</v>
      </c>
      <c r="H79" s="653">
        <v>2554</v>
      </c>
      <c r="I79" s="654">
        <v>29439</v>
      </c>
      <c r="J79" s="652" t="s">
        <v>3363</v>
      </c>
      <c r="K79" s="652" t="s">
        <v>3744</v>
      </c>
      <c r="L79" s="620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75">
      <c r="A80" s="101">
        <v>8</v>
      </c>
      <c r="B80" s="620" t="s">
        <v>3815</v>
      </c>
      <c r="C80" s="652" t="s">
        <v>3433</v>
      </c>
      <c r="D80" s="620"/>
      <c r="E80" s="653" t="s">
        <v>3343</v>
      </c>
      <c r="F80" s="653">
        <v>19</v>
      </c>
      <c r="G80" s="653">
        <v>1</v>
      </c>
      <c r="H80" s="653">
        <v>2554</v>
      </c>
      <c r="I80" s="654">
        <v>29439</v>
      </c>
      <c r="J80" s="652" t="s">
        <v>3363</v>
      </c>
      <c r="K80" s="652" t="s">
        <v>3744</v>
      </c>
      <c r="L80" s="620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75">
      <c r="A81" s="101">
        <v>9</v>
      </c>
      <c r="B81" s="620" t="s">
        <v>3815</v>
      </c>
      <c r="C81" s="652" t="s">
        <v>3433</v>
      </c>
      <c r="D81" s="620"/>
      <c r="E81" s="653" t="s">
        <v>3344</v>
      </c>
      <c r="F81" s="653">
        <v>19</v>
      </c>
      <c r="G81" s="653">
        <v>1</v>
      </c>
      <c r="H81" s="653">
        <v>2554</v>
      </c>
      <c r="I81" s="654">
        <v>29439</v>
      </c>
      <c r="J81" s="652" t="s">
        <v>3363</v>
      </c>
      <c r="K81" s="652" t="s">
        <v>3744</v>
      </c>
      <c r="L81" s="620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75">
      <c r="A82" s="101">
        <v>10</v>
      </c>
      <c r="B82" s="620" t="s">
        <v>3815</v>
      </c>
      <c r="C82" s="652" t="s">
        <v>3432</v>
      </c>
      <c r="D82" s="620"/>
      <c r="E82" s="653" t="s">
        <v>3345</v>
      </c>
      <c r="F82" s="653">
        <v>19</v>
      </c>
      <c r="G82" s="653">
        <v>1</v>
      </c>
      <c r="H82" s="653">
        <v>2554</v>
      </c>
      <c r="I82" s="654">
        <v>36000</v>
      </c>
      <c r="J82" s="652" t="s">
        <v>3363</v>
      </c>
      <c r="K82" s="652" t="s">
        <v>3744</v>
      </c>
      <c r="L82" s="620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75">
      <c r="A83" s="101">
        <v>11</v>
      </c>
      <c r="B83" s="620" t="s">
        <v>3815</v>
      </c>
      <c r="C83" s="652" t="s">
        <v>3432</v>
      </c>
      <c r="D83" s="620"/>
      <c r="E83" s="653" t="s">
        <v>3346</v>
      </c>
      <c r="F83" s="653">
        <v>19</v>
      </c>
      <c r="G83" s="653">
        <v>1</v>
      </c>
      <c r="H83" s="653">
        <v>2554</v>
      </c>
      <c r="I83" s="654">
        <v>36000</v>
      </c>
      <c r="J83" s="652" t="s">
        <v>3363</v>
      </c>
      <c r="K83" s="652" t="s">
        <v>3744</v>
      </c>
      <c r="L83" s="620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75">
      <c r="A84" s="101">
        <v>12</v>
      </c>
      <c r="B84" s="620" t="s">
        <v>3815</v>
      </c>
      <c r="C84" s="652" t="s">
        <v>3816</v>
      </c>
      <c r="D84" s="620"/>
      <c r="E84" s="653" t="s">
        <v>3347</v>
      </c>
      <c r="F84" s="653">
        <v>19</v>
      </c>
      <c r="G84" s="653">
        <v>1</v>
      </c>
      <c r="H84" s="653">
        <v>2554</v>
      </c>
      <c r="I84" s="654">
        <v>47663</v>
      </c>
      <c r="J84" s="652" t="s">
        <v>3363</v>
      </c>
      <c r="K84" s="652" t="s">
        <v>3744</v>
      </c>
      <c r="L84" s="620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75">
      <c r="A85" s="101">
        <v>13</v>
      </c>
      <c r="B85" s="620" t="s">
        <v>3815</v>
      </c>
      <c r="C85" s="652" t="s">
        <v>3817</v>
      </c>
      <c r="D85" s="620"/>
      <c r="E85" s="653" t="s">
        <v>3355</v>
      </c>
      <c r="F85" s="653">
        <v>19</v>
      </c>
      <c r="G85" s="653">
        <v>1</v>
      </c>
      <c r="H85" s="653">
        <v>2554</v>
      </c>
      <c r="I85" s="654">
        <v>53000</v>
      </c>
      <c r="J85" s="652" t="s">
        <v>3363</v>
      </c>
      <c r="K85" s="652" t="s">
        <v>3744</v>
      </c>
      <c r="L85" s="620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75">
      <c r="A86" s="101">
        <v>14</v>
      </c>
      <c r="B86" s="620" t="s">
        <v>3815</v>
      </c>
      <c r="C86" s="652" t="s">
        <v>3818</v>
      </c>
      <c r="D86" s="620"/>
      <c r="E86" s="653" t="s">
        <v>3356</v>
      </c>
      <c r="F86" s="653">
        <v>19</v>
      </c>
      <c r="G86" s="653">
        <v>1</v>
      </c>
      <c r="H86" s="653">
        <v>2554</v>
      </c>
      <c r="I86" s="654">
        <v>26000</v>
      </c>
      <c r="J86" s="652" t="s">
        <v>3363</v>
      </c>
      <c r="K86" s="652" t="s">
        <v>3744</v>
      </c>
      <c r="L86" s="620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56.25">
      <c r="A87" s="101">
        <v>15</v>
      </c>
      <c r="B87" s="620" t="s">
        <v>3815</v>
      </c>
      <c r="C87" s="652" t="s">
        <v>3351</v>
      </c>
      <c r="D87" s="620"/>
      <c r="E87" s="653" t="s">
        <v>3357</v>
      </c>
      <c r="F87" s="653">
        <v>19</v>
      </c>
      <c r="G87" s="653">
        <v>1</v>
      </c>
      <c r="H87" s="653">
        <v>2554</v>
      </c>
      <c r="I87" s="654">
        <v>6000</v>
      </c>
      <c r="J87" s="652" t="s">
        <v>3363</v>
      </c>
      <c r="K87" s="652" t="s">
        <v>3744</v>
      </c>
      <c r="L87" s="620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56.25">
      <c r="A88" s="101">
        <v>16</v>
      </c>
      <c r="B88" s="620" t="s">
        <v>3815</v>
      </c>
      <c r="C88" s="652" t="s">
        <v>3352</v>
      </c>
      <c r="D88" s="620"/>
      <c r="E88" s="653" t="s">
        <v>3358</v>
      </c>
      <c r="F88" s="653">
        <v>19</v>
      </c>
      <c r="G88" s="653">
        <v>1</v>
      </c>
      <c r="H88" s="653">
        <v>2554</v>
      </c>
      <c r="I88" s="654">
        <v>35000</v>
      </c>
      <c r="J88" s="652" t="s">
        <v>3363</v>
      </c>
      <c r="K88" s="652" t="s">
        <v>3744</v>
      </c>
      <c r="L88" s="620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56.25">
      <c r="A89" s="101">
        <v>17</v>
      </c>
      <c r="B89" s="620" t="s">
        <v>3815</v>
      </c>
      <c r="C89" s="652" t="s">
        <v>3353</v>
      </c>
      <c r="D89" s="620"/>
      <c r="E89" s="653" t="s">
        <v>3359</v>
      </c>
      <c r="F89" s="653">
        <v>19</v>
      </c>
      <c r="G89" s="653">
        <v>1</v>
      </c>
      <c r="H89" s="653">
        <v>2554</v>
      </c>
      <c r="I89" s="654">
        <v>10000</v>
      </c>
      <c r="J89" s="652" t="s">
        <v>3363</v>
      </c>
      <c r="K89" s="652" t="s">
        <v>3744</v>
      </c>
      <c r="L89" s="620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56.25">
      <c r="A90" s="101">
        <v>18</v>
      </c>
      <c r="B90" s="620" t="s">
        <v>3815</v>
      </c>
      <c r="C90" s="652" t="s">
        <v>3819</v>
      </c>
      <c r="D90" s="620"/>
      <c r="E90" s="653" t="s">
        <v>3360</v>
      </c>
      <c r="F90" s="653">
        <v>19</v>
      </c>
      <c r="G90" s="653">
        <v>1</v>
      </c>
      <c r="H90" s="653">
        <v>2554</v>
      </c>
      <c r="I90" s="654">
        <v>10000</v>
      </c>
      <c r="J90" s="652" t="s">
        <v>3363</v>
      </c>
      <c r="K90" s="652" t="s">
        <v>3744</v>
      </c>
      <c r="L90" s="620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56.25">
      <c r="A91" s="101">
        <v>19</v>
      </c>
      <c r="B91" s="620" t="s">
        <v>3815</v>
      </c>
      <c r="C91" s="652" t="s">
        <v>3819</v>
      </c>
      <c r="D91" s="620"/>
      <c r="E91" s="653" t="s">
        <v>3361</v>
      </c>
      <c r="F91" s="653">
        <v>19</v>
      </c>
      <c r="G91" s="653">
        <v>1</v>
      </c>
      <c r="H91" s="653">
        <v>2554</v>
      </c>
      <c r="I91" s="654">
        <v>21000</v>
      </c>
      <c r="J91" s="652" t="s">
        <v>3363</v>
      </c>
      <c r="K91" s="652" t="s">
        <v>3744</v>
      </c>
      <c r="L91" s="620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56.25">
      <c r="A92" s="101">
        <v>20</v>
      </c>
      <c r="B92" s="620" t="s">
        <v>3815</v>
      </c>
      <c r="C92" s="652" t="s">
        <v>3820</v>
      </c>
      <c r="D92" s="620"/>
      <c r="E92" s="653" t="s">
        <v>3365</v>
      </c>
      <c r="F92" s="653">
        <v>19</v>
      </c>
      <c r="G92" s="653">
        <v>1</v>
      </c>
      <c r="H92" s="653">
        <v>2554</v>
      </c>
      <c r="I92" s="654">
        <v>35000</v>
      </c>
      <c r="J92" s="652" t="s">
        <v>3363</v>
      </c>
      <c r="K92" s="652" t="s">
        <v>3744</v>
      </c>
      <c r="L92" s="620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75">
      <c r="A93" s="101">
        <v>21</v>
      </c>
      <c r="B93" s="620" t="s">
        <v>3815</v>
      </c>
      <c r="C93" s="652" t="s">
        <v>3821</v>
      </c>
      <c r="D93" s="620"/>
      <c r="E93" s="653" t="s">
        <v>3367</v>
      </c>
      <c r="F93" s="653">
        <v>19</v>
      </c>
      <c r="G93" s="653">
        <v>1</v>
      </c>
      <c r="H93" s="653">
        <v>2554</v>
      </c>
      <c r="I93" s="654">
        <v>20000</v>
      </c>
      <c r="J93" s="652" t="s">
        <v>3363</v>
      </c>
      <c r="K93" s="652" t="s">
        <v>3744</v>
      </c>
      <c r="L93" s="620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56.25">
      <c r="A94" s="101">
        <v>22</v>
      </c>
      <c r="B94" s="620" t="s">
        <v>3815</v>
      </c>
      <c r="C94" s="652" t="s">
        <v>3822</v>
      </c>
      <c r="D94" s="620"/>
      <c r="E94" s="653" t="s">
        <v>3369</v>
      </c>
      <c r="F94" s="653">
        <v>19</v>
      </c>
      <c r="G94" s="653">
        <v>1</v>
      </c>
      <c r="H94" s="653">
        <v>2554</v>
      </c>
      <c r="I94" s="654">
        <v>20000</v>
      </c>
      <c r="J94" s="652" t="s">
        <v>3363</v>
      </c>
      <c r="K94" s="652" t="s">
        <v>3744</v>
      </c>
      <c r="L94" s="620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56.25">
      <c r="A95" s="101">
        <v>23</v>
      </c>
      <c r="B95" s="620" t="s">
        <v>3815</v>
      </c>
      <c r="C95" s="652" t="s">
        <v>3370</v>
      </c>
      <c r="D95" s="620"/>
      <c r="E95" s="653" t="s">
        <v>3372</v>
      </c>
      <c r="F95" s="653">
        <v>19</v>
      </c>
      <c r="G95" s="653">
        <v>1</v>
      </c>
      <c r="H95" s="653">
        <v>2554</v>
      </c>
      <c r="I95" s="654">
        <v>23000</v>
      </c>
      <c r="J95" s="652" t="s">
        <v>3363</v>
      </c>
      <c r="K95" s="652" t="s">
        <v>3744</v>
      </c>
      <c r="L95" s="620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56.25">
      <c r="A96" s="101">
        <v>24</v>
      </c>
      <c r="B96" s="620" t="s">
        <v>3815</v>
      </c>
      <c r="C96" s="652" t="s">
        <v>3371</v>
      </c>
      <c r="D96" s="620"/>
      <c r="E96" s="653" t="s">
        <v>3373</v>
      </c>
      <c r="F96" s="653">
        <v>19</v>
      </c>
      <c r="G96" s="653">
        <v>1</v>
      </c>
      <c r="H96" s="653">
        <v>2554</v>
      </c>
      <c r="I96" s="654">
        <v>23000</v>
      </c>
      <c r="J96" s="652" t="s">
        <v>3363</v>
      </c>
      <c r="K96" s="652" t="s">
        <v>3744</v>
      </c>
      <c r="L96" s="620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56.25">
      <c r="A97" s="101">
        <v>25</v>
      </c>
      <c r="B97" s="620" t="s">
        <v>3815</v>
      </c>
      <c r="C97" s="652" t="s">
        <v>3371</v>
      </c>
      <c r="D97" s="620"/>
      <c r="E97" s="653" t="s">
        <v>3374</v>
      </c>
      <c r="F97" s="653">
        <v>19</v>
      </c>
      <c r="G97" s="653">
        <v>1</v>
      </c>
      <c r="H97" s="653">
        <v>2554</v>
      </c>
      <c r="I97" s="654">
        <v>23000</v>
      </c>
      <c r="J97" s="652" t="s">
        <v>3363</v>
      </c>
      <c r="K97" s="652" t="s">
        <v>3744</v>
      </c>
      <c r="L97" s="620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56.25">
      <c r="A98" s="101">
        <v>26</v>
      </c>
      <c r="B98" s="620" t="s">
        <v>3815</v>
      </c>
      <c r="C98" s="652" t="s">
        <v>3371</v>
      </c>
      <c r="D98" s="620"/>
      <c r="E98" s="653" t="s">
        <v>3375</v>
      </c>
      <c r="F98" s="653">
        <v>19</v>
      </c>
      <c r="G98" s="653">
        <v>1</v>
      </c>
      <c r="H98" s="653">
        <v>2554</v>
      </c>
      <c r="I98" s="654">
        <v>23000</v>
      </c>
      <c r="J98" s="652" t="s">
        <v>3363</v>
      </c>
      <c r="K98" s="652" t="s">
        <v>3744</v>
      </c>
      <c r="L98" s="620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93.75">
      <c r="A99" s="101">
        <v>27</v>
      </c>
      <c r="B99" s="620" t="s">
        <v>3815</v>
      </c>
      <c r="C99" s="652" t="s">
        <v>3823</v>
      </c>
      <c r="D99" s="620"/>
      <c r="E99" s="653" t="s">
        <v>3378</v>
      </c>
      <c r="F99" s="653">
        <v>19</v>
      </c>
      <c r="G99" s="653">
        <v>1</v>
      </c>
      <c r="H99" s="653">
        <v>2554</v>
      </c>
      <c r="I99" s="654">
        <v>37383</v>
      </c>
      <c r="J99" s="652" t="s">
        <v>3363</v>
      </c>
      <c r="K99" s="652" t="s">
        <v>3744</v>
      </c>
      <c r="L99" s="620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s="36" customFormat="1" ht="75">
      <c r="A100" s="101">
        <v>28</v>
      </c>
      <c r="B100" s="620" t="s">
        <v>3815</v>
      </c>
      <c r="C100" s="652" t="s">
        <v>3824</v>
      </c>
      <c r="D100" s="655"/>
      <c r="E100" s="653" t="s">
        <v>3377</v>
      </c>
      <c r="F100" s="653">
        <v>19</v>
      </c>
      <c r="G100" s="653">
        <v>1</v>
      </c>
      <c r="H100" s="653">
        <v>2554</v>
      </c>
      <c r="I100" s="654">
        <v>6500</v>
      </c>
      <c r="J100" s="652" t="s">
        <v>3363</v>
      </c>
      <c r="K100" s="652" t="s">
        <v>3744</v>
      </c>
      <c r="L100" s="656"/>
      <c r="M100" s="66"/>
    </row>
    <row r="101" spans="1:26" ht="56.25">
      <c r="A101" s="101">
        <v>29</v>
      </c>
      <c r="B101" s="620" t="s">
        <v>3815</v>
      </c>
      <c r="C101" s="652" t="s">
        <v>3381</v>
      </c>
      <c r="D101" s="620"/>
      <c r="E101" s="653" t="s">
        <v>3383</v>
      </c>
      <c r="F101" s="653">
        <v>19</v>
      </c>
      <c r="G101" s="653">
        <v>1</v>
      </c>
      <c r="H101" s="653">
        <v>2554</v>
      </c>
      <c r="I101" s="654">
        <v>12000</v>
      </c>
      <c r="J101" s="652" t="s">
        <v>3363</v>
      </c>
      <c r="K101" s="652" t="s">
        <v>3744</v>
      </c>
      <c r="L101" s="621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75">
      <c r="A102" s="101">
        <v>30</v>
      </c>
      <c r="B102" s="620" t="s">
        <v>3815</v>
      </c>
      <c r="C102" s="652" t="s">
        <v>3434</v>
      </c>
      <c r="D102" s="620"/>
      <c r="E102" s="653" t="s">
        <v>3389</v>
      </c>
      <c r="F102" s="653">
        <v>25</v>
      </c>
      <c r="G102" s="653">
        <v>11</v>
      </c>
      <c r="H102" s="653">
        <v>2558</v>
      </c>
      <c r="I102" s="654">
        <v>30000</v>
      </c>
      <c r="J102" s="652" t="s">
        <v>3363</v>
      </c>
      <c r="K102" s="652" t="s">
        <v>3744</v>
      </c>
      <c r="L102" s="621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75">
      <c r="A103" s="101">
        <v>31</v>
      </c>
      <c r="B103" s="620" t="s">
        <v>3815</v>
      </c>
      <c r="C103" s="652" t="s">
        <v>3825</v>
      </c>
      <c r="D103" s="620"/>
      <c r="E103" s="653" t="s">
        <v>3390</v>
      </c>
      <c r="F103" s="653">
        <v>25</v>
      </c>
      <c r="G103" s="653">
        <v>11</v>
      </c>
      <c r="H103" s="653">
        <v>2558</v>
      </c>
      <c r="I103" s="654">
        <v>59990</v>
      </c>
      <c r="J103" s="652" t="s">
        <v>3363</v>
      </c>
      <c r="K103" s="652" t="s">
        <v>3744</v>
      </c>
      <c r="L103" s="621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75">
      <c r="A104" s="101">
        <v>32</v>
      </c>
      <c r="B104" s="620" t="s">
        <v>3815</v>
      </c>
      <c r="C104" s="652" t="s">
        <v>3826</v>
      </c>
      <c r="D104" s="621"/>
      <c r="E104" s="653" t="s">
        <v>3391</v>
      </c>
      <c r="F104" s="653">
        <v>25</v>
      </c>
      <c r="G104" s="653">
        <v>11</v>
      </c>
      <c r="H104" s="653">
        <v>2558</v>
      </c>
      <c r="I104" s="654">
        <v>37000</v>
      </c>
      <c r="J104" s="652" t="s">
        <v>3363</v>
      </c>
      <c r="K104" s="652" t="s">
        <v>3744</v>
      </c>
      <c r="L104" s="621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75">
      <c r="A105" s="101">
        <v>33</v>
      </c>
      <c r="B105" s="620" t="s">
        <v>3815</v>
      </c>
      <c r="C105" s="652" t="s">
        <v>3827</v>
      </c>
      <c r="D105" s="621"/>
      <c r="E105" s="653" t="s">
        <v>3392</v>
      </c>
      <c r="F105" s="653">
        <v>25</v>
      </c>
      <c r="G105" s="653">
        <v>11</v>
      </c>
      <c r="H105" s="653">
        <v>2558</v>
      </c>
      <c r="I105" s="654">
        <v>30000</v>
      </c>
      <c r="J105" s="652" t="s">
        <v>3363</v>
      </c>
      <c r="K105" s="652" t="s">
        <v>3744</v>
      </c>
      <c r="L105" s="621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56.25">
      <c r="A106" s="101">
        <v>34</v>
      </c>
      <c r="B106" s="620" t="s">
        <v>3815</v>
      </c>
      <c r="C106" s="652" t="s">
        <v>3828</v>
      </c>
      <c r="D106" s="621"/>
      <c r="E106" s="653" t="s">
        <v>3395</v>
      </c>
      <c r="F106" s="653">
        <v>25</v>
      </c>
      <c r="G106" s="653">
        <v>11</v>
      </c>
      <c r="H106" s="653">
        <v>2558</v>
      </c>
      <c r="I106" s="654">
        <v>165000</v>
      </c>
      <c r="J106" s="652" t="s">
        <v>3363</v>
      </c>
      <c r="K106" s="652" t="s">
        <v>3744</v>
      </c>
      <c r="L106" s="621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56.25">
      <c r="A107" s="101">
        <v>35</v>
      </c>
      <c r="B107" s="620" t="s">
        <v>3815</v>
      </c>
      <c r="C107" s="652" t="s">
        <v>3396</v>
      </c>
      <c r="D107" s="621"/>
      <c r="E107" s="653" t="s">
        <v>3397</v>
      </c>
      <c r="F107" s="653">
        <v>25</v>
      </c>
      <c r="G107" s="653">
        <v>11</v>
      </c>
      <c r="H107" s="653">
        <v>2558</v>
      </c>
      <c r="I107" s="654">
        <v>18000</v>
      </c>
      <c r="J107" s="652" t="s">
        <v>3363</v>
      </c>
      <c r="K107" s="652" t="s">
        <v>3744</v>
      </c>
      <c r="L107" s="621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56.25">
      <c r="A108" s="101">
        <v>36</v>
      </c>
      <c r="B108" s="620" t="s">
        <v>3815</v>
      </c>
      <c r="C108" s="652" t="s">
        <v>3399</v>
      </c>
      <c r="D108" s="621"/>
      <c r="E108" s="653" t="s">
        <v>3400</v>
      </c>
      <c r="F108" s="653">
        <v>25</v>
      </c>
      <c r="G108" s="653">
        <v>11</v>
      </c>
      <c r="H108" s="653">
        <v>2558</v>
      </c>
      <c r="I108" s="654">
        <v>8000</v>
      </c>
      <c r="J108" s="652" t="s">
        <v>3363</v>
      </c>
      <c r="K108" s="652" t="s">
        <v>3744</v>
      </c>
      <c r="L108" s="621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56.25">
      <c r="A109" s="659">
        <v>37</v>
      </c>
      <c r="B109" s="660" t="s">
        <v>3815</v>
      </c>
      <c r="C109" s="661" t="s">
        <v>3829</v>
      </c>
      <c r="D109" s="662"/>
      <c r="E109" s="663" t="s">
        <v>3403</v>
      </c>
      <c r="F109" s="663">
        <v>9</v>
      </c>
      <c r="G109" s="663">
        <v>6</v>
      </c>
      <c r="H109" s="663">
        <v>2563</v>
      </c>
      <c r="I109" s="664">
        <v>2500</v>
      </c>
      <c r="J109" s="661" t="s">
        <v>3363</v>
      </c>
      <c r="K109" s="661" t="s">
        <v>3744</v>
      </c>
      <c r="L109" s="662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75">
      <c r="A110" s="636">
        <v>38</v>
      </c>
      <c r="B110" s="639" t="s">
        <v>3838</v>
      </c>
      <c r="C110" s="652" t="s">
        <v>3839</v>
      </c>
      <c r="D110" s="640" t="s">
        <v>3842</v>
      </c>
      <c r="E110" s="653" t="s">
        <v>900</v>
      </c>
      <c r="F110" s="653">
        <v>8</v>
      </c>
      <c r="G110" s="653">
        <v>12</v>
      </c>
      <c r="H110" s="653">
        <v>2548</v>
      </c>
      <c r="I110" s="654">
        <v>2700</v>
      </c>
      <c r="J110" s="652" t="s">
        <v>3840</v>
      </c>
      <c r="K110" s="652" t="s">
        <v>3841</v>
      </c>
      <c r="L110" s="640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75">
      <c r="A111" s="636">
        <v>39</v>
      </c>
      <c r="B111" s="639" t="s">
        <v>3838</v>
      </c>
      <c r="C111" s="652" t="s">
        <v>3839</v>
      </c>
      <c r="D111" s="640" t="s">
        <v>3842</v>
      </c>
      <c r="E111" s="653" t="s">
        <v>901</v>
      </c>
      <c r="F111" s="653">
        <v>8</v>
      </c>
      <c r="G111" s="653">
        <v>12</v>
      </c>
      <c r="H111" s="653">
        <v>2548</v>
      </c>
      <c r="I111" s="654">
        <v>2700</v>
      </c>
      <c r="J111" s="652" t="s">
        <v>3840</v>
      </c>
      <c r="K111" s="652" t="s">
        <v>3841</v>
      </c>
      <c r="L111" s="640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75">
      <c r="A112" s="636">
        <v>40</v>
      </c>
      <c r="B112" s="639" t="s">
        <v>3838</v>
      </c>
      <c r="C112" s="652" t="s">
        <v>3839</v>
      </c>
      <c r="D112" s="640" t="s">
        <v>3842</v>
      </c>
      <c r="E112" s="653" t="s">
        <v>902</v>
      </c>
      <c r="F112" s="653">
        <v>8</v>
      </c>
      <c r="G112" s="653">
        <v>12</v>
      </c>
      <c r="H112" s="653">
        <v>2548</v>
      </c>
      <c r="I112" s="654">
        <v>2700</v>
      </c>
      <c r="J112" s="652" t="s">
        <v>3840</v>
      </c>
      <c r="K112" s="652" t="s">
        <v>3841</v>
      </c>
      <c r="L112" s="640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75">
      <c r="A113" s="636">
        <v>41</v>
      </c>
      <c r="B113" s="639" t="s">
        <v>3838</v>
      </c>
      <c r="C113" s="652" t="s">
        <v>3839</v>
      </c>
      <c r="D113" s="640" t="s">
        <v>3842</v>
      </c>
      <c r="E113" s="653" t="s">
        <v>903</v>
      </c>
      <c r="F113" s="653">
        <v>8</v>
      </c>
      <c r="G113" s="653">
        <v>12</v>
      </c>
      <c r="H113" s="653">
        <v>2548</v>
      </c>
      <c r="I113" s="654">
        <v>2700</v>
      </c>
      <c r="J113" s="652" t="s">
        <v>3840</v>
      </c>
      <c r="K113" s="652" t="s">
        <v>3841</v>
      </c>
      <c r="L113" s="640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75">
      <c r="A114" s="636">
        <v>42</v>
      </c>
      <c r="B114" s="639" t="s">
        <v>3838</v>
      </c>
      <c r="C114" s="652" t="s">
        <v>3839</v>
      </c>
      <c r="D114" s="640" t="s">
        <v>3842</v>
      </c>
      <c r="E114" s="653" t="s">
        <v>904</v>
      </c>
      <c r="F114" s="653">
        <v>8</v>
      </c>
      <c r="G114" s="653">
        <v>12</v>
      </c>
      <c r="H114" s="653">
        <v>2548</v>
      </c>
      <c r="I114" s="654">
        <v>2700</v>
      </c>
      <c r="J114" s="652" t="s">
        <v>3840</v>
      </c>
      <c r="K114" s="652" t="s">
        <v>3841</v>
      </c>
      <c r="L114" s="640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75">
      <c r="A115" s="636">
        <v>43</v>
      </c>
      <c r="B115" s="639" t="s">
        <v>3838</v>
      </c>
      <c r="C115" s="652" t="s">
        <v>3839</v>
      </c>
      <c r="D115" s="640" t="s">
        <v>3842</v>
      </c>
      <c r="E115" s="653" t="s">
        <v>905</v>
      </c>
      <c r="F115" s="653">
        <v>8</v>
      </c>
      <c r="G115" s="653">
        <v>12</v>
      </c>
      <c r="H115" s="653">
        <v>2548</v>
      </c>
      <c r="I115" s="654">
        <v>2700</v>
      </c>
      <c r="J115" s="652" t="s">
        <v>3840</v>
      </c>
      <c r="K115" s="652" t="s">
        <v>3841</v>
      </c>
      <c r="L115" s="640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75">
      <c r="A116" s="636">
        <v>44</v>
      </c>
      <c r="B116" s="639" t="s">
        <v>3838</v>
      </c>
      <c r="C116" s="652" t="s">
        <v>3839</v>
      </c>
      <c r="D116" s="640" t="s">
        <v>3842</v>
      </c>
      <c r="E116" s="653" t="s">
        <v>906</v>
      </c>
      <c r="F116" s="653">
        <v>8</v>
      </c>
      <c r="G116" s="653">
        <v>12</v>
      </c>
      <c r="H116" s="653">
        <v>2548</v>
      </c>
      <c r="I116" s="654">
        <v>2700</v>
      </c>
      <c r="J116" s="652" t="s">
        <v>3840</v>
      </c>
      <c r="K116" s="652" t="s">
        <v>3841</v>
      </c>
      <c r="L116" s="640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75">
      <c r="A117" s="636">
        <v>45</v>
      </c>
      <c r="B117" s="639" t="s">
        <v>3838</v>
      </c>
      <c r="C117" s="652" t="s">
        <v>3839</v>
      </c>
      <c r="D117" s="640" t="s">
        <v>3842</v>
      </c>
      <c r="E117" s="653" t="s">
        <v>907</v>
      </c>
      <c r="F117" s="653">
        <v>8</v>
      </c>
      <c r="G117" s="653">
        <v>12</v>
      </c>
      <c r="H117" s="653">
        <v>2548</v>
      </c>
      <c r="I117" s="654">
        <v>2700</v>
      </c>
      <c r="J117" s="652" t="s">
        <v>3840</v>
      </c>
      <c r="K117" s="652" t="s">
        <v>3841</v>
      </c>
      <c r="L117" s="640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75">
      <c r="A118" s="636">
        <v>46</v>
      </c>
      <c r="B118" s="639" t="s">
        <v>3838</v>
      </c>
      <c r="C118" s="652" t="s">
        <v>3839</v>
      </c>
      <c r="D118" s="640" t="s">
        <v>3842</v>
      </c>
      <c r="E118" s="653" t="s">
        <v>908</v>
      </c>
      <c r="F118" s="653">
        <v>8</v>
      </c>
      <c r="G118" s="653">
        <v>12</v>
      </c>
      <c r="H118" s="653">
        <v>2548</v>
      </c>
      <c r="I118" s="654">
        <v>2700</v>
      </c>
      <c r="J118" s="652" t="s">
        <v>3840</v>
      </c>
      <c r="K118" s="652" t="s">
        <v>3841</v>
      </c>
      <c r="L118" s="640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75">
      <c r="A119" s="636">
        <v>47</v>
      </c>
      <c r="B119" s="639" t="s">
        <v>3838</v>
      </c>
      <c r="C119" s="652" t="s">
        <v>3839</v>
      </c>
      <c r="D119" s="640" t="s">
        <v>3842</v>
      </c>
      <c r="E119" s="653" t="s">
        <v>909</v>
      </c>
      <c r="F119" s="653">
        <v>8</v>
      </c>
      <c r="G119" s="653">
        <v>12</v>
      </c>
      <c r="H119" s="653">
        <v>2548</v>
      </c>
      <c r="I119" s="654">
        <v>2700</v>
      </c>
      <c r="J119" s="652" t="s">
        <v>3840</v>
      </c>
      <c r="K119" s="652" t="s">
        <v>3841</v>
      </c>
      <c r="L119" s="640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75">
      <c r="A120" s="636">
        <v>48</v>
      </c>
      <c r="B120" s="639" t="s">
        <v>3838</v>
      </c>
      <c r="C120" s="652" t="s">
        <v>3839</v>
      </c>
      <c r="D120" s="640" t="s">
        <v>3842</v>
      </c>
      <c r="E120" s="653" t="s">
        <v>910</v>
      </c>
      <c r="F120" s="653">
        <v>8</v>
      </c>
      <c r="G120" s="653">
        <v>12</v>
      </c>
      <c r="H120" s="653">
        <v>2548</v>
      </c>
      <c r="I120" s="654">
        <v>2700</v>
      </c>
      <c r="J120" s="652" t="s">
        <v>3840</v>
      </c>
      <c r="K120" s="652" t="s">
        <v>3841</v>
      </c>
      <c r="L120" s="640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75">
      <c r="A121" s="636">
        <v>49</v>
      </c>
      <c r="B121" s="639" t="s">
        <v>3838</v>
      </c>
      <c r="C121" s="652" t="s">
        <v>3839</v>
      </c>
      <c r="D121" s="640" t="s">
        <v>3842</v>
      </c>
      <c r="E121" s="653" t="s">
        <v>911</v>
      </c>
      <c r="F121" s="653">
        <v>8</v>
      </c>
      <c r="G121" s="653">
        <v>12</v>
      </c>
      <c r="H121" s="653">
        <v>2548</v>
      </c>
      <c r="I121" s="654">
        <v>2700</v>
      </c>
      <c r="J121" s="652" t="s">
        <v>3840</v>
      </c>
      <c r="K121" s="652" t="s">
        <v>3841</v>
      </c>
      <c r="L121" s="640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75">
      <c r="A122" s="636">
        <v>50</v>
      </c>
      <c r="B122" s="639" t="s">
        <v>3838</v>
      </c>
      <c r="C122" s="652" t="s">
        <v>3839</v>
      </c>
      <c r="D122" s="640" t="s">
        <v>3842</v>
      </c>
      <c r="E122" s="653" t="s">
        <v>912</v>
      </c>
      <c r="F122" s="653">
        <v>8</v>
      </c>
      <c r="G122" s="653">
        <v>12</v>
      </c>
      <c r="H122" s="653">
        <v>2548</v>
      </c>
      <c r="I122" s="654">
        <v>2700</v>
      </c>
      <c r="J122" s="652" t="s">
        <v>3840</v>
      </c>
      <c r="K122" s="652" t="s">
        <v>3841</v>
      </c>
      <c r="L122" s="640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75">
      <c r="A123" s="636">
        <v>51</v>
      </c>
      <c r="B123" s="639" t="s">
        <v>3838</v>
      </c>
      <c r="C123" s="652" t="s">
        <v>3839</v>
      </c>
      <c r="D123" s="640" t="s">
        <v>3842</v>
      </c>
      <c r="E123" s="653" t="s">
        <v>913</v>
      </c>
      <c r="F123" s="653">
        <v>8</v>
      </c>
      <c r="G123" s="653">
        <v>12</v>
      </c>
      <c r="H123" s="653">
        <v>2548</v>
      </c>
      <c r="I123" s="654">
        <v>2700</v>
      </c>
      <c r="J123" s="652" t="s">
        <v>3840</v>
      </c>
      <c r="K123" s="652" t="s">
        <v>3841</v>
      </c>
      <c r="L123" s="640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75">
      <c r="A124" s="636">
        <v>52</v>
      </c>
      <c r="B124" s="639" t="s">
        <v>3838</v>
      </c>
      <c r="C124" s="652" t="s">
        <v>3839</v>
      </c>
      <c r="D124" s="640" t="s">
        <v>3842</v>
      </c>
      <c r="E124" s="653" t="s">
        <v>914</v>
      </c>
      <c r="F124" s="653">
        <v>8</v>
      </c>
      <c r="G124" s="653">
        <v>12</v>
      </c>
      <c r="H124" s="653">
        <v>2548</v>
      </c>
      <c r="I124" s="654">
        <v>2700</v>
      </c>
      <c r="J124" s="652" t="s">
        <v>3840</v>
      </c>
      <c r="K124" s="652" t="s">
        <v>3841</v>
      </c>
      <c r="L124" s="640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75">
      <c r="A125" s="636">
        <v>53</v>
      </c>
      <c r="B125" s="639" t="s">
        <v>3838</v>
      </c>
      <c r="C125" s="652" t="s">
        <v>3839</v>
      </c>
      <c r="D125" s="640" t="s">
        <v>3842</v>
      </c>
      <c r="E125" s="653" t="s">
        <v>915</v>
      </c>
      <c r="F125" s="653">
        <v>8</v>
      </c>
      <c r="G125" s="653">
        <v>12</v>
      </c>
      <c r="H125" s="653">
        <v>2548</v>
      </c>
      <c r="I125" s="654">
        <v>2700</v>
      </c>
      <c r="J125" s="652" t="s">
        <v>3840</v>
      </c>
      <c r="K125" s="652" t="s">
        <v>3841</v>
      </c>
      <c r="L125" s="640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>
      <c r="A126" s="665"/>
      <c r="B126" s="666"/>
      <c r="C126" s="666"/>
      <c r="D126" s="665"/>
      <c r="E126" s="665"/>
      <c r="F126" s="665"/>
      <c r="G126" s="665"/>
      <c r="H126" s="665"/>
      <c r="I126" s="667"/>
      <c r="J126" s="665"/>
      <c r="K126" s="665"/>
      <c r="L126" s="665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>
      <c r="A127" s="665"/>
      <c r="B127" s="666"/>
      <c r="C127" s="666"/>
      <c r="D127" s="665"/>
      <c r="E127" s="665"/>
      <c r="F127" s="665"/>
      <c r="G127" s="665"/>
      <c r="H127" s="665"/>
      <c r="I127" s="667"/>
      <c r="J127" s="665"/>
      <c r="K127" s="665"/>
      <c r="L127" s="665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>
      <c r="A128" s="665"/>
      <c r="B128" s="665"/>
      <c r="C128" s="665"/>
      <c r="D128" s="665"/>
      <c r="E128" s="665"/>
      <c r="F128" s="665"/>
      <c r="G128" s="665"/>
      <c r="H128" s="665"/>
      <c r="I128" s="667"/>
      <c r="J128" s="665"/>
      <c r="K128" s="665"/>
      <c r="L128" s="665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" thickBot="1">
      <c r="A129" s="96"/>
      <c r="B129" s="96"/>
      <c r="C129" s="96"/>
      <c r="D129" s="96"/>
      <c r="E129" s="96"/>
      <c r="F129" s="96"/>
      <c r="G129" s="96"/>
      <c r="H129" s="109"/>
      <c r="I129" s="115">
        <f>SUM(I73:I128)</f>
        <v>1152297</v>
      </c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" thickTop="1">
      <c r="A130" s="96"/>
      <c r="B130" s="96"/>
      <c r="C130" s="96"/>
      <c r="D130" s="96"/>
      <c r="E130" s="96"/>
      <c r="F130" s="96"/>
      <c r="G130" s="96"/>
      <c r="H130" s="96"/>
      <c r="I130" s="111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>
      <c r="A131" s="112"/>
      <c r="B131" s="112"/>
      <c r="C131" s="112"/>
      <c r="D131" s="112"/>
      <c r="E131" s="112"/>
      <c r="F131" s="112"/>
      <c r="G131" s="112"/>
      <c r="H131" s="112"/>
      <c r="I131" s="113"/>
      <c r="J131" s="112"/>
      <c r="K131" s="112"/>
      <c r="L131" s="112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>
      <c r="A132" s="1242" t="s">
        <v>3439</v>
      </c>
      <c r="B132" s="1241"/>
      <c r="C132" s="1241"/>
      <c r="D132" s="1241"/>
      <c r="E132" s="1241"/>
      <c r="F132" s="1241"/>
      <c r="G132" s="1241"/>
      <c r="H132" s="1241"/>
      <c r="I132" s="1241"/>
      <c r="J132" s="1241"/>
      <c r="K132" s="1241"/>
      <c r="L132" s="1243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>
      <c r="A133" s="1244"/>
      <c r="B133" s="1245"/>
      <c r="C133" s="1245"/>
      <c r="D133" s="1245"/>
      <c r="E133" s="1245"/>
      <c r="F133" s="1245"/>
      <c r="G133" s="1245"/>
      <c r="H133" s="1245"/>
      <c r="I133" s="1245"/>
      <c r="J133" s="1245"/>
      <c r="K133" s="1245"/>
      <c r="L133" s="124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>
      <c r="A134" s="97" t="s">
        <v>3420</v>
      </c>
      <c r="B134" s="98" t="s">
        <v>3421</v>
      </c>
      <c r="C134" s="98" t="s">
        <v>0</v>
      </c>
      <c r="D134" s="99" t="s">
        <v>3422</v>
      </c>
      <c r="E134" s="98" t="s">
        <v>1</v>
      </c>
      <c r="F134" s="98" t="s">
        <v>3423</v>
      </c>
      <c r="G134" s="98" t="s">
        <v>3424</v>
      </c>
      <c r="H134" s="98" t="s">
        <v>3425</v>
      </c>
      <c r="I134" s="100" t="s">
        <v>2</v>
      </c>
      <c r="J134" s="98" t="s">
        <v>3426</v>
      </c>
      <c r="K134" s="98" t="s">
        <v>3436</v>
      </c>
      <c r="L134" s="98" t="s">
        <v>3428</v>
      </c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37.5">
      <c r="A135" s="101">
        <v>1</v>
      </c>
      <c r="B135" s="649" t="s">
        <v>3811</v>
      </c>
      <c r="C135" s="649" t="s">
        <v>3810</v>
      </c>
      <c r="D135" s="649" t="s">
        <v>1950</v>
      </c>
      <c r="E135" s="650" t="s">
        <v>3812</v>
      </c>
      <c r="F135" s="619">
        <v>11</v>
      </c>
      <c r="G135" s="619">
        <v>6</v>
      </c>
      <c r="H135" s="619">
        <v>2555</v>
      </c>
      <c r="I135" s="657">
        <v>31900</v>
      </c>
      <c r="J135" s="649" t="s">
        <v>3814</v>
      </c>
      <c r="K135" s="649" t="s">
        <v>3438</v>
      </c>
      <c r="L135" s="649" t="s">
        <v>3430</v>
      </c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37.5">
      <c r="A136" s="101">
        <v>2</v>
      </c>
      <c r="B136" s="652" t="s">
        <v>3811</v>
      </c>
      <c r="C136" s="652" t="s">
        <v>3810</v>
      </c>
      <c r="D136" s="652" t="s">
        <v>1950</v>
      </c>
      <c r="E136" s="653" t="s">
        <v>3813</v>
      </c>
      <c r="F136" s="619">
        <v>11</v>
      </c>
      <c r="G136" s="619">
        <v>6</v>
      </c>
      <c r="H136" s="619">
        <v>2555</v>
      </c>
      <c r="I136" s="657">
        <v>31900</v>
      </c>
      <c r="J136" s="649" t="s">
        <v>3814</v>
      </c>
      <c r="K136" s="649" t="s">
        <v>3438</v>
      </c>
      <c r="L136" s="649" t="s">
        <v>3430</v>
      </c>
      <c r="M136" s="96"/>
      <c r="N136" s="96"/>
      <c r="O136" s="96"/>
      <c r="P136" s="658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>
      <c r="A137" s="101"/>
      <c r="B137" s="102"/>
      <c r="C137" s="102"/>
      <c r="D137" s="102"/>
      <c r="E137" s="103"/>
      <c r="F137" s="103"/>
      <c r="G137" s="103"/>
      <c r="H137" s="103"/>
      <c r="I137" s="104"/>
      <c r="J137" s="105"/>
      <c r="K137" s="102"/>
      <c r="L137" s="107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>
      <c r="A138" s="106"/>
      <c r="B138" s="107"/>
      <c r="C138" s="107"/>
      <c r="D138" s="107"/>
      <c r="E138" s="107"/>
      <c r="F138" s="107"/>
      <c r="G138" s="107"/>
      <c r="H138" s="107"/>
      <c r="I138" s="108"/>
      <c r="J138" s="107"/>
      <c r="K138" s="107"/>
      <c r="L138" s="107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" thickBot="1">
      <c r="A139" s="96"/>
      <c r="B139" s="96"/>
      <c r="C139" s="96"/>
      <c r="D139" s="96"/>
      <c r="E139" s="96"/>
      <c r="F139" s="96"/>
      <c r="G139" s="96"/>
      <c r="H139" s="109"/>
      <c r="I139" s="110">
        <f>SUM(I135:I138)</f>
        <v>63800</v>
      </c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" thickTop="1">
      <c r="A140" s="96"/>
      <c r="B140" s="96"/>
      <c r="C140" s="96"/>
      <c r="D140" s="96"/>
      <c r="E140" s="96"/>
      <c r="F140" s="96"/>
      <c r="G140" s="96"/>
      <c r="H140" s="96"/>
      <c r="I140" s="111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>
      <c r="A141" s="96"/>
      <c r="B141" s="96"/>
      <c r="C141" s="96"/>
      <c r="D141" s="96"/>
      <c r="E141" s="96"/>
      <c r="F141" s="96"/>
      <c r="G141" s="96"/>
      <c r="H141" s="96"/>
      <c r="I141" s="111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>
      <c r="A142" s="96"/>
      <c r="B142" s="96"/>
      <c r="C142" s="96"/>
      <c r="D142" s="96"/>
      <c r="E142" s="96"/>
      <c r="F142" s="96"/>
      <c r="G142" s="96"/>
      <c r="H142" s="96"/>
      <c r="I142" s="111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>
      <c r="A143" s="96"/>
      <c r="B143" s="96"/>
      <c r="C143" s="96"/>
      <c r="D143" s="96"/>
      <c r="E143" s="96"/>
      <c r="F143" s="96"/>
      <c r="G143" s="96"/>
      <c r="H143" s="96"/>
      <c r="I143" s="111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>
      <c r="A144" s="96"/>
      <c r="B144" s="96"/>
      <c r="C144" s="96"/>
      <c r="D144" s="96"/>
      <c r="E144" s="96"/>
      <c r="F144" s="96"/>
      <c r="G144" s="96"/>
      <c r="H144" s="96"/>
      <c r="I144" s="111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>
      <c r="A145" s="96"/>
      <c r="B145" s="96"/>
      <c r="C145" s="96"/>
      <c r="D145" s="96"/>
      <c r="E145" s="96"/>
      <c r="F145" s="96"/>
      <c r="G145" s="96"/>
      <c r="H145" s="96"/>
      <c r="I145" s="111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>
      <c r="A146" s="96"/>
      <c r="B146" s="96"/>
      <c r="C146" s="96"/>
      <c r="D146" s="96"/>
      <c r="E146" s="96"/>
      <c r="F146" s="96"/>
      <c r="G146" s="96"/>
      <c r="H146" s="96"/>
      <c r="I146" s="111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>
      <c r="A147" s="96"/>
      <c r="B147" s="96"/>
      <c r="C147" s="96"/>
      <c r="D147" s="96"/>
      <c r="E147" s="96"/>
      <c r="F147" s="96"/>
      <c r="G147" s="96"/>
      <c r="H147" s="96"/>
      <c r="I147" s="111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>
      <c r="A148" s="96"/>
      <c r="B148" s="96"/>
      <c r="C148" s="96"/>
      <c r="D148" s="96"/>
      <c r="E148" s="96"/>
      <c r="F148" s="96"/>
      <c r="G148" s="96"/>
      <c r="H148" s="96"/>
      <c r="I148" s="111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>
      <c r="A149" s="96"/>
      <c r="B149" s="96"/>
      <c r="C149" s="96"/>
      <c r="D149" s="96"/>
      <c r="E149" s="96"/>
      <c r="F149" s="96"/>
      <c r="G149" s="96"/>
      <c r="H149" s="96"/>
      <c r="I149" s="111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>
      <c r="A150" s="96"/>
      <c r="B150" s="96"/>
      <c r="C150" s="96"/>
      <c r="D150" s="96"/>
      <c r="E150" s="96"/>
      <c r="F150" s="96"/>
      <c r="G150" s="96"/>
      <c r="H150" s="96"/>
      <c r="I150" s="111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>
      <c r="A151" s="96"/>
      <c r="B151" s="96"/>
      <c r="C151" s="96"/>
      <c r="D151" s="96"/>
      <c r="E151" s="96"/>
      <c r="F151" s="96"/>
      <c r="G151" s="96"/>
      <c r="H151" s="96"/>
      <c r="I151" s="111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>
      <c r="A152" s="96"/>
      <c r="B152" s="96"/>
      <c r="C152" s="96"/>
      <c r="D152" s="96"/>
      <c r="E152" s="96"/>
      <c r="F152" s="96"/>
      <c r="G152" s="96"/>
      <c r="H152" s="96"/>
      <c r="I152" s="111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>
      <c r="A153" s="96"/>
      <c r="B153" s="96"/>
      <c r="C153" s="96"/>
      <c r="D153" s="96"/>
      <c r="E153" s="96"/>
      <c r="F153" s="96"/>
      <c r="G153" s="96"/>
      <c r="H153" s="96"/>
      <c r="I153" s="111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>
      <c r="A154" s="96"/>
      <c r="B154" s="96"/>
      <c r="C154" s="96"/>
      <c r="D154" s="96"/>
      <c r="E154" s="96"/>
      <c r="F154" s="96"/>
      <c r="G154" s="96"/>
      <c r="H154" s="96"/>
      <c r="I154" s="111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>
      <c r="A155" s="96"/>
      <c r="B155" s="96"/>
      <c r="C155" s="96"/>
      <c r="D155" s="96"/>
      <c r="E155" s="96"/>
      <c r="F155" s="96"/>
      <c r="G155" s="96"/>
      <c r="H155" s="96"/>
      <c r="I155" s="111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>
      <c r="A156" s="96"/>
      <c r="B156" s="96"/>
      <c r="C156" s="96"/>
      <c r="D156" s="96"/>
      <c r="E156" s="96"/>
      <c r="F156" s="96"/>
      <c r="G156" s="96"/>
      <c r="H156" s="96"/>
      <c r="I156" s="111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>
      <c r="A157" s="96"/>
      <c r="B157" s="96"/>
      <c r="C157" s="96"/>
      <c r="D157" s="96"/>
      <c r="E157" s="96"/>
      <c r="F157" s="96"/>
      <c r="G157" s="96"/>
      <c r="H157" s="96"/>
      <c r="I157" s="111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>
      <c r="A158" s="96"/>
      <c r="B158" s="96"/>
      <c r="C158" s="96"/>
      <c r="D158" s="96"/>
      <c r="E158" s="96"/>
      <c r="F158" s="96"/>
      <c r="G158" s="96"/>
      <c r="H158" s="96"/>
      <c r="I158" s="111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>
      <c r="A159" s="96"/>
      <c r="B159" s="96"/>
      <c r="C159" s="96"/>
      <c r="D159" s="96"/>
      <c r="E159" s="96"/>
      <c r="F159" s="96"/>
      <c r="G159" s="96"/>
      <c r="H159" s="96"/>
      <c r="I159" s="111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>
      <c r="A160" s="96"/>
      <c r="B160" s="96"/>
      <c r="C160" s="96"/>
      <c r="D160" s="96"/>
      <c r="E160" s="96"/>
      <c r="F160" s="96"/>
      <c r="G160" s="96"/>
      <c r="H160" s="96"/>
      <c r="I160" s="111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>
      <c r="A161" s="96"/>
      <c r="B161" s="96"/>
      <c r="C161" s="96"/>
      <c r="D161" s="96"/>
      <c r="E161" s="96"/>
      <c r="F161" s="96"/>
      <c r="G161" s="96"/>
      <c r="H161" s="96"/>
      <c r="I161" s="111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>
      <c r="A162" s="96"/>
      <c r="B162" s="96"/>
      <c r="C162" s="96"/>
      <c r="D162" s="96"/>
      <c r="E162" s="96"/>
      <c r="F162" s="96"/>
      <c r="G162" s="96"/>
      <c r="H162" s="96"/>
      <c r="I162" s="111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>
      <c r="A163" s="96"/>
      <c r="B163" s="96"/>
      <c r="C163" s="96"/>
      <c r="D163" s="96"/>
      <c r="E163" s="96"/>
      <c r="F163" s="96"/>
      <c r="G163" s="96"/>
      <c r="H163" s="96"/>
      <c r="I163" s="111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>
      <c r="A164" s="96"/>
      <c r="B164" s="96"/>
      <c r="C164" s="96"/>
      <c r="D164" s="96"/>
      <c r="E164" s="96"/>
      <c r="F164" s="96"/>
      <c r="G164" s="96"/>
      <c r="H164" s="96"/>
      <c r="I164" s="111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>
      <c r="A165" s="96"/>
      <c r="B165" s="96"/>
      <c r="C165" s="96"/>
      <c r="D165" s="96"/>
      <c r="E165" s="96"/>
      <c r="F165" s="96"/>
      <c r="G165" s="96"/>
      <c r="H165" s="96"/>
      <c r="I165" s="111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>
      <c r="A166" s="96"/>
      <c r="B166" s="96"/>
      <c r="C166" s="96"/>
      <c r="D166" s="96"/>
      <c r="E166" s="96"/>
      <c r="F166" s="96"/>
      <c r="G166" s="96"/>
      <c r="H166" s="96"/>
      <c r="I166" s="111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>
      <c r="A167" s="96"/>
      <c r="B167" s="96"/>
      <c r="C167" s="96"/>
      <c r="D167" s="96"/>
      <c r="E167" s="96"/>
      <c r="F167" s="96"/>
      <c r="G167" s="96"/>
      <c r="H167" s="96"/>
      <c r="I167" s="111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>
      <c r="A168" s="96"/>
      <c r="B168" s="96"/>
      <c r="C168" s="96"/>
      <c r="D168" s="96"/>
      <c r="E168" s="96"/>
      <c r="F168" s="96"/>
      <c r="G168" s="96"/>
      <c r="H168" s="96"/>
      <c r="I168" s="111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>
      <c r="A169" s="96"/>
      <c r="B169" s="96"/>
      <c r="C169" s="96"/>
      <c r="D169" s="96"/>
      <c r="E169" s="96"/>
      <c r="F169" s="96"/>
      <c r="G169" s="96"/>
      <c r="H169" s="96"/>
      <c r="I169" s="111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>
      <c r="A170" s="96"/>
      <c r="B170" s="96"/>
      <c r="C170" s="96"/>
      <c r="D170" s="96"/>
      <c r="E170" s="96"/>
      <c r="F170" s="96"/>
      <c r="G170" s="96"/>
      <c r="H170" s="96"/>
      <c r="I170" s="111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>
      <c r="A171" s="96"/>
      <c r="B171" s="96"/>
      <c r="C171" s="96"/>
      <c r="D171" s="96"/>
      <c r="E171" s="96"/>
      <c r="F171" s="96"/>
      <c r="G171" s="96"/>
      <c r="H171" s="96"/>
      <c r="I171" s="111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>
      <c r="A172" s="96"/>
      <c r="B172" s="96"/>
      <c r="C172" s="96"/>
      <c r="D172" s="96"/>
      <c r="E172" s="96"/>
      <c r="F172" s="96"/>
      <c r="G172" s="96"/>
      <c r="H172" s="96"/>
      <c r="I172" s="111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>
      <c r="A173" s="96"/>
      <c r="B173" s="96"/>
      <c r="C173" s="96"/>
      <c r="D173" s="96"/>
      <c r="E173" s="96"/>
      <c r="F173" s="96"/>
      <c r="G173" s="96"/>
      <c r="H173" s="96"/>
      <c r="I173" s="111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>
      <c r="A174" s="96"/>
      <c r="B174" s="96"/>
      <c r="C174" s="96"/>
      <c r="D174" s="96"/>
      <c r="E174" s="96"/>
      <c r="F174" s="96"/>
      <c r="G174" s="96"/>
      <c r="H174" s="96"/>
      <c r="I174" s="111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>
      <c r="A175" s="96"/>
      <c r="B175" s="96"/>
      <c r="C175" s="96"/>
      <c r="D175" s="96"/>
      <c r="E175" s="96"/>
      <c r="F175" s="96"/>
      <c r="G175" s="96"/>
      <c r="H175" s="96"/>
      <c r="I175" s="111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>
      <c r="A176" s="96"/>
      <c r="B176" s="96"/>
      <c r="C176" s="96"/>
      <c r="D176" s="96"/>
      <c r="E176" s="96"/>
      <c r="F176" s="96"/>
      <c r="G176" s="96"/>
      <c r="H176" s="96"/>
      <c r="I176" s="111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>
      <c r="A177" s="96"/>
      <c r="B177" s="96"/>
      <c r="C177" s="96"/>
      <c r="D177" s="96"/>
      <c r="E177" s="96"/>
      <c r="F177" s="96"/>
      <c r="G177" s="96"/>
      <c r="H177" s="96"/>
      <c r="I177" s="111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>
      <c r="A178" s="96"/>
      <c r="B178" s="96"/>
      <c r="C178" s="96"/>
      <c r="D178" s="96"/>
      <c r="E178" s="96"/>
      <c r="F178" s="96"/>
      <c r="G178" s="96"/>
      <c r="H178" s="96"/>
      <c r="I178" s="111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>
      <c r="A179" s="96"/>
      <c r="B179" s="96"/>
      <c r="C179" s="96"/>
      <c r="D179" s="96"/>
      <c r="E179" s="96"/>
      <c r="F179" s="96"/>
      <c r="G179" s="96"/>
      <c r="H179" s="96"/>
      <c r="I179" s="111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>
      <c r="A180" s="96"/>
      <c r="B180" s="96"/>
      <c r="C180" s="96"/>
      <c r="D180" s="96"/>
      <c r="E180" s="96"/>
      <c r="F180" s="96"/>
      <c r="G180" s="96"/>
      <c r="H180" s="96"/>
      <c r="I180" s="111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>
      <c r="A181" s="96"/>
      <c r="B181" s="96"/>
      <c r="C181" s="96"/>
      <c r="D181" s="96"/>
      <c r="E181" s="96"/>
      <c r="F181" s="96"/>
      <c r="G181" s="96"/>
      <c r="H181" s="96"/>
      <c r="I181" s="111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>
      <c r="A182" s="96"/>
      <c r="B182" s="96"/>
      <c r="C182" s="96"/>
      <c r="D182" s="96"/>
      <c r="E182" s="96"/>
      <c r="F182" s="96"/>
      <c r="G182" s="96"/>
      <c r="H182" s="96"/>
      <c r="I182" s="111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>
      <c r="A183" s="96"/>
      <c r="B183" s="96"/>
      <c r="C183" s="96"/>
      <c r="D183" s="96"/>
      <c r="E183" s="96"/>
      <c r="F183" s="96"/>
      <c r="G183" s="96"/>
      <c r="H183" s="96"/>
      <c r="I183" s="111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>
      <c r="A184" s="96"/>
      <c r="B184" s="96"/>
      <c r="C184" s="96"/>
      <c r="D184" s="96"/>
      <c r="E184" s="96"/>
      <c r="F184" s="96"/>
      <c r="G184" s="96"/>
      <c r="H184" s="96"/>
      <c r="I184" s="111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>
      <c r="A185" s="96"/>
      <c r="B185" s="96"/>
      <c r="C185" s="96"/>
      <c r="D185" s="96"/>
      <c r="E185" s="96"/>
      <c r="F185" s="96"/>
      <c r="G185" s="96"/>
      <c r="H185" s="96"/>
      <c r="I185" s="111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>
      <c r="A186" s="96"/>
      <c r="B186" s="96"/>
      <c r="C186" s="96"/>
      <c r="D186" s="96"/>
      <c r="E186" s="96"/>
      <c r="F186" s="96"/>
      <c r="G186" s="96"/>
      <c r="H186" s="96"/>
      <c r="I186" s="111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>
      <c r="A187" s="96"/>
      <c r="B187" s="96"/>
      <c r="C187" s="96"/>
      <c r="D187" s="96"/>
      <c r="E187" s="96"/>
      <c r="F187" s="96"/>
      <c r="G187" s="96"/>
      <c r="H187" s="96"/>
      <c r="I187" s="111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>
      <c r="A188" s="96"/>
      <c r="B188" s="96"/>
      <c r="C188" s="96"/>
      <c r="D188" s="96"/>
      <c r="E188" s="96"/>
      <c r="F188" s="96"/>
      <c r="G188" s="96"/>
      <c r="H188" s="96"/>
      <c r="I188" s="111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>
      <c r="A189" s="96"/>
      <c r="B189" s="96"/>
      <c r="C189" s="96"/>
      <c r="D189" s="96"/>
      <c r="E189" s="96"/>
      <c r="F189" s="96"/>
      <c r="G189" s="96"/>
      <c r="H189" s="96"/>
      <c r="I189" s="111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>
      <c r="A190" s="96"/>
      <c r="B190" s="96"/>
      <c r="C190" s="96"/>
      <c r="D190" s="96"/>
      <c r="E190" s="96"/>
      <c r="F190" s="96"/>
      <c r="G190" s="96"/>
      <c r="H190" s="96"/>
      <c r="I190" s="111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>
      <c r="A191" s="96"/>
      <c r="B191" s="96"/>
      <c r="C191" s="96"/>
      <c r="D191" s="96"/>
      <c r="E191" s="96"/>
      <c r="F191" s="96"/>
      <c r="G191" s="96"/>
      <c r="H191" s="96"/>
      <c r="I191" s="111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>
      <c r="A192" s="96"/>
      <c r="B192" s="96"/>
      <c r="C192" s="96"/>
      <c r="D192" s="96"/>
      <c r="E192" s="96"/>
      <c r="F192" s="96"/>
      <c r="G192" s="96"/>
      <c r="H192" s="96"/>
      <c r="I192" s="111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>
      <c r="A193" s="96"/>
      <c r="B193" s="96"/>
      <c r="C193" s="96"/>
      <c r="D193" s="96"/>
      <c r="E193" s="96"/>
      <c r="F193" s="96"/>
      <c r="G193" s="96"/>
      <c r="H193" s="96"/>
      <c r="I193" s="111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>
      <c r="A194" s="96"/>
      <c r="B194" s="96"/>
      <c r="C194" s="96"/>
      <c r="D194" s="96"/>
      <c r="E194" s="96"/>
      <c r="F194" s="96"/>
      <c r="G194" s="96"/>
      <c r="H194" s="96"/>
      <c r="I194" s="111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>
      <c r="A195" s="96"/>
      <c r="B195" s="96"/>
      <c r="C195" s="96"/>
      <c r="D195" s="96"/>
      <c r="E195" s="96"/>
      <c r="F195" s="96"/>
      <c r="G195" s="96"/>
      <c r="H195" s="96"/>
      <c r="I195" s="111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>
      <c r="A196" s="96"/>
      <c r="B196" s="96"/>
      <c r="C196" s="96"/>
      <c r="D196" s="96"/>
      <c r="E196" s="96"/>
      <c r="F196" s="96"/>
      <c r="G196" s="96"/>
      <c r="H196" s="96"/>
      <c r="I196" s="111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>
      <c r="A197" s="96"/>
      <c r="B197" s="96"/>
      <c r="C197" s="96"/>
      <c r="D197" s="96"/>
      <c r="E197" s="96"/>
      <c r="F197" s="96"/>
      <c r="G197" s="96"/>
      <c r="H197" s="96"/>
      <c r="I197" s="111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>
      <c r="A198" s="96"/>
      <c r="B198" s="96"/>
      <c r="C198" s="96"/>
      <c r="D198" s="96"/>
      <c r="E198" s="96"/>
      <c r="F198" s="96"/>
      <c r="G198" s="96"/>
      <c r="H198" s="96"/>
      <c r="I198" s="111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>
      <c r="A199" s="96"/>
      <c r="B199" s="96"/>
      <c r="C199" s="96"/>
      <c r="D199" s="96"/>
      <c r="E199" s="96"/>
      <c r="F199" s="96"/>
      <c r="G199" s="96"/>
      <c r="H199" s="96"/>
      <c r="I199" s="111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>
      <c r="A200" s="96"/>
      <c r="B200" s="96"/>
      <c r="C200" s="96"/>
      <c r="D200" s="96"/>
      <c r="E200" s="96"/>
      <c r="F200" s="96"/>
      <c r="G200" s="96"/>
      <c r="H200" s="96"/>
      <c r="I200" s="111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>
      <c r="A201" s="96"/>
      <c r="B201" s="96"/>
      <c r="C201" s="96"/>
      <c r="D201" s="96"/>
      <c r="E201" s="96"/>
      <c r="F201" s="96"/>
      <c r="G201" s="96"/>
      <c r="H201" s="96"/>
      <c r="I201" s="111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>
      <c r="A202" s="96"/>
      <c r="B202" s="96"/>
      <c r="C202" s="96"/>
      <c r="D202" s="96"/>
      <c r="E202" s="96"/>
      <c r="F202" s="96"/>
      <c r="G202" s="96"/>
      <c r="H202" s="96"/>
      <c r="I202" s="111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>
      <c r="A203" s="96"/>
      <c r="B203" s="96"/>
      <c r="C203" s="96"/>
      <c r="D203" s="96"/>
      <c r="E203" s="96"/>
      <c r="F203" s="96"/>
      <c r="G203" s="96"/>
      <c r="H203" s="96"/>
      <c r="I203" s="111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>
      <c r="A204" s="96"/>
      <c r="B204" s="96"/>
      <c r="C204" s="96"/>
      <c r="D204" s="96"/>
      <c r="E204" s="96"/>
      <c r="F204" s="96"/>
      <c r="G204" s="96"/>
      <c r="H204" s="96"/>
      <c r="I204" s="111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>
      <c r="A205" s="96"/>
      <c r="B205" s="96"/>
      <c r="C205" s="96"/>
      <c r="D205" s="96"/>
      <c r="E205" s="96"/>
      <c r="F205" s="96"/>
      <c r="G205" s="96"/>
      <c r="H205" s="96"/>
      <c r="I205" s="111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>
      <c r="A206" s="96"/>
      <c r="B206" s="96"/>
      <c r="C206" s="96"/>
      <c r="D206" s="96"/>
      <c r="E206" s="96"/>
      <c r="F206" s="96"/>
      <c r="G206" s="96"/>
      <c r="H206" s="96"/>
      <c r="I206" s="111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>
      <c r="A207" s="96"/>
      <c r="B207" s="96"/>
      <c r="C207" s="96"/>
      <c r="D207" s="96"/>
      <c r="E207" s="96"/>
      <c r="F207" s="96"/>
      <c r="G207" s="96"/>
      <c r="H207" s="96"/>
      <c r="I207" s="111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>
      <c r="A208" s="96"/>
      <c r="B208" s="96"/>
      <c r="C208" s="96"/>
      <c r="D208" s="96"/>
      <c r="E208" s="96"/>
      <c r="F208" s="96"/>
      <c r="G208" s="96"/>
      <c r="H208" s="96"/>
      <c r="I208" s="111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>
      <c r="A209" s="96"/>
      <c r="B209" s="96"/>
      <c r="C209" s="96"/>
      <c r="D209" s="96"/>
      <c r="E209" s="96"/>
      <c r="F209" s="96"/>
      <c r="G209" s="96"/>
      <c r="H209" s="96"/>
      <c r="I209" s="111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>
      <c r="A210" s="96"/>
      <c r="B210" s="96"/>
      <c r="C210" s="96"/>
      <c r="D210" s="96"/>
      <c r="E210" s="96"/>
      <c r="F210" s="96"/>
      <c r="G210" s="96"/>
      <c r="H210" s="96"/>
      <c r="I210" s="111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>
      <c r="A211" s="96"/>
      <c r="B211" s="96"/>
      <c r="C211" s="96"/>
      <c r="D211" s="96"/>
      <c r="E211" s="96"/>
      <c r="F211" s="96"/>
      <c r="G211" s="96"/>
      <c r="H211" s="96"/>
      <c r="I211" s="111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>
      <c r="A212" s="96"/>
      <c r="B212" s="96"/>
      <c r="C212" s="96"/>
      <c r="D212" s="96"/>
      <c r="E212" s="96"/>
      <c r="F212" s="96"/>
      <c r="G212" s="96"/>
      <c r="H212" s="96"/>
      <c r="I212" s="111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>
      <c r="A213" s="96"/>
      <c r="B213" s="96"/>
      <c r="C213" s="96"/>
      <c r="D213" s="96"/>
      <c r="E213" s="96"/>
      <c r="F213" s="96"/>
      <c r="G213" s="96"/>
      <c r="H213" s="96"/>
      <c r="I213" s="111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>
      <c r="A214" s="96"/>
      <c r="B214" s="96"/>
      <c r="C214" s="96"/>
      <c r="D214" s="96"/>
      <c r="E214" s="96"/>
      <c r="F214" s="96"/>
      <c r="G214" s="96"/>
      <c r="H214" s="96"/>
      <c r="I214" s="111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>
      <c r="A215" s="96"/>
      <c r="B215" s="96"/>
      <c r="C215" s="96"/>
      <c r="D215" s="96"/>
      <c r="E215" s="96"/>
      <c r="F215" s="96"/>
      <c r="G215" s="96"/>
      <c r="H215" s="96"/>
      <c r="I215" s="111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>
      <c r="A216" s="96"/>
      <c r="B216" s="96"/>
      <c r="C216" s="96"/>
      <c r="D216" s="96"/>
      <c r="E216" s="96"/>
      <c r="F216" s="96"/>
      <c r="G216" s="96"/>
      <c r="H216" s="96"/>
      <c r="I216" s="111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>
      <c r="A217" s="96"/>
      <c r="B217" s="96"/>
      <c r="C217" s="96"/>
      <c r="D217" s="96"/>
      <c r="E217" s="96"/>
      <c r="F217" s="96"/>
      <c r="G217" s="96"/>
      <c r="H217" s="96"/>
      <c r="I217" s="111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>
      <c r="A218" s="96"/>
      <c r="B218" s="96"/>
      <c r="C218" s="96"/>
      <c r="D218" s="96"/>
      <c r="E218" s="96"/>
      <c r="F218" s="96"/>
      <c r="G218" s="96"/>
      <c r="H218" s="96"/>
      <c r="I218" s="111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>
      <c r="A219" s="96"/>
      <c r="B219" s="96"/>
      <c r="C219" s="96"/>
      <c r="D219" s="96"/>
      <c r="E219" s="96"/>
      <c r="F219" s="96"/>
      <c r="G219" s="96"/>
      <c r="H219" s="96"/>
      <c r="I219" s="111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>
      <c r="A220" s="96"/>
      <c r="B220" s="96"/>
      <c r="C220" s="96"/>
      <c r="D220" s="96"/>
      <c r="E220" s="96"/>
      <c r="F220" s="96"/>
      <c r="G220" s="96"/>
      <c r="H220" s="96"/>
      <c r="I220" s="111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>
      <c r="A221" s="96"/>
      <c r="B221" s="96"/>
      <c r="C221" s="96"/>
      <c r="D221" s="96"/>
      <c r="E221" s="96"/>
      <c r="F221" s="96"/>
      <c r="G221" s="96"/>
      <c r="H221" s="96"/>
      <c r="I221" s="111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>
      <c r="A222" s="96"/>
      <c r="B222" s="96"/>
      <c r="C222" s="96"/>
      <c r="D222" s="96"/>
      <c r="E222" s="96"/>
      <c r="F222" s="96"/>
      <c r="G222" s="96"/>
      <c r="H222" s="96"/>
      <c r="I222" s="111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>
      <c r="A223" s="96"/>
      <c r="B223" s="96"/>
      <c r="C223" s="96"/>
      <c r="D223" s="96"/>
      <c r="E223" s="96"/>
      <c r="F223" s="96"/>
      <c r="G223" s="96"/>
      <c r="H223" s="96"/>
      <c r="I223" s="111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>
      <c r="A224" s="96"/>
      <c r="B224" s="96"/>
      <c r="C224" s="96"/>
      <c r="D224" s="96"/>
      <c r="E224" s="96"/>
      <c r="F224" s="96"/>
      <c r="G224" s="96"/>
      <c r="H224" s="96"/>
      <c r="I224" s="111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>
      <c r="A225" s="96"/>
      <c r="B225" s="96"/>
      <c r="C225" s="96"/>
      <c r="D225" s="96"/>
      <c r="E225" s="96"/>
      <c r="F225" s="96"/>
      <c r="G225" s="96"/>
      <c r="H225" s="96"/>
      <c r="I225" s="111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>
      <c r="A226" s="96"/>
      <c r="B226" s="96"/>
      <c r="C226" s="96"/>
      <c r="D226" s="96"/>
      <c r="E226" s="96"/>
      <c r="F226" s="96"/>
      <c r="G226" s="96"/>
      <c r="H226" s="96"/>
      <c r="I226" s="111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>
      <c r="A227" s="96"/>
      <c r="B227" s="96"/>
      <c r="C227" s="96"/>
      <c r="D227" s="96"/>
      <c r="E227" s="96"/>
      <c r="F227" s="96"/>
      <c r="G227" s="96"/>
      <c r="H227" s="96"/>
      <c r="I227" s="111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>
      <c r="A228" s="96"/>
      <c r="B228" s="96"/>
      <c r="C228" s="96"/>
      <c r="D228" s="96"/>
      <c r="E228" s="96"/>
      <c r="F228" s="96"/>
      <c r="G228" s="96"/>
      <c r="H228" s="96"/>
      <c r="I228" s="111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>
      <c r="A229" s="96"/>
      <c r="B229" s="96"/>
      <c r="C229" s="96"/>
      <c r="D229" s="96"/>
      <c r="E229" s="96"/>
      <c r="F229" s="96"/>
      <c r="G229" s="96"/>
      <c r="H229" s="96"/>
      <c r="I229" s="111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>
      <c r="A230" s="96"/>
      <c r="B230" s="96"/>
      <c r="C230" s="96"/>
      <c r="D230" s="96"/>
      <c r="E230" s="96"/>
      <c r="F230" s="96"/>
      <c r="G230" s="96"/>
      <c r="H230" s="96"/>
      <c r="I230" s="111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>
      <c r="A231" s="96"/>
      <c r="B231" s="96"/>
      <c r="C231" s="96"/>
      <c r="D231" s="96"/>
      <c r="E231" s="96"/>
      <c r="F231" s="96"/>
      <c r="G231" s="96"/>
      <c r="H231" s="96"/>
      <c r="I231" s="111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>
      <c r="A232" s="96"/>
      <c r="B232" s="96"/>
      <c r="C232" s="96"/>
      <c r="D232" s="96"/>
      <c r="E232" s="96"/>
      <c r="F232" s="96"/>
      <c r="G232" s="96"/>
      <c r="H232" s="96"/>
      <c r="I232" s="111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>
      <c r="A233" s="96"/>
      <c r="B233" s="96"/>
      <c r="C233" s="96"/>
      <c r="D233" s="96"/>
      <c r="E233" s="96"/>
      <c r="F233" s="96"/>
      <c r="G233" s="96"/>
      <c r="H233" s="96"/>
      <c r="I233" s="111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>
      <c r="A234" s="96"/>
      <c r="B234" s="96"/>
      <c r="C234" s="96"/>
      <c r="D234" s="96"/>
      <c r="E234" s="96"/>
      <c r="F234" s="96"/>
      <c r="G234" s="96"/>
      <c r="H234" s="96"/>
      <c r="I234" s="111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>
      <c r="A235" s="96"/>
      <c r="B235" s="96"/>
      <c r="C235" s="96"/>
      <c r="D235" s="96"/>
      <c r="E235" s="96"/>
      <c r="F235" s="96"/>
      <c r="G235" s="96"/>
      <c r="H235" s="96"/>
      <c r="I235" s="111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>
      <c r="A236" s="96"/>
      <c r="B236" s="96"/>
      <c r="C236" s="96"/>
      <c r="D236" s="96"/>
      <c r="E236" s="96"/>
      <c r="F236" s="96"/>
      <c r="G236" s="96"/>
      <c r="H236" s="96"/>
      <c r="I236" s="111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>
      <c r="A237" s="96"/>
      <c r="B237" s="96"/>
      <c r="C237" s="96"/>
      <c r="D237" s="96"/>
      <c r="E237" s="96"/>
      <c r="F237" s="96"/>
      <c r="G237" s="96"/>
      <c r="H237" s="96"/>
      <c r="I237" s="111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>
      <c r="A238" s="96"/>
      <c r="B238" s="96"/>
      <c r="C238" s="96"/>
      <c r="D238" s="96"/>
      <c r="E238" s="96"/>
      <c r="F238" s="96"/>
      <c r="G238" s="96"/>
      <c r="H238" s="96"/>
      <c r="I238" s="111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>
      <c r="A239" s="96"/>
      <c r="B239" s="96"/>
      <c r="C239" s="96"/>
      <c r="D239" s="96"/>
      <c r="E239" s="96"/>
      <c r="F239" s="96"/>
      <c r="G239" s="96"/>
      <c r="H239" s="96"/>
      <c r="I239" s="111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>
      <c r="A240" s="96"/>
      <c r="B240" s="96"/>
      <c r="C240" s="96"/>
      <c r="D240" s="96"/>
      <c r="E240" s="96"/>
      <c r="F240" s="96"/>
      <c r="G240" s="96"/>
      <c r="H240" s="96"/>
      <c r="I240" s="111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>
      <c r="A241" s="96"/>
      <c r="B241" s="96"/>
      <c r="C241" s="96"/>
      <c r="D241" s="96"/>
      <c r="E241" s="96"/>
      <c r="F241" s="96"/>
      <c r="G241" s="96"/>
      <c r="H241" s="96"/>
      <c r="I241" s="111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>
      <c r="A242" s="96"/>
      <c r="B242" s="96"/>
      <c r="C242" s="96"/>
      <c r="D242" s="96"/>
      <c r="E242" s="96"/>
      <c r="F242" s="96"/>
      <c r="G242" s="96"/>
      <c r="H242" s="96"/>
      <c r="I242" s="111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>
      <c r="A243" s="96"/>
      <c r="B243" s="96"/>
      <c r="C243" s="96"/>
      <c r="D243" s="96"/>
      <c r="E243" s="96"/>
      <c r="F243" s="96"/>
      <c r="G243" s="96"/>
      <c r="H243" s="96"/>
      <c r="I243" s="111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>
      <c r="A244" s="96"/>
      <c r="B244" s="96"/>
      <c r="C244" s="96"/>
      <c r="D244" s="96"/>
      <c r="E244" s="96"/>
      <c r="F244" s="96"/>
      <c r="G244" s="96"/>
      <c r="H244" s="96"/>
      <c r="I244" s="111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>
      <c r="A245" s="96"/>
      <c r="B245" s="96"/>
      <c r="C245" s="96"/>
      <c r="D245" s="96"/>
      <c r="E245" s="96"/>
      <c r="F245" s="96"/>
      <c r="G245" s="96"/>
      <c r="H245" s="96"/>
      <c r="I245" s="111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>
      <c r="A246" s="96"/>
      <c r="B246" s="96"/>
      <c r="C246" s="96"/>
      <c r="D246" s="96"/>
      <c r="E246" s="96"/>
      <c r="F246" s="96"/>
      <c r="G246" s="96"/>
      <c r="H246" s="96"/>
      <c r="I246" s="111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>
      <c r="A247" s="96"/>
      <c r="B247" s="96"/>
      <c r="C247" s="96"/>
      <c r="D247" s="96"/>
      <c r="E247" s="96"/>
      <c r="F247" s="96"/>
      <c r="G247" s="96"/>
      <c r="H247" s="96"/>
      <c r="I247" s="111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>
      <c r="A248" s="96"/>
      <c r="B248" s="96"/>
      <c r="C248" s="96"/>
      <c r="D248" s="96"/>
      <c r="E248" s="96"/>
      <c r="F248" s="96"/>
      <c r="G248" s="96"/>
      <c r="H248" s="96"/>
      <c r="I248" s="111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>
      <c r="A249" s="96"/>
      <c r="B249" s="96"/>
      <c r="C249" s="96"/>
      <c r="D249" s="96"/>
      <c r="E249" s="96"/>
      <c r="F249" s="96"/>
      <c r="G249" s="96"/>
      <c r="H249" s="96"/>
      <c r="I249" s="111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>
      <c r="A250" s="96"/>
      <c r="B250" s="96"/>
      <c r="C250" s="96"/>
      <c r="D250" s="96"/>
      <c r="E250" s="96"/>
      <c r="F250" s="96"/>
      <c r="G250" s="96"/>
      <c r="H250" s="96"/>
      <c r="I250" s="111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>
      <c r="A251" s="96"/>
      <c r="B251" s="96"/>
      <c r="C251" s="96"/>
      <c r="D251" s="96"/>
      <c r="E251" s="96"/>
      <c r="F251" s="96"/>
      <c r="G251" s="96"/>
      <c r="H251" s="96"/>
      <c r="I251" s="111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>
      <c r="A252" s="96"/>
      <c r="B252" s="96"/>
      <c r="C252" s="96"/>
      <c r="D252" s="96"/>
      <c r="E252" s="96"/>
      <c r="F252" s="96"/>
      <c r="G252" s="96"/>
      <c r="H252" s="96"/>
      <c r="I252" s="111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>
      <c r="A253" s="96"/>
      <c r="B253" s="96"/>
      <c r="C253" s="96"/>
      <c r="D253" s="96"/>
      <c r="E253" s="96"/>
      <c r="F253" s="96"/>
      <c r="G253" s="96"/>
      <c r="H253" s="96"/>
      <c r="I253" s="111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>
      <c r="A254" s="96"/>
      <c r="B254" s="96"/>
      <c r="C254" s="96"/>
      <c r="D254" s="96"/>
      <c r="E254" s="96"/>
      <c r="F254" s="96"/>
      <c r="G254" s="96"/>
      <c r="H254" s="96"/>
      <c r="I254" s="111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>
      <c r="A255" s="96"/>
      <c r="B255" s="96"/>
      <c r="C255" s="96"/>
      <c r="D255" s="96"/>
      <c r="E255" s="96"/>
      <c r="F255" s="96"/>
      <c r="G255" s="96"/>
      <c r="H255" s="96"/>
      <c r="I255" s="111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>
      <c r="A256" s="96"/>
      <c r="B256" s="96"/>
      <c r="C256" s="96"/>
      <c r="D256" s="96"/>
      <c r="E256" s="96"/>
      <c r="F256" s="96"/>
      <c r="G256" s="96"/>
      <c r="H256" s="96"/>
      <c r="I256" s="111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>
      <c r="A257" s="96"/>
      <c r="B257" s="96"/>
      <c r="C257" s="96"/>
      <c r="D257" s="96"/>
      <c r="E257" s="96"/>
      <c r="F257" s="96"/>
      <c r="G257" s="96"/>
      <c r="H257" s="96"/>
      <c r="I257" s="111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>
      <c r="A258" s="96"/>
      <c r="B258" s="96"/>
      <c r="C258" s="96"/>
      <c r="D258" s="96"/>
      <c r="E258" s="96"/>
      <c r="F258" s="96"/>
      <c r="G258" s="96"/>
      <c r="H258" s="96"/>
      <c r="I258" s="111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>
      <c r="A259" s="96"/>
      <c r="B259" s="96"/>
      <c r="C259" s="96"/>
      <c r="D259" s="96"/>
      <c r="E259" s="96"/>
      <c r="F259" s="96"/>
      <c r="G259" s="96"/>
      <c r="H259" s="96"/>
      <c r="I259" s="111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>
      <c r="A260" s="96"/>
      <c r="B260" s="96"/>
      <c r="C260" s="96"/>
      <c r="D260" s="96"/>
      <c r="E260" s="96"/>
      <c r="F260" s="96"/>
      <c r="G260" s="96"/>
      <c r="H260" s="96"/>
      <c r="I260" s="111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>
      <c r="A261" s="96"/>
      <c r="B261" s="96"/>
      <c r="C261" s="96"/>
      <c r="D261" s="96"/>
      <c r="E261" s="96"/>
      <c r="F261" s="96"/>
      <c r="G261" s="96"/>
      <c r="H261" s="96"/>
      <c r="I261" s="111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>
      <c r="A262" s="96"/>
      <c r="B262" s="96"/>
      <c r="C262" s="96"/>
      <c r="D262" s="96"/>
      <c r="E262" s="96"/>
      <c r="F262" s="96"/>
      <c r="G262" s="96"/>
      <c r="H262" s="96"/>
      <c r="I262" s="111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>
      <c r="A263" s="96"/>
      <c r="B263" s="96"/>
      <c r="C263" s="96"/>
      <c r="D263" s="96"/>
      <c r="E263" s="96"/>
      <c r="F263" s="96"/>
      <c r="G263" s="96"/>
      <c r="H263" s="96"/>
      <c r="I263" s="111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>
      <c r="A264" s="96"/>
      <c r="B264" s="96"/>
      <c r="C264" s="96"/>
      <c r="D264" s="96"/>
      <c r="E264" s="96"/>
      <c r="F264" s="96"/>
      <c r="G264" s="96"/>
      <c r="H264" s="96"/>
      <c r="I264" s="111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>
      <c r="A265" s="96"/>
      <c r="B265" s="96"/>
      <c r="C265" s="96"/>
      <c r="D265" s="96"/>
      <c r="E265" s="96"/>
      <c r="F265" s="96"/>
      <c r="G265" s="96"/>
      <c r="H265" s="96"/>
      <c r="I265" s="111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>
      <c r="A266" s="96"/>
      <c r="B266" s="96"/>
      <c r="C266" s="96"/>
      <c r="D266" s="96"/>
      <c r="E266" s="96"/>
      <c r="F266" s="96"/>
      <c r="G266" s="96"/>
      <c r="H266" s="96"/>
      <c r="I266" s="111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>
      <c r="A267" s="96"/>
      <c r="B267" s="96"/>
      <c r="C267" s="96"/>
      <c r="D267" s="96"/>
      <c r="E267" s="96"/>
      <c r="F267" s="96"/>
      <c r="G267" s="96"/>
      <c r="H267" s="96"/>
      <c r="I267" s="111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>
      <c r="A268" s="96"/>
      <c r="B268" s="96"/>
      <c r="C268" s="96"/>
      <c r="D268" s="96"/>
      <c r="E268" s="96"/>
      <c r="F268" s="96"/>
      <c r="G268" s="96"/>
      <c r="H268" s="96"/>
      <c r="I268" s="111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>
      <c r="A269" s="96"/>
      <c r="B269" s="96"/>
      <c r="C269" s="96"/>
      <c r="D269" s="96"/>
      <c r="E269" s="96"/>
      <c r="F269" s="96"/>
      <c r="G269" s="96"/>
      <c r="H269" s="96"/>
      <c r="I269" s="111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>
      <c r="A270" s="96"/>
      <c r="B270" s="96"/>
      <c r="C270" s="96"/>
      <c r="D270" s="96"/>
      <c r="E270" s="96"/>
      <c r="F270" s="96"/>
      <c r="G270" s="96"/>
      <c r="H270" s="96"/>
      <c r="I270" s="111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>
      <c r="A271" s="96"/>
      <c r="B271" s="96"/>
      <c r="C271" s="96"/>
      <c r="D271" s="96"/>
      <c r="E271" s="96"/>
      <c r="F271" s="96"/>
      <c r="G271" s="96"/>
      <c r="H271" s="96"/>
      <c r="I271" s="111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>
      <c r="A272" s="96"/>
      <c r="B272" s="96"/>
      <c r="C272" s="96"/>
      <c r="D272" s="96"/>
      <c r="E272" s="96"/>
      <c r="F272" s="96"/>
      <c r="G272" s="96"/>
      <c r="H272" s="96"/>
      <c r="I272" s="111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>
      <c r="A273" s="96"/>
      <c r="B273" s="96"/>
      <c r="C273" s="96"/>
      <c r="D273" s="96"/>
      <c r="E273" s="96"/>
      <c r="F273" s="96"/>
      <c r="G273" s="96"/>
      <c r="H273" s="96"/>
      <c r="I273" s="111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>
      <c r="A274" s="96"/>
      <c r="B274" s="96"/>
      <c r="C274" s="96"/>
      <c r="D274" s="96"/>
      <c r="E274" s="96"/>
      <c r="F274" s="96"/>
      <c r="G274" s="96"/>
      <c r="H274" s="96"/>
      <c r="I274" s="111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>
      <c r="A275" s="96"/>
      <c r="B275" s="96"/>
      <c r="C275" s="96"/>
      <c r="D275" s="96"/>
      <c r="E275" s="96"/>
      <c r="F275" s="96"/>
      <c r="G275" s="96"/>
      <c r="H275" s="96"/>
      <c r="I275" s="111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>
      <c r="A276" s="96"/>
      <c r="B276" s="96"/>
      <c r="C276" s="96"/>
      <c r="D276" s="96"/>
      <c r="E276" s="96"/>
      <c r="F276" s="96"/>
      <c r="G276" s="96"/>
      <c r="H276" s="96"/>
      <c r="I276" s="111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>
      <c r="A277" s="96"/>
      <c r="B277" s="96"/>
      <c r="C277" s="96"/>
      <c r="D277" s="96"/>
      <c r="E277" s="96"/>
      <c r="F277" s="96"/>
      <c r="G277" s="96"/>
      <c r="H277" s="96"/>
      <c r="I277" s="111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>
      <c r="A278" s="96"/>
      <c r="B278" s="96"/>
      <c r="C278" s="96"/>
      <c r="D278" s="96"/>
      <c r="E278" s="96"/>
      <c r="F278" s="96"/>
      <c r="G278" s="96"/>
      <c r="H278" s="96"/>
      <c r="I278" s="111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>
      <c r="A279" s="96"/>
      <c r="B279" s="96"/>
      <c r="C279" s="96"/>
      <c r="D279" s="96"/>
      <c r="E279" s="96"/>
      <c r="F279" s="96"/>
      <c r="G279" s="96"/>
      <c r="H279" s="96"/>
      <c r="I279" s="111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>
      <c r="A280" s="96"/>
      <c r="B280" s="96"/>
      <c r="C280" s="96"/>
      <c r="D280" s="96"/>
      <c r="E280" s="96"/>
      <c r="F280" s="96"/>
      <c r="G280" s="96"/>
      <c r="H280" s="96"/>
      <c r="I280" s="111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>
      <c r="A281" s="96"/>
      <c r="B281" s="96"/>
      <c r="C281" s="96"/>
      <c r="D281" s="96"/>
      <c r="E281" s="96"/>
      <c r="F281" s="96"/>
      <c r="G281" s="96"/>
      <c r="H281" s="96"/>
      <c r="I281" s="111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>
      <c r="A282" s="96"/>
      <c r="B282" s="96"/>
      <c r="C282" s="96"/>
      <c r="D282" s="96"/>
      <c r="E282" s="96"/>
      <c r="F282" s="96"/>
      <c r="G282" s="96"/>
      <c r="H282" s="96"/>
      <c r="I282" s="111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>
      <c r="A283" s="96"/>
      <c r="B283" s="96"/>
      <c r="C283" s="96"/>
      <c r="D283" s="96"/>
      <c r="E283" s="96"/>
      <c r="F283" s="96"/>
      <c r="G283" s="96"/>
      <c r="H283" s="96"/>
      <c r="I283" s="111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>
      <c r="A284" s="96"/>
      <c r="B284" s="96"/>
      <c r="C284" s="96"/>
      <c r="D284" s="96"/>
      <c r="E284" s="96"/>
      <c r="F284" s="96"/>
      <c r="G284" s="96"/>
      <c r="H284" s="96"/>
      <c r="I284" s="111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>
      <c r="A285" s="96"/>
      <c r="B285" s="96"/>
      <c r="C285" s="96"/>
      <c r="D285" s="96"/>
      <c r="E285" s="96"/>
      <c r="F285" s="96"/>
      <c r="G285" s="96"/>
      <c r="H285" s="96"/>
      <c r="I285" s="111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>
      <c r="A286" s="96"/>
      <c r="B286" s="96"/>
      <c r="C286" s="96"/>
      <c r="D286" s="96"/>
      <c r="E286" s="96"/>
      <c r="F286" s="96"/>
      <c r="G286" s="96"/>
      <c r="H286" s="96"/>
      <c r="I286" s="111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>
      <c r="A287" s="96"/>
      <c r="B287" s="96"/>
      <c r="C287" s="96"/>
      <c r="D287" s="96"/>
      <c r="E287" s="96"/>
      <c r="F287" s="96"/>
      <c r="G287" s="96"/>
      <c r="H287" s="96"/>
      <c r="I287" s="111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>
      <c r="A288" s="96"/>
      <c r="B288" s="96"/>
      <c r="C288" s="96"/>
      <c r="D288" s="96"/>
      <c r="E288" s="96"/>
      <c r="F288" s="96"/>
      <c r="G288" s="96"/>
      <c r="H288" s="96"/>
      <c r="I288" s="111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>
      <c r="A289" s="96"/>
      <c r="B289" s="96"/>
      <c r="C289" s="96"/>
      <c r="D289" s="96"/>
      <c r="E289" s="96"/>
      <c r="F289" s="96"/>
      <c r="G289" s="96"/>
      <c r="H289" s="96"/>
      <c r="I289" s="111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>
      <c r="A290" s="96"/>
      <c r="B290" s="96"/>
      <c r="C290" s="96"/>
      <c r="D290" s="96"/>
      <c r="E290" s="96"/>
      <c r="F290" s="96"/>
      <c r="G290" s="96"/>
      <c r="H290" s="96"/>
      <c r="I290" s="111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>
      <c r="A291" s="96"/>
      <c r="B291" s="96"/>
      <c r="C291" s="96"/>
      <c r="D291" s="96"/>
      <c r="E291" s="96"/>
      <c r="F291" s="96"/>
      <c r="G291" s="96"/>
      <c r="H291" s="96"/>
      <c r="I291" s="111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>
      <c r="A292" s="96"/>
      <c r="B292" s="96"/>
      <c r="C292" s="96"/>
      <c r="D292" s="96"/>
      <c r="E292" s="96"/>
      <c r="F292" s="96"/>
      <c r="G292" s="96"/>
      <c r="H292" s="96"/>
      <c r="I292" s="111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>
      <c r="A293" s="96"/>
      <c r="B293" s="96"/>
      <c r="C293" s="96"/>
      <c r="D293" s="96"/>
      <c r="E293" s="96"/>
      <c r="F293" s="96"/>
      <c r="G293" s="96"/>
      <c r="H293" s="96"/>
      <c r="I293" s="111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>
      <c r="A294" s="96"/>
      <c r="B294" s="96"/>
      <c r="C294" s="96"/>
      <c r="D294" s="96"/>
      <c r="E294" s="96"/>
      <c r="F294" s="96"/>
      <c r="G294" s="96"/>
      <c r="H294" s="96"/>
      <c r="I294" s="111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>
      <c r="A295" s="96"/>
      <c r="B295" s="96"/>
      <c r="C295" s="96"/>
      <c r="D295" s="96"/>
      <c r="E295" s="96"/>
      <c r="F295" s="96"/>
      <c r="G295" s="96"/>
      <c r="H295" s="96"/>
      <c r="I295" s="111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>
      <c r="A296" s="96"/>
      <c r="B296" s="96"/>
      <c r="C296" s="96"/>
      <c r="D296" s="96"/>
      <c r="E296" s="96"/>
      <c r="F296" s="96"/>
      <c r="G296" s="96"/>
      <c r="H296" s="96"/>
      <c r="I296" s="111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>
      <c r="A297" s="96"/>
      <c r="B297" s="96"/>
      <c r="C297" s="96"/>
      <c r="D297" s="96"/>
      <c r="E297" s="96"/>
      <c r="F297" s="96"/>
      <c r="G297" s="96"/>
      <c r="H297" s="96"/>
      <c r="I297" s="111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>
      <c r="A298" s="96"/>
      <c r="B298" s="96"/>
      <c r="C298" s="96"/>
      <c r="D298" s="96"/>
      <c r="E298" s="96"/>
      <c r="F298" s="96"/>
      <c r="G298" s="96"/>
      <c r="H298" s="96"/>
      <c r="I298" s="111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>
      <c r="A299" s="96"/>
      <c r="B299" s="96"/>
      <c r="C299" s="96"/>
      <c r="D299" s="96"/>
      <c r="E299" s="96"/>
      <c r="F299" s="96"/>
      <c r="G299" s="96"/>
      <c r="H299" s="96"/>
      <c r="I299" s="111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>
      <c r="A300" s="96"/>
      <c r="B300" s="96"/>
      <c r="C300" s="96"/>
      <c r="D300" s="96"/>
      <c r="E300" s="96"/>
      <c r="F300" s="96"/>
      <c r="G300" s="96"/>
      <c r="H300" s="96"/>
      <c r="I300" s="111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>
      <c r="A301" s="96"/>
      <c r="B301" s="96"/>
      <c r="C301" s="96"/>
      <c r="D301" s="96"/>
      <c r="E301" s="96"/>
      <c r="F301" s="96"/>
      <c r="G301" s="96"/>
      <c r="H301" s="96"/>
      <c r="I301" s="111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>
      <c r="A302" s="96"/>
      <c r="B302" s="96"/>
      <c r="C302" s="96"/>
      <c r="D302" s="96"/>
      <c r="E302" s="96"/>
      <c r="F302" s="96"/>
      <c r="G302" s="96"/>
      <c r="H302" s="96"/>
      <c r="I302" s="111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>
      <c r="A303" s="96"/>
      <c r="B303" s="96"/>
      <c r="C303" s="96"/>
      <c r="D303" s="96"/>
      <c r="E303" s="96"/>
      <c r="F303" s="96"/>
      <c r="G303" s="96"/>
      <c r="H303" s="96"/>
      <c r="I303" s="111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>
      <c r="A304" s="96"/>
      <c r="B304" s="96"/>
      <c r="C304" s="96"/>
      <c r="D304" s="96"/>
      <c r="E304" s="96"/>
      <c r="F304" s="96"/>
      <c r="G304" s="96"/>
      <c r="H304" s="96"/>
      <c r="I304" s="111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>
      <c r="A305" s="96"/>
      <c r="B305" s="96"/>
      <c r="C305" s="96"/>
      <c r="D305" s="96"/>
      <c r="E305" s="96"/>
      <c r="F305" s="96"/>
      <c r="G305" s="96"/>
      <c r="H305" s="96"/>
      <c r="I305" s="111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>
      <c r="A306" s="96"/>
      <c r="B306" s="96"/>
      <c r="C306" s="96"/>
      <c r="D306" s="96"/>
      <c r="E306" s="96"/>
      <c r="F306" s="96"/>
      <c r="G306" s="96"/>
      <c r="H306" s="96"/>
      <c r="I306" s="111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>
      <c r="A307" s="96"/>
      <c r="B307" s="96"/>
      <c r="C307" s="96"/>
      <c r="D307" s="96"/>
      <c r="E307" s="96"/>
      <c r="F307" s="96"/>
      <c r="G307" s="96"/>
      <c r="H307" s="96"/>
      <c r="I307" s="111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>
      <c r="A308" s="96"/>
      <c r="B308" s="96"/>
      <c r="C308" s="96"/>
      <c r="D308" s="96"/>
      <c r="E308" s="96"/>
      <c r="F308" s="96"/>
      <c r="G308" s="96"/>
      <c r="H308" s="96"/>
      <c r="I308" s="111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>
      <c r="A309" s="96"/>
      <c r="B309" s="96"/>
      <c r="C309" s="96"/>
      <c r="D309" s="96"/>
      <c r="E309" s="96"/>
      <c r="F309" s="96"/>
      <c r="G309" s="96"/>
      <c r="H309" s="96"/>
      <c r="I309" s="111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>
      <c r="A310" s="96"/>
      <c r="B310" s="96"/>
      <c r="C310" s="96"/>
      <c r="D310" s="96"/>
      <c r="E310" s="96"/>
      <c r="F310" s="96"/>
      <c r="G310" s="96"/>
      <c r="H310" s="96"/>
      <c r="I310" s="111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>
      <c r="A311" s="96"/>
      <c r="B311" s="96"/>
      <c r="C311" s="96"/>
      <c r="D311" s="96"/>
      <c r="E311" s="96"/>
      <c r="F311" s="96"/>
      <c r="G311" s="96"/>
      <c r="H311" s="96"/>
      <c r="I311" s="111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>
      <c r="A312" s="96"/>
      <c r="B312" s="96"/>
      <c r="C312" s="96"/>
      <c r="D312" s="96"/>
      <c r="E312" s="96"/>
      <c r="F312" s="96"/>
      <c r="G312" s="96"/>
      <c r="H312" s="96"/>
      <c r="I312" s="111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>
      <c r="A313" s="96"/>
      <c r="B313" s="96"/>
      <c r="C313" s="96"/>
      <c r="D313" s="96"/>
      <c r="E313" s="96"/>
      <c r="F313" s="96"/>
      <c r="G313" s="96"/>
      <c r="H313" s="96"/>
      <c r="I313" s="111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>
      <c r="A314" s="96"/>
      <c r="B314" s="96"/>
      <c r="C314" s="96"/>
      <c r="D314" s="96"/>
      <c r="E314" s="96"/>
      <c r="F314" s="96"/>
      <c r="G314" s="96"/>
      <c r="H314" s="96"/>
      <c r="I314" s="111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>
      <c r="A315" s="96"/>
      <c r="B315" s="96"/>
      <c r="C315" s="96"/>
      <c r="D315" s="96"/>
      <c r="E315" s="96"/>
      <c r="F315" s="96"/>
      <c r="G315" s="96"/>
      <c r="H315" s="96"/>
      <c r="I315" s="111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>
      <c r="A316" s="96"/>
      <c r="B316" s="96"/>
      <c r="C316" s="96"/>
      <c r="D316" s="96"/>
      <c r="E316" s="96"/>
      <c r="F316" s="96"/>
      <c r="G316" s="96"/>
      <c r="H316" s="96"/>
      <c r="I316" s="111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>
      <c r="A317" s="96"/>
      <c r="B317" s="96"/>
      <c r="C317" s="96"/>
      <c r="D317" s="96"/>
      <c r="E317" s="96"/>
      <c r="F317" s="96"/>
      <c r="G317" s="96"/>
      <c r="H317" s="96"/>
      <c r="I317" s="111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>
      <c r="A318" s="96"/>
      <c r="B318" s="96"/>
      <c r="C318" s="96"/>
      <c r="D318" s="96"/>
      <c r="E318" s="96"/>
      <c r="F318" s="96"/>
      <c r="G318" s="96"/>
      <c r="H318" s="96"/>
      <c r="I318" s="111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>
      <c r="A319" s="96"/>
      <c r="B319" s="96"/>
      <c r="C319" s="96"/>
      <c r="D319" s="96"/>
      <c r="E319" s="96"/>
      <c r="F319" s="96"/>
      <c r="G319" s="96"/>
      <c r="H319" s="96"/>
      <c r="I319" s="111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>
      <c r="A320" s="96"/>
      <c r="B320" s="96"/>
      <c r="C320" s="96"/>
      <c r="D320" s="96"/>
      <c r="E320" s="96"/>
      <c r="F320" s="96"/>
      <c r="G320" s="96"/>
      <c r="H320" s="96"/>
      <c r="I320" s="111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>
      <c r="A321" s="96"/>
      <c r="B321" s="96"/>
      <c r="C321" s="96"/>
      <c r="D321" s="96"/>
      <c r="E321" s="96"/>
      <c r="F321" s="96"/>
      <c r="G321" s="96"/>
      <c r="H321" s="96"/>
      <c r="I321" s="111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>
      <c r="A322" s="96"/>
      <c r="B322" s="96"/>
      <c r="C322" s="96"/>
      <c r="D322" s="96"/>
      <c r="E322" s="96"/>
      <c r="F322" s="96"/>
      <c r="G322" s="96"/>
      <c r="H322" s="96"/>
      <c r="I322" s="111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>
      <c r="A323" s="96"/>
      <c r="B323" s="96"/>
      <c r="C323" s="96"/>
      <c r="D323" s="96"/>
      <c r="E323" s="96"/>
      <c r="F323" s="96"/>
      <c r="G323" s="96"/>
      <c r="H323" s="96"/>
      <c r="I323" s="111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>
      <c r="A324" s="96"/>
      <c r="B324" s="96"/>
      <c r="C324" s="96"/>
      <c r="D324" s="96"/>
      <c r="E324" s="96"/>
      <c r="F324" s="96"/>
      <c r="G324" s="96"/>
      <c r="H324" s="96"/>
      <c r="I324" s="111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>
      <c r="A325" s="96"/>
      <c r="B325" s="96"/>
      <c r="C325" s="96"/>
      <c r="D325" s="96"/>
      <c r="E325" s="96"/>
      <c r="F325" s="96"/>
      <c r="G325" s="96"/>
      <c r="H325" s="96"/>
      <c r="I325" s="111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>
      <c r="A326" s="96"/>
      <c r="B326" s="96"/>
      <c r="C326" s="96"/>
      <c r="D326" s="96"/>
      <c r="E326" s="96"/>
      <c r="F326" s="96"/>
      <c r="G326" s="96"/>
      <c r="H326" s="96"/>
      <c r="I326" s="111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>
      <c r="A327" s="96"/>
      <c r="B327" s="96"/>
      <c r="C327" s="96"/>
      <c r="D327" s="96"/>
      <c r="E327" s="96"/>
      <c r="F327" s="96"/>
      <c r="G327" s="96"/>
      <c r="H327" s="96"/>
      <c r="I327" s="111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>
      <c r="A328" s="96"/>
      <c r="B328" s="96"/>
      <c r="C328" s="96"/>
      <c r="D328" s="96"/>
      <c r="E328" s="96"/>
      <c r="F328" s="96"/>
      <c r="G328" s="96"/>
      <c r="H328" s="96"/>
      <c r="I328" s="111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>
      <c r="A329" s="96"/>
      <c r="B329" s="96"/>
      <c r="C329" s="96"/>
      <c r="D329" s="96"/>
      <c r="E329" s="96"/>
      <c r="F329" s="96"/>
      <c r="G329" s="96"/>
      <c r="H329" s="96"/>
      <c r="I329" s="111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>
      <c r="A330" s="96"/>
      <c r="B330" s="96"/>
      <c r="C330" s="96"/>
      <c r="D330" s="96"/>
      <c r="E330" s="96"/>
      <c r="F330" s="96"/>
      <c r="G330" s="96"/>
      <c r="H330" s="96"/>
      <c r="I330" s="111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>
      <c r="A331" s="96"/>
      <c r="B331" s="96"/>
      <c r="C331" s="96"/>
      <c r="D331" s="96"/>
      <c r="E331" s="96"/>
      <c r="F331" s="96"/>
      <c r="G331" s="96"/>
      <c r="H331" s="96"/>
      <c r="I331" s="111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>
      <c r="A332" s="96"/>
      <c r="B332" s="96"/>
      <c r="C332" s="96"/>
      <c r="D332" s="96"/>
      <c r="E332" s="96"/>
      <c r="F332" s="96"/>
      <c r="G332" s="96"/>
      <c r="H332" s="96"/>
      <c r="I332" s="111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>
      <c r="A333" s="96"/>
      <c r="B333" s="96"/>
      <c r="C333" s="96"/>
      <c r="D333" s="96"/>
      <c r="E333" s="96"/>
      <c r="F333" s="96"/>
      <c r="G333" s="96"/>
      <c r="H333" s="96"/>
      <c r="I333" s="111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>
      <c r="A334" s="96"/>
      <c r="B334" s="96"/>
      <c r="C334" s="96"/>
      <c r="D334" s="96"/>
      <c r="E334" s="96"/>
      <c r="F334" s="96"/>
      <c r="G334" s="96"/>
      <c r="H334" s="96"/>
      <c r="I334" s="111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>
      <c r="A335" s="96"/>
      <c r="B335" s="96"/>
      <c r="C335" s="96"/>
      <c r="D335" s="96"/>
      <c r="E335" s="96"/>
      <c r="F335" s="96"/>
      <c r="G335" s="96"/>
      <c r="H335" s="96"/>
      <c r="I335" s="111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>
      <c r="A336" s="96"/>
      <c r="B336" s="96"/>
      <c r="C336" s="96"/>
      <c r="D336" s="96"/>
      <c r="E336" s="96"/>
      <c r="F336" s="96"/>
      <c r="G336" s="96"/>
      <c r="H336" s="96"/>
      <c r="I336" s="111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>
      <c r="A337" s="96"/>
      <c r="B337" s="96"/>
      <c r="C337" s="96"/>
      <c r="D337" s="96"/>
      <c r="E337" s="96"/>
      <c r="F337" s="96"/>
      <c r="G337" s="96"/>
      <c r="H337" s="96"/>
      <c r="I337" s="111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>
      <c r="A338" s="96"/>
      <c r="B338" s="96"/>
      <c r="C338" s="96"/>
      <c r="D338" s="96"/>
      <c r="E338" s="96"/>
      <c r="F338" s="96"/>
      <c r="G338" s="96"/>
      <c r="H338" s="96"/>
      <c r="I338" s="111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>
      <c r="A339" s="96"/>
      <c r="B339" s="96"/>
      <c r="C339" s="96"/>
      <c r="D339" s="96"/>
      <c r="E339" s="96"/>
      <c r="F339" s="96"/>
      <c r="G339" s="96"/>
      <c r="H339" s="96"/>
      <c r="I339" s="111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>
      <c r="A340" s="96"/>
      <c r="B340" s="96"/>
      <c r="C340" s="96"/>
      <c r="D340" s="96"/>
      <c r="E340" s="96"/>
      <c r="F340" s="96"/>
      <c r="G340" s="96"/>
      <c r="H340" s="96"/>
      <c r="I340" s="111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>
      <c r="A341" s="96"/>
      <c r="B341" s="96"/>
      <c r="C341" s="96"/>
      <c r="D341" s="96"/>
      <c r="E341" s="96"/>
      <c r="F341" s="96"/>
      <c r="G341" s="96"/>
      <c r="H341" s="96"/>
      <c r="I341" s="111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>
      <c r="A342" s="96"/>
      <c r="B342" s="96"/>
      <c r="C342" s="96"/>
      <c r="D342" s="96"/>
      <c r="E342" s="96"/>
      <c r="F342" s="96"/>
      <c r="G342" s="96"/>
      <c r="H342" s="96"/>
      <c r="I342" s="111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>
      <c r="A343" s="96"/>
      <c r="B343" s="96"/>
      <c r="C343" s="96"/>
      <c r="D343" s="96"/>
      <c r="E343" s="96"/>
      <c r="F343" s="96"/>
      <c r="G343" s="96"/>
      <c r="H343" s="96"/>
      <c r="I343" s="111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>
      <c r="A344" s="96"/>
      <c r="B344" s="96"/>
      <c r="C344" s="96"/>
      <c r="D344" s="96"/>
      <c r="E344" s="96"/>
      <c r="F344" s="96"/>
      <c r="G344" s="96"/>
      <c r="H344" s="96"/>
      <c r="I344" s="111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>
      <c r="A345" s="96"/>
      <c r="B345" s="96"/>
      <c r="C345" s="96"/>
      <c r="D345" s="96"/>
      <c r="E345" s="96"/>
      <c r="F345" s="96"/>
      <c r="G345" s="96"/>
      <c r="H345" s="96"/>
      <c r="I345" s="111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>
      <c r="A346" s="96"/>
      <c r="B346" s="96"/>
      <c r="C346" s="96"/>
      <c r="D346" s="96"/>
      <c r="E346" s="96"/>
      <c r="F346" s="96"/>
      <c r="G346" s="96"/>
      <c r="H346" s="96"/>
      <c r="I346" s="111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>
      <c r="A347" s="96"/>
      <c r="B347" s="96"/>
      <c r="C347" s="96"/>
      <c r="D347" s="96"/>
      <c r="E347" s="96"/>
      <c r="F347" s="96"/>
      <c r="G347" s="96"/>
      <c r="H347" s="96"/>
      <c r="I347" s="111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>
      <c r="A348" s="96"/>
      <c r="B348" s="96"/>
      <c r="C348" s="96"/>
      <c r="D348" s="96"/>
      <c r="E348" s="96"/>
      <c r="F348" s="96"/>
      <c r="G348" s="96"/>
      <c r="H348" s="96"/>
      <c r="I348" s="111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>
      <c r="A349" s="96"/>
      <c r="B349" s="96"/>
      <c r="C349" s="96"/>
      <c r="D349" s="96"/>
      <c r="E349" s="96"/>
      <c r="F349" s="96"/>
      <c r="G349" s="96"/>
      <c r="H349" s="96"/>
      <c r="I349" s="111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>
      <c r="A350" s="96"/>
      <c r="B350" s="96"/>
      <c r="C350" s="96"/>
      <c r="D350" s="96"/>
      <c r="E350" s="96"/>
      <c r="F350" s="96"/>
      <c r="G350" s="96"/>
      <c r="H350" s="96"/>
      <c r="I350" s="111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>
      <c r="A351" s="96"/>
      <c r="B351" s="96"/>
      <c r="C351" s="96"/>
      <c r="D351" s="96"/>
      <c r="E351" s="96"/>
      <c r="F351" s="96"/>
      <c r="G351" s="96"/>
      <c r="H351" s="96"/>
      <c r="I351" s="111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>
      <c r="A352" s="96"/>
      <c r="B352" s="96"/>
      <c r="C352" s="96"/>
      <c r="D352" s="96"/>
      <c r="E352" s="96"/>
      <c r="F352" s="96"/>
      <c r="G352" s="96"/>
      <c r="H352" s="96"/>
      <c r="I352" s="111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>
      <c r="A353" s="96"/>
      <c r="B353" s="96"/>
      <c r="C353" s="96"/>
      <c r="D353" s="96"/>
      <c r="E353" s="96"/>
      <c r="F353" s="96"/>
      <c r="G353" s="96"/>
      <c r="H353" s="96"/>
      <c r="I353" s="111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>
      <c r="A354" s="96"/>
      <c r="B354" s="96"/>
      <c r="C354" s="96"/>
      <c r="D354" s="96"/>
      <c r="E354" s="96"/>
      <c r="F354" s="96"/>
      <c r="G354" s="96"/>
      <c r="H354" s="96"/>
      <c r="I354" s="111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>
      <c r="A355" s="96"/>
      <c r="B355" s="96"/>
      <c r="C355" s="96"/>
      <c r="D355" s="96"/>
      <c r="E355" s="96"/>
      <c r="F355" s="96"/>
      <c r="G355" s="96"/>
      <c r="H355" s="96"/>
      <c r="I355" s="111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>
      <c r="A356" s="96"/>
      <c r="B356" s="96"/>
      <c r="C356" s="96"/>
      <c r="D356" s="96"/>
      <c r="E356" s="96"/>
      <c r="F356" s="96"/>
      <c r="G356" s="96"/>
      <c r="H356" s="96"/>
      <c r="I356" s="111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>
      <c r="A357" s="96"/>
      <c r="B357" s="96"/>
      <c r="C357" s="96"/>
      <c r="D357" s="96"/>
      <c r="E357" s="96"/>
      <c r="F357" s="96"/>
      <c r="G357" s="96"/>
      <c r="H357" s="96"/>
      <c r="I357" s="111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>
      <c r="A358" s="96"/>
      <c r="B358" s="96"/>
      <c r="C358" s="96"/>
      <c r="D358" s="96"/>
      <c r="E358" s="96"/>
      <c r="F358" s="96"/>
      <c r="G358" s="96"/>
      <c r="H358" s="96"/>
      <c r="I358" s="111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>
      <c r="A359" s="96"/>
      <c r="B359" s="96"/>
      <c r="C359" s="96"/>
      <c r="D359" s="96"/>
      <c r="E359" s="96"/>
      <c r="F359" s="96"/>
      <c r="G359" s="96"/>
      <c r="H359" s="96"/>
      <c r="I359" s="111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>
      <c r="A360" s="96"/>
      <c r="B360" s="96"/>
      <c r="C360" s="96"/>
      <c r="D360" s="96"/>
      <c r="E360" s="96"/>
      <c r="F360" s="96"/>
      <c r="G360" s="96"/>
      <c r="H360" s="96"/>
      <c r="I360" s="111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>
      <c r="A361" s="96"/>
      <c r="B361" s="96"/>
      <c r="C361" s="96"/>
      <c r="D361" s="96"/>
      <c r="E361" s="96"/>
      <c r="F361" s="96"/>
      <c r="G361" s="96"/>
      <c r="H361" s="96"/>
      <c r="I361" s="111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>
      <c r="A362" s="96"/>
      <c r="B362" s="96"/>
      <c r="C362" s="96"/>
      <c r="D362" s="96"/>
      <c r="E362" s="96"/>
      <c r="F362" s="96"/>
      <c r="G362" s="96"/>
      <c r="H362" s="96"/>
      <c r="I362" s="111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>
      <c r="A363" s="96"/>
      <c r="B363" s="96"/>
      <c r="C363" s="96"/>
      <c r="D363" s="96"/>
      <c r="E363" s="96"/>
      <c r="F363" s="96"/>
      <c r="G363" s="96"/>
      <c r="H363" s="96"/>
      <c r="I363" s="111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>
      <c r="A364" s="96"/>
      <c r="B364" s="96"/>
      <c r="C364" s="96"/>
      <c r="D364" s="96"/>
      <c r="E364" s="96"/>
      <c r="F364" s="96"/>
      <c r="G364" s="96"/>
      <c r="H364" s="96"/>
      <c r="I364" s="111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>
      <c r="A365" s="96"/>
      <c r="B365" s="96"/>
      <c r="C365" s="96"/>
      <c r="D365" s="96"/>
      <c r="E365" s="96"/>
      <c r="F365" s="96"/>
      <c r="G365" s="96"/>
      <c r="H365" s="96"/>
      <c r="I365" s="111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>
      <c r="A366" s="96"/>
      <c r="B366" s="96"/>
      <c r="C366" s="96"/>
      <c r="D366" s="96"/>
      <c r="E366" s="96"/>
      <c r="F366" s="96"/>
      <c r="G366" s="96"/>
      <c r="H366" s="96"/>
      <c r="I366" s="111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>
      <c r="A367" s="96"/>
      <c r="B367" s="96"/>
      <c r="C367" s="96"/>
      <c r="D367" s="96"/>
      <c r="E367" s="96"/>
      <c r="F367" s="96"/>
      <c r="G367" s="96"/>
      <c r="H367" s="96"/>
      <c r="I367" s="111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>
      <c r="A368" s="96"/>
      <c r="B368" s="96"/>
      <c r="C368" s="96"/>
      <c r="D368" s="96"/>
      <c r="E368" s="96"/>
      <c r="F368" s="96"/>
      <c r="G368" s="96"/>
      <c r="H368" s="96"/>
      <c r="I368" s="111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>
      <c r="A369" s="96"/>
      <c r="B369" s="96"/>
      <c r="C369" s="96"/>
      <c r="D369" s="96"/>
      <c r="E369" s="96"/>
      <c r="F369" s="96"/>
      <c r="G369" s="96"/>
      <c r="H369" s="96"/>
      <c r="I369" s="111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>
      <c r="A370" s="96"/>
      <c r="B370" s="96"/>
      <c r="C370" s="96"/>
      <c r="D370" s="96"/>
      <c r="E370" s="96"/>
      <c r="F370" s="96"/>
      <c r="G370" s="96"/>
      <c r="H370" s="96"/>
      <c r="I370" s="111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>
      <c r="A371" s="96"/>
      <c r="B371" s="96"/>
      <c r="C371" s="96"/>
      <c r="D371" s="96"/>
      <c r="E371" s="96"/>
      <c r="F371" s="96"/>
      <c r="G371" s="96"/>
      <c r="H371" s="96"/>
      <c r="I371" s="111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>
      <c r="A372" s="96"/>
      <c r="B372" s="96"/>
      <c r="C372" s="96"/>
      <c r="D372" s="96"/>
      <c r="E372" s="96"/>
      <c r="F372" s="96"/>
      <c r="G372" s="96"/>
      <c r="H372" s="96"/>
      <c r="I372" s="111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>
      <c r="A373" s="96"/>
      <c r="B373" s="96"/>
      <c r="C373" s="96"/>
      <c r="D373" s="96"/>
      <c r="E373" s="96"/>
      <c r="F373" s="96"/>
      <c r="G373" s="96"/>
      <c r="H373" s="96"/>
      <c r="I373" s="111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>
      <c r="A374" s="96"/>
      <c r="B374" s="96"/>
      <c r="C374" s="96"/>
      <c r="D374" s="96"/>
      <c r="E374" s="96"/>
      <c r="F374" s="96"/>
      <c r="G374" s="96"/>
      <c r="H374" s="96"/>
      <c r="I374" s="111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>
      <c r="A375" s="96"/>
      <c r="B375" s="96"/>
      <c r="C375" s="96"/>
      <c r="D375" s="96"/>
      <c r="E375" s="96"/>
      <c r="F375" s="96"/>
      <c r="G375" s="96"/>
      <c r="H375" s="96"/>
      <c r="I375" s="111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>
      <c r="A376" s="96"/>
      <c r="B376" s="96"/>
      <c r="C376" s="96"/>
      <c r="D376" s="96"/>
      <c r="E376" s="96"/>
      <c r="F376" s="96"/>
      <c r="G376" s="96"/>
      <c r="H376" s="96"/>
      <c r="I376" s="111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>
      <c r="A377" s="96"/>
      <c r="B377" s="96"/>
      <c r="C377" s="96"/>
      <c r="D377" s="96"/>
      <c r="E377" s="96"/>
      <c r="F377" s="96"/>
      <c r="G377" s="96"/>
      <c r="H377" s="96"/>
      <c r="I377" s="111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>
      <c r="A378" s="96"/>
      <c r="B378" s="96"/>
      <c r="C378" s="96"/>
      <c r="D378" s="96"/>
      <c r="E378" s="96"/>
      <c r="F378" s="96"/>
      <c r="G378" s="96"/>
      <c r="H378" s="96"/>
      <c r="I378" s="111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>
      <c r="A379" s="96"/>
      <c r="B379" s="96"/>
      <c r="C379" s="96"/>
      <c r="D379" s="96"/>
      <c r="E379" s="96"/>
      <c r="F379" s="96"/>
      <c r="G379" s="96"/>
      <c r="H379" s="96"/>
      <c r="I379" s="111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>
      <c r="A380" s="96"/>
      <c r="B380" s="96"/>
      <c r="C380" s="96"/>
      <c r="D380" s="96"/>
      <c r="E380" s="96"/>
      <c r="F380" s="96"/>
      <c r="G380" s="96"/>
      <c r="H380" s="96"/>
      <c r="I380" s="111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>
      <c r="A381" s="96"/>
      <c r="B381" s="96"/>
      <c r="C381" s="96"/>
      <c r="D381" s="96"/>
      <c r="E381" s="96"/>
      <c r="F381" s="96"/>
      <c r="G381" s="96"/>
      <c r="H381" s="96"/>
      <c r="I381" s="111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>
      <c r="A382" s="96"/>
      <c r="B382" s="96"/>
      <c r="C382" s="96"/>
      <c r="D382" s="96"/>
      <c r="E382" s="96"/>
      <c r="F382" s="96"/>
      <c r="G382" s="96"/>
      <c r="H382" s="96"/>
      <c r="I382" s="111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>
      <c r="A383" s="96"/>
      <c r="B383" s="96"/>
      <c r="C383" s="96"/>
      <c r="D383" s="96"/>
      <c r="E383" s="96"/>
      <c r="F383" s="96"/>
      <c r="G383" s="96"/>
      <c r="H383" s="96"/>
      <c r="I383" s="111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>
      <c r="A384" s="96"/>
      <c r="B384" s="96"/>
      <c r="C384" s="96"/>
      <c r="D384" s="96"/>
      <c r="E384" s="96"/>
      <c r="F384" s="96"/>
      <c r="G384" s="96"/>
      <c r="H384" s="96"/>
      <c r="I384" s="111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>
      <c r="A385" s="96"/>
      <c r="B385" s="96"/>
      <c r="C385" s="96"/>
      <c r="D385" s="96"/>
      <c r="E385" s="96"/>
      <c r="F385" s="96"/>
      <c r="G385" s="96"/>
      <c r="H385" s="96"/>
      <c r="I385" s="111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>
      <c r="A386" s="96"/>
      <c r="B386" s="96"/>
      <c r="C386" s="96"/>
      <c r="D386" s="96"/>
      <c r="E386" s="96"/>
      <c r="F386" s="96"/>
      <c r="G386" s="96"/>
      <c r="H386" s="96"/>
      <c r="I386" s="111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>
      <c r="A387" s="96"/>
      <c r="B387" s="96"/>
      <c r="C387" s="96"/>
      <c r="D387" s="96"/>
      <c r="E387" s="96"/>
      <c r="F387" s="96"/>
      <c r="G387" s="96"/>
      <c r="H387" s="96"/>
      <c r="I387" s="111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>
      <c r="A388" s="96"/>
      <c r="B388" s="96"/>
      <c r="C388" s="96"/>
      <c r="D388" s="96"/>
      <c r="E388" s="96"/>
      <c r="F388" s="96"/>
      <c r="G388" s="96"/>
      <c r="H388" s="96"/>
      <c r="I388" s="111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>
      <c r="A389" s="96"/>
      <c r="B389" s="96"/>
      <c r="C389" s="96"/>
      <c r="D389" s="96"/>
      <c r="E389" s="96"/>
      <c r="F389" s="96"/>
      <c r="G389" s="96"/>
      <c r="H389" s="96"/>
      <c r="I389" s="111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>
      <c r="A390" s="96"/>
      <c r="B390" s="96"/>
      <c r="C390" s="96"/>
      <c r="D390" s="96"/>
      <c r="E390" s="96"/>
      <c r="F390" s="96"/>
      <c r="G390" s="96"/>
      <c r="H390" s="96"/>
      <c r="I390" s="111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>
      <c r="A391" s="96"/>
      <c r="B391" s="96"/>
      <c r="C391" s="96"/>
      <c r="D391" s="96"/>
      <c r="E391" s="96"/>
      <c r="F391" s="96"/>
      <c r="G391" s="96"/>
      <c r="H391" s="96"/>
      <c r="I391" s="111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>
      <c r="A392" s="96"/>
      <c r="B392" s="96"/>
      <c r="C392" s="96"/>
      <c r="D392" s="96"/>
      <c r="E392" s="96"/>
      <c r="F392" s="96"/>
      <c r="G392" s="96"/>
      <c r="H392" s="96"/>
      <c r="I392" s="111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>
      <c r="A393" s="96"/>
      <c r="B393" s="96"/>
      <c r="C393" s="96"/>
      <c r="D393" s="96"/>
      <c r="E393" s="96"/>
      <c r="F393" s="96"/>
      <c r="G393" s="96"/>
      <c r="H393" s="96"/>
      <c r="I393" s="111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>
      <c r="A394" s="96"/>
      <c r="B394" s="96"/>
      <c r="C394" s="96"/>
      <c r="D394" s="96"/>
      <c r="E394" s="96"/>
      <c r="F394" s="96"/>
      <c r="G394" s="96"/>
      <c r="H394" s="96"/>
      <c r="I394" s="111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>
      <c r="A395" s="96"/>
      <c r="B395" s="96"/>
      <c r="C395" s="96"/>
      <c r="D395" s="96"/>
      <c r="E395" s="96"/>
      <c r="F395" s="96"/>
      <c r="G395" s="96"/>
      <c r="H395" s="96"/>
      <c r="I395" s="111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>
      <c r="A396" s="96"/>
      <c r="B396" s="96"/>
      <c r="C396" s="96"/>
      <c r="D396" s="96"/>
      <c r="E396" s="96"/>
      <c r="F396" s="96"/>
      <c r="G396" s="96"/>
      <c r="H396" s="96"/>
      <c r="I396" s="111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>
      <c r="A397" s="96"/>
      <c r="B397" s="96"/>
      <c r="C397" s="96"/>
      <c r="D397" s="96"/>
      <c r="E397" s="96"/>
      <c r="F397" s="96"/>
      <c r="G397" s="96"/>
      <c r="H397" s="96"/>
      <c r="I397" s="111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>
      <c r="A398" s="96"/>
      <c r="B398" s="96"/>
      <c r="C398" s="96"/>
      <c r="D398" s="96"/>
      <c r="E398" s="96"/>
      <c r="F398" s="96"/>
      <c r="G398" s="96"/>
      <c r="H398" s="96"/>
      <c r="I398" s="111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>
      <c r="A399" s="96"/>
      <c r="B399" s="96"/>
      <c r="C399" s="96"/>
      <c r="D399" s="96"/>
      <c r="E399" s="96"/>
      <c r="F399" s="96"/>
      <c r="G399" s="96"/>
      <c r="H399" s="96"/>
      <c r="I399" s="111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>
      <c r="A400" s="96"/>
      <c r="B400" s="96"/>
      <c r="C400" s="96"/>
      <c r="D400" s="96"/>
      <c r="E400" s="96"/>
      <c r="F400" s="96"/>
      <c r="G400" s="96"/>
      <c r="H400" s="96"/>
      <c r="I400" s="111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>
      <c r="A401" s="96"/>
      <c r="B401" s="96"/>
      <c r="C401" s="96"/>
      <c r="D401" s="96"/>
      <c r="E401" s="96"/>
      <c r="F401" s="96"/>
      <c r="G401" s="96"/>
      <c r="H401" s="96"/>
      <c r="I401" s="111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>
      <c r="A402" s="96"/>
      <c r="B402" s="96"/>
      <c r="C402" s="96"/>
      <c r="D402" s="96"/>
      <c r="E402" s="96"/>
      <c r="F402" s="96"/>
      <c r="G402" s="96"/>
      <c r="H402" s="96"/>
      <c r="I402" s="111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>
      <c r="A403" s="96"/>
      <c r="B403" s="96"/>
      <c r="C403" s="96"/>
      <c r="D403" s="96"/>
      <c r="E403" s="96"/>
      <c r="F403" s="96"/>
      <c r="G403" s="96"/>
      <c r="H403" s="96"/>
      <c r="I403" s="111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>
      <c r="A404" s="96"/>
      <c r="B404" s="96"/>
      <c r="C404" s="96"/>
      <c r="D404" s="96"/>
      <c r="E404" s="96"/>
      <c r="F404" s="96"/>
      <c r="G404" s="96"/>
      <c r="H404" s="96"/>
      <c r="I404" s="111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>
      <c r="A405" s="96"/>
      <c r="B405" s="96"/>
      <c r="C405" s="96"/>
      <c r="D405" s="96"/>
      <c r="E405" s="96"/>
      <c r="F405" s="96"/>
      <c r="G405" s="96"/>
      <c r="H405" s="96"/>
      <c r="I405" s="111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>
      <c r="A406" s="96"/>
      <c r="B406" s="96"/>
      <c r="C406" s="96"/>
      <c r="D406" s="96"/>
      <c r="E406" s="96"/>
      <c r="F406" s="96"/>
      <c r="G406" s="96"/>
      <c r="H406" s="96"/>
      <c r="I406" s="111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>
      <c r="A407" s="96"/>
      <c r="B407" s="96"/>
      <c r="C407" s="96"/>
      <c r="D407" s="96"/>
      <c r="E407" s="96"/>
      <c r="F407" s="96"/>
      <c r="G407" s="96"/>
      <c r="H407" s="96"/>
      <c r="I407" s="111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>
      <c r="A408" s="96"/>
      <c r="B408" s="96"/>
      <c r="C408" s="96"/>
      <c r="D408" s="96"/>
      <c r="E408" s="96"/>
      <c r="F408" s="96"/>
      <c r="G408" s="96"/>
      <c r="H408" s="96"/>
      <c r="I408" s="111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>
      <c r="A409" s="96"/>
      <c r="B409" s="96"/>
      <c r="C409" s="96"/>
      <c r="D409" s="96"/>
      <c r="E409" s="96"/>
      <c r="F409" s="96"/>
      <c r="G409" s="96"/>
      <c r="H409" s="96"/>
      <c r="I409" s="111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>
      <c r="A410" s="96"/>
      <c r="B410" s="96"/>
      <c r="C410" s="96"/>
      <c r="D410" s="96"/>
      <c r="E410" s="96"/>
      <c r="F410" s="96"/>
      <c r="G410" s="96"/>
      <c r="H410" s="96"/>
      <c r="I410" s="111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>
      <c r="A411" s="96"/>
      <c r="B411" s="96"/>
      <c r="C411" s="96"/>
      <c r="D411" s="96"/>
      <c r="E411" s="96"/>
      <c r="F411" s="96"/>
      <c r="G411" s="96"/>
      <c r="H411" s="96"/>
      <c r="I411" s="111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>
      <c r="A412" s="96"/>
      <c r="B412" s="96"/>
      <c r="C412" s="96"/>
      <c r="D412" s="96"/>
      <c r="E412" s="96"/>
      <c r="F412" s="96"/>
      <c r="G412" s="96"/>
      <c r="H412" s="96"/>
      <c r="I412" s="111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>
      <c r="A413" s="96"/>
      <c r="B413" s="96"/>
      <c r="C413" s="96"/>
      <c r="D413" s="96"/>
      <c r="E413" s="96"/>
      <c r="F413" s="96"/>
      <c r="G413" s="96"/>
      <c r="H413" s="96"/>
      <c r="I413" s="111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>
      <c r="A414" s="96"/>
      <c r="B414" s="96"/>
      <c r="C414" s="96"/>
      <c r="D414" s="96"/>
      <c r="E414" s="96"/>
      <c r="F414" s="96"/>
      <c r="G414" s="96"/>
      <c r="H414" s="96"/>
      <c r="I414" s="111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>
      <c r="A415" s="96"/>
      <c r="B415" s="96"/>
      <c r="C415" s="96"/>
      <c r="D415" s="96"/>
      <c r="E415" s="96"/>
      <c r="F415" s="96"/>
      <c r="G415" s="96"/>
      <c r="H415" s="96"/>
      <c r="I415" s="111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>
      <c r="A416" s="96"/>
      <c r="B416" s="96"/>
      <c r="C416" s="96"/>
      <c r="D416" s="96"/>
      <c r="E416" s="96"/>
      <c r="F416" s="96"/>
      <c r="G416" s="96"/>
      <c r="H416" s="96"/>
      <c r="I416" s="111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>
      <c r="A417" s="96"/>
      <c r="B417" s="96"/>
      <c r="C417" s="96"/>
      <c r="D417" s="96"/>
      <c r="E417" s="96"/>
      <c r="F417" s="96"/>
      <c r="G417" s="96"/>
      <c r="H417" s="96"/>
      <c r="I417" s="111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>
      <c r="A418" s="96"/>
      <c r="B418" s="96"/>
      <c r="C418" s="96"/>
      <c r="D418" s="96"/>
      <c r="E418" s="96"/>
      <c r="F418" s="96"/>
      <c r="G418" s="96"/>
      <c r="H418" s="96"/>
      <c r="I418" s="111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>
      <c r="A419" s="96"/>
      <c r="B419" s="96"/>
      <c r="C419" s="96"/>
      <c r="D419" s="96"/>
      <c r="E419" s="96"/>
      <c r="F419" s="96"/>
      <c r="G419" s="96"/>
      <c r="H419" s="96"/>
      <c r="I419" s="111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>
      <c r="A420" s="96"/>
      <c r="B420" s="96"/>
      <c r="C420" s="96"/>
      <c r="D420" s="96"/>
      <c r="E420" s="96"/>
      <c r="F420" s="96"/>
      <c r="G420" s="96"/>
      <c r="H420" s="96"/>
      <c r="I420" s="111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>
      <c r="A421" s="96"/>
      <c r="B421" s="96"/>
      <c r="C421" s="96"/>
      <c r="D421" s="96"/>
      <c r="E421" s="96"/>
      <c r="F421" s="96"/>
      <c r="G421" s="96"/>
      <c r="H421" s="96"/>
      <c r="I421" s="111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>
      <c r="A422" s="96"/>
      <c r="B422" s="96"/>
      <c r="C422" s="96"/>
      <c r="D422" s="96"/>
      <c r="E422" s="96"/>
      <c r="F422" s="96"/>
      <c r="G422" s="96"/>
      <c r="H422" s="96"/>
      <c r="I422" s="111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>
      <c r="A423" s="96"/>
      <c r="B423" s="96"/>
      <c r="C423" s="96"/>
      <c r="D423" s="96"/>
      <c r="E423" s="96"/>
      <c r="F423" s="96"/>
      <c r="G423" s="96"/>
      <c r="H423" s="96"/>
      <c r="I423" s="111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>
      <c r="A424" s="96"/>
      <c r="B424" s="96"/>
      <c r="C424" s="96"/>
      <c r="D424" s="96"/>
      <c r="E424" s="96"/>
      <c r="F424" s="96"/>
      <c r="G424" s="96"/>
      <c r="H424" s="96"/>
      <c r="I424" s="111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>
      <c r="A425" s="96"/>
      <c r="B425" s="96"/>
      <c r="C425" s="96"/>
      <c r="D425" s="96"/>
      <c r="E425" s="96"/>
      <c r="F425" s="96"/>
      <c r="G425" s="96"/>
      <c r="H425" s="96"/>
      <c r="I425" s="111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>
      <c r="A426" s="96"/>
      <c r="B426" s="96"/>
      <c r="C426" s="96"/>
      <c r="D426" s="96"/>
      <c r="E426" s="96"/>
      <c r="F426" s="96"/>
      <c r="G426" s="96"/>
      <c r="H426" s="96"/>
      <c r="I426" s="111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>
      <c r="A427" s="96"/>
      <c r="B427" s="96"/>
      <c r="C427" s="96"/>
      <c r="D427" s="96"/>
      <c r="E427" s="96"/>
      <c r="F427" s="96"/>
      <c r="G427" s="96"/>
      <c r="H427" s="96"/>
      <c r="I427" s="111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>
      <c r="A428" s="96"/>
      <c r="B428" s="96"/>
      <c r="C428" s="96"/>
      <c r="D428" s="96"/>
      <c r="E428" s="96"/>
      <c r="F428" s="96"/>
      <c r="G428" s="96"/>
      <c r="H428" s="96"/>
      <c r="I428" s="111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>
      <c r="A429" s="96"/>
      <c r="B429" s="96"/>
      <c r="C429" s="96"/>
      <c r="D429" s="96"/>
      <c r="E429" s="96"/>
      <c r="F429" s="96"/>
      <c r="G429" s="96"/>
      <c r="H429" s="96"/>
      <c r="I429" s="111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>
      <c r="A430" s="96"/>
      <c r="B430" s="96"/>
      <c r="C430" s="96"/>
      <c r="D430" s="96"/>
      <c r="E430" s="96"/>
      <c r="F430" s="96"/>
      <c r="G430" s="96"/>
      <c r="H430" s="96"/>
      <c r="I430" s="111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>
      <c r="A431" s="96"/>
      <c r="B431" s="96"/>
      <c r="C431" s="96"/>
      <c r="D431" s="96"/>
      <c r="E431" s="96"/>
      <c r="F431" s="96"/>
      <c r="G431" s="96"/>
      <c r="H431" s="96"/>
      <c r="I431" s="111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>
      <c r="A432" s="96"/>
      <c r="B432" s="96"/>
      <c r="C432" s="96"/>
      <c r="D432" s="96"/>
      <c r="E432" s="96"/>
      <c r="F432" s="96"/>
      <c r="G432" s="96"/>
      <c r="H432" s="96"/>
      <c r="I432" s="111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>
      <c r="A433" s="96"/>
      <c r="B433" s="96"/>
      <c r="C433" s="96"/>
      <c r="D433" s="96"/>
      <c r="E433" s="96"/>
      <c r="F433" s="96"/>
      <c r="G433" s="96"/>
      <c r="H433" s="96"/>
      <c r="I433" s="111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>
      <c r="A434" s="96"/>
      <c r="B434" s="96"/>
      <c r="C434" s="96"/>
      <c r="D434" s="96"/>
      <c r="E434" s="96"/>
      <c r="F434" s="96"/>
      <c r="G434" s="96"/>
      <c r="H434" s="96"/>
      <c r="I434" s="111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>
      <c r="A435" s="96"/>
      <c r="B435" s="96"/>
      <c r="C435" s="96"/>
      <c r="D435" s="96"/>
      <c r="E435" s="96"/>
      <c r="F435" s="96"/>
      <c r="G435" s="96"/>
      <c r="H435" s="96"/>
      <c r="I435" s="111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>
      <c r="A436" s="96"/>
      <c r="B436" s="96"/>
      <c r="C436" s="96"/>
      <c r="D436" s="96"/>
      <c r="E436" s="96"/>
      <c r="F436" s="96"/>
      <c r="G436" s="96"/>
      <c r="H436" s="96"/>
      <c r="I436" s="111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>
      <c r="A437" s="96"/>
      <c r="B437" s="96"/>
      <c r="C437" s="96"/>
      <c r="D437" s="96"/>
      <c r="E437" s="96"/>
      <c r="F437" s="96"/>
      <c r="G437" s="96"/>
      <c r="H437" s="96"/>
      <c r="I437" s="111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>
      <c r="A438" s="96"/>
      <c r="B438" s="96"/>
      <c r="C438" s="96"/>
      <c r="D438" s="96"/>
      <c r="E438" s="96"/>
      <c r="F438" s="96"/>
      <c r="G438" s="96"/>
      <c r="H438" s="96"/>
      <c r="I438" s="111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>
      <c r="A439" s="96"/>
      <c r="B439" s="96"/>
      <c r="C439" s="96"/>
      <c r="D439" s="96"/>
      <c r="E439" s="96"/>
      <c r="F439" s="96"/>
      <c r="G439" s="96"/>
      <c r="H439" s="96"/>
      <c r="I439" s="111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>
      <c r="A440" s="96"/>
      <c r="B440" s="96"/>
      <c r="C440" s="96"/>
      <c r="D440" s="96"/>
      <c r="E440" s="96"/>
      <c r="F440" s="96"/>
      <c r="G440" s="96"/>
      <c r="H440" s="96"/>
      <c r="I440" s="111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>
      <c r="A441" s="96"/>
      <c r="B441" s="96"/>
      <c r="C441" s="96"/>
      <c r="D441" s="96"/>
      <c r="E441" s="96"/>
      <c r="F441" s="96"/>
      <c r="G441" s="96"/>
      <c r="H441" s="96"/>
      <c r="I441" s="111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>
      <c r="A442" s="96"/>
      <c r="B442" s="96"/>
      <c r="C442" s="96"/>
      <c r="D442" s="96"/>
      <c r="E442" s="96"/>
      <c r="F442" s="96"/>
      <c r="G442" s="96"/>
      <c r="H442" s="96"/>
      <c r="I442" s="111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>
      <c r="A443" s="96"/>
      <c r="B443" s="96"/>
      <c r="C443" s="96"/>
      <c r="D443" s="96"/>
      <c r="E443" s="96"/>
      <c r="F443" s="96"/>
      <c r="G443" s="96"/>
      <c r="H443" s="96"/>
      <c r="I443" s="111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>
      <c r="A444" s="96"/>
      <c r="B444" s="96"/>
      <c r="C444" s="96"/>
      <c r="D444" s="96"/>
      <c r="E444" s="96"/>
      <c r="F444" s="96"/>
      <c r="G444" s="96"/>
      <c r="H444" s="96"/>
      <c r="I444" s="111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>
      <c r="A445" s="96"/>
      <c r="B445" s="96"/>
      <c r="C445" s="96"/>
      <c r="D445" s="96"/>
      <c r="E445" s="96"/>
      <c r="F445" s="96"/>
      <c r="G445" s="96"/>
      <c r="H445" s="96"/>
      <c r="I445" s="111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>
      <c r="A446" s="96"/>
      <c r="B446" s="96"/>
      <c r="C446" s="96"/>
      <c r="D446" s="96"/>
      <c r="E446" s="96"/>
      <c r="F446" s="96"/>
      <c r="G446" s="96"/>
      <c r="H446" s="96"/>
      <c r="I446" s="111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>
      <c r="A447" s="96"/>
      <c r="B447" s="96"/>
      <c r="C447" s="96"/>
      <c r="D447" s="96"/>
      <c r="E447" s="96"/>
      <c r="F447" s="96"/>
      <c r="G447" s="96"/>
      <c r="H447" s="96"/>
      <c r="I447" s="111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>
      <c r="A448" s="96"/>
      <c r="B448" s="96"/>
      <c r="C448" s="96"/>
      <c r="D448" s="96"/>
      <c r="E448" s="96"/>
      <c r="F448" s="96"/>
      <c r="G448" s="96"/>
      <c r="H448" s="96"/>
      <c r="I448" s="111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>
      <c r="A449" s="96"/>
      <c r="B449" s="96"/>
      <c r="C449" s="96"/>
      <c r="D449" s="96"/>
      <c r="E449" s="96"/>
      <c r="F449" s="96"/>
      <c r="G449" s="96"/>
      <c r="H449" s="96"/>
      <c r="I449" s="111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>
      <c r="A450" s="96"/>
      <c r="B450" s="96"/>
      <c r="C450" s="96"/>
      <c r="D450" s="96"/>
      <c r="E450" s="96"/>
      <c r="F450" s="96"/>
      <c r="G450" s="96"/>
      <c r="H450" s="96"/>
      <c r="I450" s="111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>
      <c r="A451" s="96"/>
      <c r="B451" s="96"/>
      <c r="C451" s="96"/>
      <c r="D451" s="96"/>
      <c r="E451" s="96"/>
      <c r="F451" s="96"/>
      <c r="G451" s="96"/>
      <c r="H451" s="96"/>
      <c r="I451" s="111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>
      <c r="A452" s="96"/>
      <c r="B452" s="96"/>
      <c r="C452" s="96"/>
      <c r="D452" s="96"/>
      <c r="E452" s="96"/>
      <c r="F452" s="96"/>
      <c r="G452" s="96"/>
      <c r="H452" s="96"/>
      <c r="I452" s="111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>
      <c r="A453" s="96"/>
      <c r="B453" s="96"/>
      <c r="C453" s="96"/>
      <c r="D453" s="96"/>
      <c r="E453" s="96"/>
      <c r="F453" s="96"/>
      <c r="G453" s="96"/>
      <c r="H453" s="96"/>
      <c r="I453" s="111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>
      <c r="A454" s="96"/>
      <c r="B454" s="96"/>
      <c r="C454" s="96"/>
      <c r="D454" s="96"/>
      <c r="E454" s="96"/>
      <c r="F454" s="96"/>
      <c r="G454" s="96"/>
      <c r="H454" s="96"/>
      <c r="I454" s="111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>
      <c r="A455" s="96"/>
      <c r="B455" s="96"/>
      <c r="C455" s="96"/>
      <c r="D455" s="96"/>
      <c r="E455" s="96"/>
      <c r="F455" s="96"/>
      <c r="G455" s="96"/>
      <c r="H455" s="96"/>
      <c r="I455" s="111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>
      <c r="A456" s="96"/>
      <c r="B456" s="96"/>
      <c r="C456" s="96"/>
      <c r="D456" s="96"/>
      <c r="E456" s="96"/>
      <c r="F456" s="96"/>
      <c r="G456" s="96"/>
      <c r="H456" s="96"/>
      <c r="I456" s="111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>
      <c r="A457" s="96"/>
      <c r="B457" s="96"/>
      <c r="C457" s="96"/>
      <c r="D457" s="96"/>
      <c r="E457" s="96"/>
      <c r="F457" s="96"/>
      <c r="G457" s="96"/>
      <c r="H457" s="96"/>
      <c r="I457" s="111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>
      <c r="A458" s="96"/>
      <c r="B458" s="96"/>
      <c r="C458" s="96"/>
      <c r="D458" s="96"/>
      <c r="E458" s="96"/>
      <c r="F458" s="96"/>
      <c r="G458" s="96"/>
      <c r="H458" s="96"/>
      <c r="I458" s="111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>
      <c r="A459" s="96"/>
      <c r="B459" s="96"/>
      <c r="C459" s="96"/>
      <c r="D459" s="96"/>
      <c r="E459" s="96"/>
      <c r="F459" s="96"/>
      <c r="G459" s="96"/>
      <c r="H459" s="96"/>
      <c r="I459" s="111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>
      <c r="A460" s="96"/>
      <c r="B460" s="96"/>
      <c r="C460" s="96"/>
      <c r="D460" s="96"/>
      <c r="E460" s="96"/>
      <c r="F460" s="96"/>
      <c r="G460" s="96"/>
      <c r="H460" s="96"/>
      <c r="I460" s="111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>
      <c r="A461" s="96"/>
      <c r="B461" s="96"/>
      <c r="C461" s="96"/>
      <c r="D461" s="96"/>
      <c r="E461" s="96"/>
      <c r="F461" s="96"/>
      <c r="G461" s="96"/>
      <c r="H461" s="96"/>
      <c r="I461" s="111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>
      <c r="A462" s="96"/>
      <c r="B462" s="96"/>
      <c r="C462" s="96"/>
      <c r="D462" s="96"/>
      <c r="E462" s="96"/>
      <c r="F462" s="96"/>
      <c r="G462" s="96"/>
      <c r="H462" s="96"/>
      <c r="I462" s="111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>
      <c r="A463" s="96"/>
      <c r="B463" s="96"/>
      <c r="C463" s="96"/>
      <c r="D463" s="96"/>
      <c r="E463" s="96"/>
      <c r="F463" s="96"/>
      <c r="G463" s="96"/>
      <c r="H463" s="96"/>
      <c r="I463" s="111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>
      <c r="A464" s="96"/>
      <c r="B464" s="96"/>
      <c r="C464" s="96"/>
      <c r="D464" s="96"/>
      <c r="E464" s="96"/>
      <c r="F464" s="96"/>
      <c r="G464" s="96"/>
      <c r="H464" s="96"/>
      <c r="I464" s="111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>
      <c r="A465" s="96"/>
      <c r="B465" s="96"/>
      <c r="C465" s="96"/>
      <c r="D465" s="96"/>
      <c r="E465" s="96"/>
      <c r="F465" s="96"/>
      <c r="G465" s="96"/>
      <c r="H465" s="96"/>
      <c r="I465" s="111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>
      <c r="A466" s="96"/>
      <c r="B466" s="96"/>
      <c r="C466" s="96"/>
      <c r="D466" s="96"/>
      <c r="E466" s="96"/>
      <c r="F466" s="96"/>
      <c r="G466" s="96"/>
      <c r="H466" s="96"/>
      <c r="I466" s="111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>
      <c r="A467" s="96"/>
      <c r="B467" s="96"/>
      <c r="C467" s="96"/>
      <c r="D467" s="96"/>
      <c r="E467" s="96"/>
      <c r="F467" s="96"/>
      <c r="G467" s="96"/>
      <c r="H467" s="96"/>
      <c r="I467" s="111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>
      <c r="A468" s="96"/>
      <c r="B468" s="96"/>
      <c r="C468" s="96"/>
      <c r="D468" s="96"/>
      <c r="E468" s="96"/>
      <c r="F468" s="96"/>
      <c r="G468" s="96"/>
      <c r="H468" s="96"/>
      <c r="I468" s="111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>
      <c r="A469" s="96"/>
      <c r="B469" s="96"/>
      <c r="C469" s="96"/>
      <c r="D469" s="96"/>
      <c r="E469" s="96"/>
      <c r="F469" s="96"/>
      <c r="G469" s="96"/>
      <c r="H469" s="96"/>
      <c r="I469" s="111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>
      <c r="A470" s="96"/>
      <c r="B470" s="96"/>
      <c r="C470" s="96"/>
      <c r="D470" s="96"/>
      <c r="E470" s="96"/>
      <c r="F470" s="96"/>
      <c r="G470" s="96"/>
      <c r="H470" s="96"/>
      <c r="I470" s="111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>
      <c r="A471" s="96"/>
      <c r="B471" s="96"/>
      <c r="C471" s="96"/>
      <c r="D471" s="96"/>
      <c r="E471" s="96"/>
      <c r="F471" s="96"/>
      <c r="G471" s="96"/>
      <c r="H471" s="96"/>
      <c r="I471" s="111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>
      <c r="A472" s="96"/>
      <c r="B472" s="96"/>
      <c r="C472" s="96"/>
      <c r="D472" s="96"/>
      <c r="E472" s="96"/>
      <c r="F472" s="96"/>
      <c r="G472" s="96"/>
      <c r="H472" s="96"/>
      <c r="I472" s="111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>
      <c r="A473" s="96"/>
      <c r="B473" s="96"/>
      <c r="C473" s="96"/>
      <c r="D473" s="96"/>
      <c r="E473" s="96"/>
      <c r="F473" s="96"/>
      <c r="G473" s="96"/>
      <c r="H473" s="96"/>
      <c r="I473" s="111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>
      <c r="A474" s="96"/>
      <c r="B474" s="96"/>
      <c r="C474" s="96"/>
      <c r="D474" s="96"/>
      <c r="E474" s="96"/>
      <c r="F474" s="96"/>
      <c r="G474" s="96"/>
      <c r="H474" s="96"/>
      <c r="I474" s="111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>
      <c r="A475" s="96"/>
      <c r="B475" s="96"/>
      <c r="C475" s="96"/>
      <c r="D475" s="96"/>
      <c r="E475" s="96"/>
      <c r="F475" s="96"/>
      <c r="G475" s="96"/>
      <c r="H475" s="96"/>
      <c r="I475" s="111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>
      <c r="A476" s="96"/>
      <c r="B476" s="96"/>
      <c r="C476" s="96"/>
      <c r="D476" s="96"/>
      <c r="E476" s="96"/>
      <c r="F476" s="96"/>
      <c r="G476" s="96"/>
      <c r="H476" s="96"/>
      <c r="I476" s="111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>
      <c r="A477" s="96"/>
      <c r="B477" s="96"/>
      <c r="C477" s="96"/>
      <c r="D477" s="96"/>
      <c r="E477" s="96"/>
      <c r="F477" s="96"/>
      <c r="G477" s="96"/>
      <c r="H477" s="96"/>
      <c r="I477" s="111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>
      <c r="A478" s="96"/>
      <c r="B478" s="96"/>
      <c r="C478" s="96"/>
      <c r="D478" s="96"/>
      <c r="E478" s="96"/>
      <c r="F478" s="96"/>
      <c r="G478" s="96"/>
      <c r="H478" s="96"/>
      <c r="I478" s="111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>
      <c r="A479" s="96"/>
      <c r="B479" s="96"/>
      <c r="C479" s="96"/>
      <c r="D479" s="96"/>
      <c r="E479" s="96"/>
      <c r="F479" s="96"/>
      <c r="G479" s="96"/>
      <c r="H479" s="96"/>
      <c r="I479" s="111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>
      <c r="A480" s="96"/>
      <c r="B480" s="96"/>
      <c r="C480" s="96"/>
      <c r="D480" s="96"/>
      <c r="E480" s="96"/>
      <c r="F480" s="96"/>
      <c r="G480" s="96"/>
      <c r="H480" s="96"/>
      <c r="I480" s="111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>
      <c r="A481" s="96"/>
      <c r="B481" s="96"/>
      <c r="C481" s="96"/>
      <c r="D481" s="96"/>
      <c r="E481" s="96"/>
      <c r="F481" s="96"/>
      <c r="G481" s="96"/>
      <c r="H481" s="96"/>
      <c r="I481" s="111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>
      <c r="A482" s="96"/>
      <c r="B482" s="96"/>
      <c r="C482" s="96"/>
      <c r="D482" s="96"/>
      <c r="E482" s="96"/>
      <c r="F482" s="96"/>
      <c r="G482" s="96"/>
      <c r="H482" s="96"/>
      <c r="I482" s="111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>
      <c r="A483" s="96"/>
      <c r="B483" s="96"/>
      <c r="C483" s="96"/>
      <c r="D483" s="96"/>
      <c r="E483" s="96"/>
      <c r="F483" s="96"/>
      <c r="G483" s="96"/>
      <c r="H483" s="96"/>
      <c r="I483" s="111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>
      <c r="A484" s="96"/>
      <c r="B484" s="96"/>
      <c r="C484" s="96"/>
      <c r="D484" s="96"/>
      <c r="E484" s="96"/>
      <c r="F484" s="96"/>
      <c r="G484" s="96"/>
      <c r="H484" s="96"/>
      <c r="I484" s="111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>
      <c r="A485" s="96"/>
      <c r="B485" s="96"/>
      <c r="C485" s="96"/>
      <c r="D485" s="96"/>
      <c r="E485" s="96"/>
      <c r="F485" s="96"/>
      <c r="G485" s="96"/>
      <c r="H485" s="96"/>
      <c r="I485" s="111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>
      <c r="A486" s="96"/>
      <c r="B486" s="96"/>
      <c r="C486" s="96"/>
      <c r="D486" s="96"/>
      <c r="E486" s="96"/>
      <c r="F486" s="96"/>
      <c r="G486" s="96"/>
      <c r="H486" s="96"/>
      <c r="I486" s="111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>
      <c r="A487" s="96"/>
      <c r="B487" s="96"/>
      <c r="C487" s="96"/>
      <c r="D487" s="96"/>
      <c r="E487" s="96"/>
      <c r="F487" s="96"/>
      <c r="G487" s="96"/>
      <c r="H487" s="96"/>
      <c r="I487" s="111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>
      <c r="A488" s="96"/>
      <c r="B488" s="96"/>
      <c r="C488" s="96"/>
      <c r="D488" s="96"/>
      <c r="E488" s="96"/>
      <c r="F488" s="96"/>
      <c r="G488" s="96"/>
      <c r="H488" s="96"/>
      <c r="I488" s="111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>
      <c r="A489" s="96"/>
      <c r="B489" s="96"/>
      <c r="C489" s="96"/>
      <c r="D489" s="96"/>
      <c r="E489" s="96"/>
      <c r="F489" s="96"/>
      <c r="G489" s="96"/>
      <c r="H489" s="96"/>
      <c r="I489" s="111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>
      <c r="A490" s="96"/>
      <c r="B490" s="96"/>
      <c r="C490" s="96"/>
      <c r="D490" s="96"/>
      <c r="E490" s="96"/>
      <c r="F490" s="96"/>
      <c r="G490" s="96"/>
      <c r="H490" s="96"/>
      <c r="I490" s="111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>
      <c r="A491" s="96"/>
      <c r="B491" s="96"/>
      <c r="C491" s="96"/>
      <c r="D491" s="96"/>
      <c r="E491" s="96"/>
      <c r="F491" s="96"/>
      <c r="G491" s="96"/>
      <c r="H491" s="96"/>
      <c r="I491" s="111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>
      <c r="A492" s="96"/>
      <c r="B492" s="96"/>
      <c r="C492" s="96"/>
      <c r="D492" s="96"/>
      <c r="E492" s="96"/>
      <c r="F492" s="96"/>
      <c r="G492" s="96"/>
      <c r="H492" s="96"/>
      <c r="I492" s="111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>
      <c r="A493" s="96"/>
      <c r="B493" s="96"/>
      <c r="C493" s="96"/>
      <c r="D493" s="96"/>
      <c r="E493" s="96"/>
      <c r="F493" s="96"/>
      <c r="G493" s="96"/>
      <c r="H493" s="96"/>
      <c r="I493" s="111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>
      <c r="A494" s="96"/>
      <c r="B494" s="96"/>
      <c r="C494" s="96"/>
      <c r="D494" s="96"/>
      <c r="E494" s="96"/>
      <c r="F494" s="96"/>
      <c r="G494" s="96"/>
      <c r="H494" s="96"/>
      <c r="I494" s="111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>
      <c r="A495" s="96"/>
      <c r="B495" s="96"/>
      <c r="C495" s="96"/>
      <c r="D495" s="96"/>
      <c r="E495" s="96"/>
      <c r="F495" s="96"/>
      <c r="G495" s="96"/>
      <c r="H495" s="96"/>
      <c r="I495" s="111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>
      <c r="A496" s="96"/>
      <c r="B496" s="96"/>
      <c r="C496" s="96"/>
      <c r="D496" s="96"/>
      <c r="E496" s="96"/>
      <c r="F496" s="96"/>
      <c r="G496" s="96"/>
      <c r="H496" s="96"/>
      <c r="I496" s="111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>
      <c r="A497" s="96"/>
      <c r="B497" s="96"/>
      <c r="C497" s="96"/>
      <c r="D497" s="96"/>
      <c r="E497" s="96"/>
      <c r="F497" s="96"/>
      <c r="G497" s="96"/>
      <c r="H497" s="96"/>
      <c r="I497" s="111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>
      <c r="A498" s="96"/>
      <c r="B498" s="96"/>
      <c r="C498" s="96"/>
      <c r="D498" s="96"/>
      <c r="E498" s="96"/>
      <c r="F498" s="96"/>
      <c r="G498" s="96"/>
      <c r="H498" s="96"/>
      <c r="I498" s="111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>
      <c r="A499" s="96"/>
      <c r="B499" s="96"/>
      <c r="C499" s="96"/>
      <c r="D499" s="96"/>
      <c r="E499" s="96"/>
      <c r="F499" s="96"/>
      <c r="G499" s="96"/>
      <c r="H499" s="96"/>
      <c r="I499" s="111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>
      <c r="A500" s="96"/>
      <c r="B500" s="96"/>
      <c r="C500" s="96"/>
      <c r="D500" s="96"/>
      <c r="E500" s="96"/>
      <c r="F500" s="96"/>
      <c r="G500" s="96"/>
      <c r="H500" s="96"/>
      <c r="I500" s="111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>
      <c r="A501" s="96"/>
      <c r="B501" s="96"/>
      <c r="C501" s="96"/>
      <c r="D501" s="96"/>
      <c r="E501" s="96"/>
      <c r="F501" s="96"/>
      <c r="G501" s="96"/>
      <c r="H501" s="96"/>
      <c r="I501" s="111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>
      <c r="A502" s="96"/>
      <c r="B502" s="96"/>
      <c r="C502" s="96"/>
      <c r="D502" s="96"/>
      <c r="E502" s="96"/>
      <c r="F502" s="96"/>
      <c r="G502" s="96"/>
      <c r="H502" s="96"/>
      <c r="I502" s="111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>
      <c r="A503" s="96"/>
      <c r="B503" s="96"/>
      <c r="C503" s="96"/>
      <c r="D503" s="96"/>
      <c r="E503" s="96"/>
      <c r="F503" s="96"/>
      <c r="G503" s="96"/>
      <c r="H503" s="96"/>
      <c r="I503" s="111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>
      <c r="A504" s="96"/>
      <c r="B504" s="96"/>
      <c r="C504" s="96"/>
      <c r="D504" s="96"/>
      <c r="E504" s="96"/>
      <c r="F504" s="96"/>
      <c r="G504" s="96"/>
      <c r="H504" s="96"/>
      <c r="I504" s="111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>
      <c r="A505" s="96"/>
      <c r="B505" s="96"/>
      <c r="C505" s="96"/>
      <c r="D505" s="96"/>
      <c r="E505" s="96"/>
      <c r="F505" s="96"/>
      <c r="G505" s="96"/>
      <c r="H505" s="96"/>
      <c r="I505" s="111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>
      <c r="A506" s="96"/>
      <c r="B506" s="96"/>
      <c r="C506" s="96"/>
      <c r="D506" s="96"/>
      <c r="E506" s="96"/>
      <c r="F506" s="96"/>
      <c r="G506" s="96"/>
      <c r="H506" s="96"/>
      <c r="I506" s="111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>
      <c r="A507" s="96"/>
      <c r="B507" s="96"/>
      <c r="C507" s="96"/>
      <c r="D507" s="96"/>
      <c r="E507" s="96"/>
      <c r="F507" s="96"/>
      <c r="G507" s="96"/>
      <c r="H507" s="96"/>
      <c r="I507" s="111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>
      <c r="A508" s="96"/>
      <c r="B508" s="96"/>
      <c r="C508" s="96"/>
      <c r="D508" s="96"/>
      <c r="E508" s="96"/>
      <c r="F508" s="96"/>
      <c r="G508" s="96"/>
      <c r="H508" s="96"/>
      <c r="I508" s="111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>
      <c r="A509" s="96"/>
      <c r="B509" s="96"/>
      <c r="C509" s="96"/>
      <c r="D509" s="96"/>
      <c r="E509" s="96"/>
      <c r="F509" s="96"/>
      <c r="G509" s="96"/>
      <c r="H509" s="96"/>
      <c r="I509" s="111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>
      <c r="A510" s="96"/>
      <c r="B510" s="96"/>
      <c r="C510" s="96"/>
      <c r="D510" s="96"/>
      <c r="E510" s="96"/>
      <c r="F510" s="96"/>
      <c r="G510" s="96"/>
      <c r="H510" s="96"/>
      <c r="I510" s="111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>
      <c r="A511" s="96"/>
      <c r="B511" s="96"/>
      <c r="C511" s="96"/>
      <c r="D511" s="96"/>
      <c r="E511" s="96"/>
      <c r="F511" s="96"/>
      <c r="G511" s="96"/>
      <c r="H511" s="96"/>
      <c r="I511" s="111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>
      <c r="A512" s="96"/>
      <c r="B512" s="96"/>
      <c r="C512" s="96"/>
      <c r="D512" s="96"/>
      <c r="E512" s="96"/>
      <c r="F512" s="96"/>
      <c r="G512" s="96"/>
      <c r="H512" s="96"/>
      <c r="I512" s="111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>
      <c r="A513" s="96"/>
      <c r="B513" s="96"/>
      <c r="C513" s="96"/>
      <c r="D513" s="96"/>
      <c r="E513" s="96"/>
      <c r="F513" s="96"/>
      <c r="G513" s="96"/>
      <c r="H513" s="96"/>
      <c r="I513" s="111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>
      <c r="A514" s="96"/>
      <c r="B514" s="96"/>
      <c r="C514" s="96"/>
      <c r="D514" s="96"/>
      <c r="E514" s="96"/>
      <c r="F514" s="96"/>
      <c r="G514" s="96"/>
      <c r="H514" s="96"/>
      <c r="I514" s="111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>
      <c r="A515" s="96"/>
      <c r="B515" s="96"/>
      <c r="C515" s="96"/>
      <c r="D515" s="96"/>
      <c r="E515" s="96"/>
      <c r="F515" s="96"/>
      <c r="G515" s="96"/>
      <c r="H515" s="96"/>
      <c r="I515" s="111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>
      <c r="A516" s="96"/>
      <c r="B516" s="96"/>
      <c r="C516" s="96"/>
      <c r="D516" s="96"/>
      <c r="E516" s="96"/>
      <c r="F516" s="96"/>
      <c r="G516" s="96"/>
      <c r="H516" s="96"/>
      <c r="I516" s="111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>
      <c r="A517" s="96"/>
      <c r="B517" s="96"/>
      <c r="C517" s="96"/>
      <c r="D517" s="96"/>
      <c r="E517" s="96"/>
      <c r="F517" s="96"/>
      <c r="G517" s="96"/>
      <c r="H517" s="96"/>
      <c r="I517" s="111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>
      <c r="A518" s="96"/>
      <c r="B518" s="96"/>
      <c r="C518" s="96"/>
      <c r="D518" s="96"/>
      <c r="E518" s="96"/>
      <c r="F518" s="96"/>
      <c r="G518" s="96"/>
      <c r="H518" s="96"/>
      <c r="I518" s="111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>
      <c r="A519" s="96"/>
      <c r="B519" s="96"/>
      <c r="C519" s="96"/>
      <c r="D519" s="96"/>
      <c r="E519" s="96"/>
      <c r="F519" s="96"/>
      <c r="G519" s="96"/>
      <c r="H519" s="96"/>
      <c r="I519" s="111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>
      <c r="A520" s="96"/>
      <c r="B520" s="96"/>
      <c r="C520" s="96"/>
      <c r="D520" s="96"/>
      <c r="E520" s="96"/>
      <c r="F520" s="96"/>
      <c r="G520" s="96"/>
      <c r="H520" s="96"/>
      <c r="I520" s="111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>
      <c r="A521" s="96"/>
      <c r="B521" s="96"/>
      <c r="C521" s="96"/>
      <c r="D521" s="96"/>
      <c r="E521" s="96"/>
      <c r="F521" s="96"/>
      <c r="G521" s="96"/>
      <c r="H521" s="96"/>
      <c r="I521" s="111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>
      <c r="A522" s="96"/>
      <c r="B522" s="96"/>
      <c r="C522" s="96"/>
      <c r="D522" s="96"/>
      <c r="E522" s="96"/>
      <c r="F522" s="96"/>
      <c r="G522" s="96"/>
      <c r="H522" s="96"/>
      <c r="I522" s="111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>
      <c r="A523" s="96"/>
      <c r="B523" s="96"/>
      <c r="C523" s="96"/>
      <c r="D523" s="96"/>
      <c r="E523" s="96"/>
      <c r="F523" s="96"/>
      <c r="G523" s="96"/>
      <c r="H523" s="96"/>
      <c r="I523" s="111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>
      <c r="A524" s="96"/>
      <c r="B524" s="96"/>
      <c r="C524" s="96"/>
      <c r="D524" s="96"/>
      <c r="E524" s="96"/>
      <c r="F524" s="96"/>
      <c r="G524" s="96"/>
      <c r="H524" s="96"/>
      <c r="I524" s="111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>
      <c r="A525" s="96"/>
      <c r="B525" s="96"/>
      <c r="C525" s="96"/>
      <c r="D525" s="96"/>
      <c r="E525" s="96"/>
      <c r="F525" s="96"/>
      <c r="G525" s="96"/>
      <c r="H525" s="96"/>
      <c r="I525" s="111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>
      <c r="A526" s="96"/>
      <c r="B526" s="96"/>
      <c r="C526" s="96"/>
      <c r="D526" s="96"/>
      <c r="E526" s="96"/>
      <c r="F526" s="96"/>
      <c r="G526" s="96"/>
      <c r="H526" s="96"/>
      <c r="I526" s="111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>
      <c r="A527" s="96"/>
      <c r="B527" s="96"/>
      <c r="C527" s="96"/>
      <c r="D527" s="96"/>
      <c r="E527" s="96"/>
      <c r="F527" s="96"/>
      <c r="G527" s="96"/>
      <c r="H527" s="96"/>
      <c r="I527" s="111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>
      <c r="A528" s="96"/>
      <c r="B528" s="96"/>
      <c r="C528" s="96"/>
      <c r="D528" s="96"/>
      <c r="E528" s="96"/>
      <c r="F528" s="96"/>
      <c r="G528" s="96"/>
      <c r="H528" s="96"/>
      <c r="I528" s="111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>
      <c r="A529" s="96"/>
      <c r="B529" s="96"/>
      <c r="C529" s="96"/>
      <c r="D529" s="96"/>
      <c r="E529" s="96"/>
      <c r="F529" s="96"/>
      <c r="G529" s="96"/>
      <c r="H529" s="96"/>
      <c r="I529" s="111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>
      <c r="A530" s="96"/>
      <c r="B530" s="96"/>
      <c r="C530" s="96"/>
      <c r="D530" s="96"/>
      <c r="E530" s="96"/>
      <c r="F530" s="96"/>
      <c r="G530" s="96"/>
      <c r="H530" s="96"/>
      <c r="I530" s="111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>
      <c r="A531" s="96"/>
      <c r="B531" s="96"/>
      <c r="C531" s="96"/>
      <c r="D531" s="96"/>
      <c r="E531" s="96"/>
      <c r="F531" s="96"/>
      <c r="G531" s="96"/>
      <c r="H531" s="96"/>
      <c r="I531" s="111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>
      <c r="A532" s="96"/>
      <c r="B532" s="96"/>
      <c r="C532" s="96"/>
      <c r="D532" s="96"/>
      <c r="E532" s="96"/>
      <c r="F532" s="96"/>
      <c r="G532" s="96"/>
      <c r="H532" s="96"/>
      <c r="I532" s="111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>
      <c r="A533" s="96"/>
      <c r="B533" s="96"/>
      <c r="C533" s="96"/>
      <c r="D533" s="96"/>
      <c r="E533" s="96"/>
      <c r="F533" s="96"/>
      <c r="G533" s="96"/>
      <c r="H533" s="96"/>
      <c r="I533" s="111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>
      <c r="A534" s="96"/>
      <c r="B534" s="96"/>
      <c r="C534" s="96"/>
      <c r="D534" s="96"/>
      <c r="E534" s="96"/>
      <c r="F534" s="96"/>
      <c r="G534" s="96"/>
      <c r="H534" s="96"/>
      <c r="I534" s="111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>
      <c r="A535" s="96"/>
      <c r="B535" s="96"/>
      <c r="C535" s="96"/>
      <c r="D535" s="96"/>
      <c r="E535" s="96"/>
      <c r="F535" s="96"/>
      <c r="G535" s="96"/>
      <c r="H535" s="96"/>
      <c r="I535" s="111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>
      <c r="A536" s="96"/>
      <c r="B536" s="96"/>
      <c r="C536" s="96"/>
      <c r="D536" s="96"/>
      <c r="E536" s="96"/>
      <c r="F536" s="96"/>
      <c r="G536" s="96"/>
      <c r="H536" s="96"/>
      <c r="I536" s="111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>
      <c r="A537" s="96"/>
      <c r="B537" s="96"/>
      <c r="C537" s="96"/>
      <c r="D537" s="96"/>
      <c r="E537" s="96"/>
      <c r="F537" s="96"/>
      <c r="G537" s="96"/>
      <c r="H537" s="96"/>
      <c r="I537" s="111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>
      <c r="A538" s="96"/>
      <c r="B538" s="96"/>
      <c r="C538" s="96"/>
      <c r="D538" s="96"/>
      <c r="E538" s="96"/>
      <c r="F538" s="96"/>
      <c r="G538" s="96"/>
      <c r="H538" s="96"/>
      <c r="I538" s="111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>
      <c r="A539" s="96"/>
      <c r="B539" s="96"/>
      <c r="C539" s="96"/>
      <c r="D539" s="96"/>
      <c r="E539" s="96"/>
      <c r="F539" s="96"/>
      <c r="G539" s="96"/>
      <c r="H539" s="96"/>
      <c r="I539" s="111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>
      <c r="A540" s="96"/>
      <c r="B540" s="96"/>
      <c r="C540" s="96"/>
      <c r="D540" s="96"/>
      <c r="E540" s="96"/>
      <c r="F540" s="96"/>
      <c r="G540" s="96"/>
      <c r="H540" s="96"/>
      <c r="I540" s="111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>
      <c r="A541" s="96"/>
      <c r="B541" s="96"/>
      <c r="C541" s="96"/>
      <c r="D541" s="96"/>
      <c r="E541" s="96"/>
      <c r="F541" s="96"/>
      <c r="G541" s="96"/>
      <c r="H541" s="96"/>
      <c r="I541" s="111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>
      <c r="A542" s="96"/>
      <c r="B542" s="96"/>
      <c r="C542" s="96"/>
      <c r="D542" s="96"/>
      <c r="E542" s="96"/>
      <c r="F542" s="96"/>
      <c r="G542" s="96"/>
      <c r="H542" s="96"/>
      <c r="I542" s="111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>
      <c r="A543" s="96"/>
      <c r="B543" s="96"/>
      <c r="C543" s="96"/>
      <c r="D543" s="96"/>
      <c r="E543" s="96"/>
      <c r="F543" s="96"/>
      <c r="G543" s="96"/>
      <c r="H543" s="96"/>
      <c r="I543" s="111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>
      <c r="A544" s="96"/>
      <c r="B544" s="96"/>
      <c r="C544" s="96"/>
      <c r="D544" s="96"/>
      <c r="E544" s="96"/>
      <c r="F544" s="96"/>
      <c r="G544" s="96"/>
      <c r="H544" s="96"/>
      <c r="I544" s="111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>
      <c r="A545" s="96"/>
      <c r="B545" s="96"/>
      <c r="C545" s="96"/>
      <c r="D545" s="96"/>
      <c r="E545" s="96"/>
      <c r="F545" s="96"/>
      <c r="G545" s="96"/>
      <c r="H545" s="96"/>
      <c r="I545" s="111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>
      <c r="A546" s="96"/>
      <c r="B546" s="96"/>
      <c r="C546" s="96"/>
      <c r="D546" s="96"/>
      <c r="E546" s="96"/>
      <c r="F546" s="96"/>
      <c r="G546" s="96"/>
      <c r="H546" s="96"/>
      <c r="I546" s="111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>
      <c r="A547" s="96"/>
      <c r="B547" s="96"/>
      <c r="C547" s="96"/>
      <c r="D547" s="96"/>
      <c r="E547" s="96"/>
      <c r="F547" s="96"/>
      <c r="G547" s="96"/>
      <c r="H547" s="96"/>
      <c r="I547" s="111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>
      <c r="A548" s="96"/>
      <c r="B548" s="96"/>
      <c r="C548" s="96"/>
      <c r="D548" s="96"/>
      <c r="E548" s="96"/>
      <c r="F548" s="96"/>
      <c r="G548" s="96"/>
      <c r="H548" s="96"/>
      <c r="I548" s="111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>
      <c r="A549" s="96"/>
      <c r="B549" s="96"/>
      <c r="C549" s="96"/>
      <c r="D549" s="96"/>
      <c r="E549" s="96"/>
      <c r="F549" s="96"/>
      <c r="G549" s="96"/>
      <c r="H549" s="96"/>
      <c r="I549" s="111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>
      <c r="A550" s="96"/>
      <c r="B550" s="96"/>
      <c r="C550" s="96"/>
      <c r="D550" s="96"/>
      <c r="E550" s="96"/>
      <c r="F550" s="96"/>
      <c r="G550" s="96"/>
      <c r="H550" s="96"/>
      <c r="I550" s="111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>
      <c r="A551" s="96"/>
      <c r="B551" s="96"/>
      <c r="C551" s="96"/>
      <c r="D551" s="96"/>
      <c r="E551" s="96"/>
      <c r="F551" s="96"/>
      <c r="G551" s="96"/>
      <c r="H551" s="96"/>
      <c r="I551" s="111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>
      <c r="A552" s="96"/>
      <c r="B552" s="96"/>
      <c r="C552" s="96"/>
      <c r="D552" s="96"/>
      <c r="E552" s="96"/>
      <c r="F552" s="96"/>
      <c r="G552" s="96"/>
      <c r="H552" s="96"/>
      <c r="I552" s="111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>
      <c r="A553" s="96"/>
      <c r="B553" s="96"/>
      <c r="C553" s="96"/>
      <c r="D553" s="96"/>
      <c r="E553" s="96"/>
      <c r="F553" s="96"/>
      <c r="G553" s="96"/>
      <c r="H553" s="96"/>
      <c r="I553" s="111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>
      <c r="A554" s="96"/>
      <c r="B554" s="96"/>
      <c r="C554" s="96"/>
      <c r="D554" s="96"/>
      <c r="E554" s="96"/>
      <c r="F554" s="96"/>
      <c r="G554" s="96"/>
      <c r="H554" s="96"/>
      <c r="I554" s="111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>
      <c r="A555" s="96"/>
      <c r="B555" s="96"/>
      <c r="C555" s="96"/>
      <c r="D555" s="96"/>
      <c r="E555" s="96"/>
      <c r="F555" s="96"/>
      <c r="G555" s="96"/>
      <c r="H555" s="96"/>
      <c r="I555" s="111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>
      <c r="A556" s="96"/>
      <c r="B556" s="96"/>
      <c r="C556" s="96"/>
      <c r="D556" s="96"/>
      <c r="E556" s="96"/>
      <c r="F556" s="96"/>
      <c r="G556" s="96"/>
      <c r="H556" s="96"/>
      <c r="I556" s="111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>
      <c r="A557" s="96"/>
      <c r="B557" s="96"/>
      <c r="C557" s="96"/>
      <c r="D557" s="96"/>
      <c r="E557" s="96"/>
      <c r="F557" s="96"/>
      <c r="G557" s="96"/>
      <c r="H557" s="96"/>
      <c r="I557" s="111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>
      <c r="A558" s="96"/>
      <c r="B558" s="96"/>
      <c r="C558" s="96"/>
      <c r="D558" s="96"/>
      <c r="E558" s="96"/>
      <c r="F558" s="96"/>
      <c r="G558" s="96"/>
      <c r="H558" s="96"/>
      <c r="I558" s="111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>
      <c r="A559" s="96"/>
      <c r="B559" s="96"/>
      <c r="C559" s="96"/>
      <c r="D559" s="96"/>
      <c r="E559" s="96"/>
      <c r="F559" s="96"/>
      <c r="G559" s="96"/>
      <c r="H559" s="96"/>
      <c r="I559" s="111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>
      <c r="A560" s="96"/>
      <c r="B560" s="96"/>
      <c r="C560" s="96"/>
      <c r="D560" s="96"/>
      <c r="E560" s="96"/>
      <c r="F560" s="96"/>
      <c r="G560" s="96"/>
      <c r="H560" s="96"/>
      <c r="I560" s="111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>
      <c r="A561" s="96"/>
      <c r="B561" s="96"/>
      <c r="C561" s="96"/>
      <c r="D561" s="96"/>
      <c r="E561" s="96"/>
      <c r="F561" s="96"/>
      <c r="G561" s="96"/>
      <c r="H561" s="96"/>
      <c r="I561" s="111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>
      <c r="A562" s="96"/>
      <c r="B562" s="96"/>
      <c r="C562" s="96"/>
      <c r="D562" s="96"/>
      <c r="E562" s="96"/>
      <c r="F562" s="96"/>
      <c r="G562" s="96"/>
      <c r="H562" s="96"/>
      <c r="I562" s="111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>
      <c r="A563" s="96"/>
      <c r="B563" s="96"/>
      <c r="C563" s="96"/>
      <c r="D563" s="96"/>
      <c r="E563" s="96"/>
      <c r="F563" s="96"/>
      <c r="G563" s="96"/>
      <c r="H563" s="96"/>
      <c r="I563" s="111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>
      <c r="A564" s="96"/>
      <c r="B564" s="96"/>
      <c r="C564" s="96"/>
      <c r="D564" s="96"/>
      <c r="E564" s="96"/>
      <c r="F564" s="96"/>
      <c r="G564" s="96"/>
      <c r="H564" s="96"/>
      <c r="I564" s="111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>
      <c r="A565" s="96"/>
      <c r="B565" s="96"/>
      <c r="C565" s="96"/>
      <c r="D565" s="96"/>
      <c r="E565" s="96"/>
      <c r="F565" s="96"/>
      <c r="G565" s="96"/>
      <c r="H565" s="96"/>
      <c r="I565" s="111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>
      <c r="A566" s="96"/>
      <c r="B566" s="96"/>
      <c r="C566" s="96"/>
      <c r="D566" s="96"/>
      <c r="E566" s="96"/>
      <c r="F566" s="96"/>
      <c r="G566" s="96"/>
      <c r="H566" s="96"/>
      <c r="I566" s="111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>
      <c r="A567" s="96"/>
      <c r="B567" s="96"/>
      <c r="C567" s="96"/>
      <c r="D567" s="96"/>
      <c r="E567" s="96"/>
      <c r="F567" s="96"/>
      <c r="G567" s="96"/>
      <c r="H567" s="96"/>
      <c r="I567" s="111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>
      <c r="A568" s="96"/>
      <c r="B568" s="96"/>
      <c r="C568" s="96"/>
      <c r="D568" s="96"/>
      <c r="E568" s="96"/>
      <c r="F568" s="96"/>
      <c r="G568" s="96"/>
      <c r="H568" s="96"/>
      <c r="I568" s="111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>
      <c r="A569" s="96"/>
      <c r="B569" s="96"/>
      <c r="C569" s="96"/>
      <c r="D569" s="96"/>
      <c r="E569" s="96"/>
      <c r="F569" s="96"/>
      <c r="G569" s="96"/>
      <c r="H569" s="96"/>
      <c r="I569" s="111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>
      <c r="A570" s="96"/>
      <c r="B570" s="96"/>
      <c r="C570" s="96"/>
      <c r="D570" s="96"/>
      <c r="E570" s="96"/>
      <c r="F570" s="96"/>
      <c r="G570" s="96"/>
      <c r="H570" s="96"/>
      <c r="I570" s="111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>
      <c r="A571" s="96"/>
      <c r="B571" s="96"/>
      <c r="C571" s="96"/>
      <c r="D571" s="96"/>
      <c r="E571" s="96"/>
      <c r="F571" s="96"/>
      <c r="G571" s="96"/>
      <c r="H571" s="96"/>
      <c r="I571" s="111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>
      <c r="A572" s="96"/>
      <c r="B572" s="96"/>
      <c r="C572" s="96"/>
      <c r="D572" s="96"/>
      <c r="E572" s="96"/>
      <c r="F572" s="96"/>
      <c r="G572" s="96"/>
      <c r="H572" s="96"/>
      <c r="I572" s="111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>
      <c r="A573" s="96"/>
      <c r="B573" s="96"/>
      <c r="C573" s="96"/>
      <c r="D573" s="96"/>
      <c r="E573" s="96"/>
      <c r="F573" s="96"/>
      <c r="G573" s="96"/>
      <c r="H573" s="96"/>
      <c r="I573" s="111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>
      <c r="A574" s="96"/>
      <c r="B574" s="96"/>
      <c r="C574" s="96"/>
      <c r="D574" s="96"/>
      <c r="E574" s="96"/>
      <c r="F574" s="96"/>
      <c r="G574" s="96"/>
      <c r="H574" s="96"/>
      <c r="I574" s="111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>
      <c r="A575" s="96"/>
      <c r="B575" s="96"/>
      <c r="C575" s="96"/>
      <c r="D575" s="96"/>
      <c r="E575" s="96"/>
      <c r="F575" s="96"/>
      <c r="G575" s="96"/>
      <c r="H575" s="96"/>
      <c r="I575" s="111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>
      <c r="A576" s="96"/>
      <c r="B576" s="96"/>
      <c r="C576" s="96"/>
      <c r="D576" s="96"/>
      <c r="E576" s="96"/>
      <c r="F576" s="96"/>
      <c r="G576" s="96"/>
      <c r="H576" s="96"/>
      <c r="I576" s="111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>
      <c r="A577" s="96"/>
      <c r="B577" s="96"/>
      <c r="C577" s="96"/>
      <c r="D577" s="96"/>
      <c r="E577" s="96"/>
      <c r="F577" s="96"/>
      <c r="G577" s="96"/>
      <c r="H577" s="96"/>
      <c r="I577" s="111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>
      <c r="A578" s="96"/>
      <c r="B578" s="96"/>
      <c r="C578" s="96"/>
      <c r="D578" s="96"/>
      <c r="E578" s="96"/>
      <c r="F578" s="96"/>
      <c r="G578" s="96"/>
      <c r="H578" s="96"/>
      <c r="I578" s="111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>
      <c r="A579" s="96"/>
      <c r="B579" s="96"/>
      <c r="C579" s="96"/>
      <c r="D579" s="96"/>
      <c r="E579" s="96"/>
      <c r="F579" s="96"/>
      <c r="G579" s="96"/>
      <c r="H579" s="96"/>
      <c r="I579" s="111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>
      <c r="A580" s="96"/>
      <c r="B580" s="96"/>
      <c r="C580" s="96"/>
      <c r="D580" s="96"/>
      <c r="E580" s="96"/>
      <c r="F580" s="96"/>
      <c r="G580" s="96"/>
      <c r="H580" s="96"/>
      <c r="I580" s="111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>
      <c r="A581" s="96"/>
      <c r="B581" s="96"/>
      <c r="C581" s="96"/>
      <c r="D581" s="96"/>
      <c r="E581" s="96"/>
      <c r="F581" s="96"/>
      <c r="G581" s="96"/>
      <c r="H581" s="96"/>
      <c r="I581" s="111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>
      <c r="A582" s="96"/>
      <c r="B582" s="96"/>
      <c r="C582" s="96"/>
      <c r="D582" s="96"/>
      <c r="E582" s="96"/>
      <c r="F582" s="96"/>
      <c r="G582" s="96"/>
      <c r="H582" s="96"/>
      <c r="I582" s="111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>
      <c r="A583" s="96"/>
      <c r="B583" s="96"/>
      <c r="C583" s="96"/>
      <c r="D583" s="96"/>
      <c r="E583" s="96"/>
      <c r="F583" s="96"/>
      <c r="G583" s="96"/>
      <c r="H583" s="96"/>
      <c r="I583" s="111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>
      <c r="A584" s="96"/>
      <c r="B584" s="96"/>
      <c r="C584" s="96"/>
      <c r="D584" s="96"/>
      <c r="E584" s="96"/>
      <c r="F584" s="96"/>
      <c r="G584" s="96"/>
      <c r="H584" s="96"/>
      <c r="I584" s="111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>
      <c r="A585" s="96"/>
      <c r="B585" s="96"/>
      <c r="C585" s="96"/>
      <c r="D585" s="96"/>
      <c r="E585" s="96"/>
      <c r="F585" s="96"/>
      <c r="G585" s="96"/>
      <c r="H585" s="96"/>
      <c r="I585" s="111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>
      <c r="A586" s="96"/>
      <c r="B586" s="96"/>
      <c r="C586" s="96"/>
      <c r="D586" s="96"/>
      <c r="E586" s="96"/>
      <c r="F586" s="96"/>
      <c r="G586" s="96"/>
      <c r="H586" s="96"/>
      <c r="I586" s="111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>
      <c r="A587" s="96"/>
      <c r="B587" s="96"/>
      <c r="C587" s="96"/>
      <c r="D587" s="96"/>
      <c r="E587" s="96"/>
      <c r="F587" s="96"/>
      <c r="G587" s="96"/>
      <c r="H587" s="96"/>
      <c r="I587" s="111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>
      <c r="A588" s="96"/>
      <c r="B588" s="96"/>
      <c r="C588" s="96"/>
      <c r="D588" s="96"/>
      <c r="E588" s="96"/>
      <c r="F588" s="96"/>
      <c r="G588" s="96"/>
      <c r="H588" s="96"/>
      <c r="I588" s="111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>
      <c r="A589" s="96"/>
      <c r="B589" s="96"/>
      <c r="C589" s="96"/>
      <c r="D589" s="96"/>
      <c r="E589" s="96"/>
      <c r="F589" s="96"/>
      <c r="G589" s="96"/>
      <c r="H589" s="96"/>
      <c r="I589" s="111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>
      <c r="A590" s="96"/>
      <c r="B590" s="96"/>
      <c r="C590" s="96"/>
      <c r="D590" s="96"/>
      <c r="E590" s="96"/>
      <c r="F590" s="96"/>
      <c r="G590" s="96"/>
      <c r="H590" s="96"/>
      <c r="I590" s="111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>
      <c r="A591" s="96"/>
      <c r="B591" s="96"/>
      <c r="C591" s="96"/>
      <c r="D591" s="96"/>
      <c r="E591" s="96"/>
      <c r="F591" s="96"/>
      <c r="G591" s="96"/>
      <c r="H591" s="96"/>
      <c r="I591" s="111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>
      <c r="A592" s="96"/>
      <c r="B592" s="96"/>
      <c r="C592" s="96"/>
      <c r="D592" s="96"/>
      <c r="E592" s="96"/>
      <c r="F592" s="96"/>
      <c r="G592" s="96"/>
      <c r="H592" s="96"/>
      <c r="I592" s="111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>
      <c r="A593" s="96"/>
      <c r="B593" s="96"/>
      <c r="C593" s="96"/>
      <c r="D593" s="96"/>
      <c r="E593" s="96"/>
      <c r="F593" s="96"/>
      <c r="G593" s="96"/>
      <c r="H593" s="96"/>
      <c r="I593" s="111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>
      <c r="A594" s="96"/>
      <c r="B594" s="96"/>
      <c r="C594" s="96"/>
      <c r="D594" s="96"/>
      <c r="E594" s="96"/>
      <c r="F594" s="96"/>
      <c r="G594" s="96"/>
      <c r="H594" s="96"/>
      <c r="I594" s="111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>
      <c r="A595" s="96"/>
      <c r="B595" s="96"/>
      <c r="C595" s="96"/>
      <c r="D595" s="96"/>
      <c r="E595" s="96"/>
      <c r="F595" s="96"/>
      <c r="G595" s="96"/>
      <c r="H595" s="96"/>
      <c r="I595" s="111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>
      <c r="A596" s="96"/>
      <c r="B596" s="96"/>
      <c r="C596" s="96"/>
      <c r="D596" s="96"/>
      <c r="E596" s="96"/>
      <c r="F596" s="96"/>
      <c r="G596" s="96"/>
      <c r="H596" s="96"/>
      <c r="I596" s="111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>
      <c r="A597" s="96"/>
      <c r="B597" s="96"/>
      <c r="C597" s="96"/>
      <c r="D597" s="96"/>
      <c r="E597" s="96"/>
      <c r="F597" s="96"/>
      <c r="G597" s="96"/>
      <c r="H597" s="96"/>
      <c r="I597" s="111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>
      <c r="A598" s="96"/>
      <c r="B598" s="96"/>
      <c r="C598" s="96"/>
      <c r="D598" s="96"/>
      <c r="E598" s="96"/>
      <c r="F598" s="96"/>
      <c r="G598" s="96"/>
      <c r="H598" s="96"/>
      <c r="I598" s="111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>
      <c r="A599" s="96"/>
      <c r="B599" s="96"/>
      <c r="C599" s="96"/>
      <c r="D599" s="96"/>
      <c r="E599" s="96"/>
      <c r="F599" s="96"/>
      <c r="G599" s="96"/>
      <c r="H599" s="96"/>
      <c r="I599" s="111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>
      <c r="A600" s="96"/>
      <c r="B600" s="96"/>
      <c r="C600" s="96"/>
      <c r="D600" s="96"/>
      <c r="E600" s="96"/>
      <c r="F600" s="96"/>
      <c r="G600" s="96"/>
      <c r="H600" s="96"/>
      <c r="I600" s="111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>
      <c r="A601" s="96"/>
      <c r="B601" s="96"/>
      <c r="C601" s="96"/>
      <c r="D601" s="96"/>
      <c r="E601" s="96"/>
      <c r="F601" s="96"/>
      <c r="G601" s="96"/>
      <c r="H601" s="96"/>
      <c r="I601" s="111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>
      <c r="A602" s="96"/>
      <c r="B602" s="96"/>
      <c r="C602" s="96"/>
      <c r="D602" s="96"/>
      <c r="E602" s="96"/>
      <c r="F602" s="96"/>
      <c r="G602" s="96"/>
      <c r="H602" s="96"/>
      <c r="I602" s="111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>
      <c r="A603" s="96"/>
      <c r="B603" s="96"/>
      <c r="C603" s="96"/>
      <c r="D603" s="96"/>
      <c r="E603" s="96"/>
      <c r="F603" s="96"/>
      <c r="G603" s="96"/>
      <c r="H603" s="96"/>
      <c r="I603" s="111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>
      <c r="A604" s="96"/>
      <c r="B604" s="96"/>
      <c r="C604" s="96"/>
      <c r="D604" s="96"/>
      <c r="E604" s="96"/>
      <c r="F604" s="96"/>
      <c r="G604" s="96"/>
      <c r="H604" s="96"/>
      <c r="I604" s="111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>
      <c r="A605" s="96"/>
      <c r="B605" s="96"/>
      <c r="C605" s="96"/>
      <c r="D605" s="96"/>
      <c r="E605" s="96"/>
      <c r="F605" s="96"/>
      <c r="G605" s="96"/>
      <c r="H605" s="96"/>
      <c r="I605" s="111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>
      <c r="A606" s="96"/>
      <c r="B606" s="96"/>
      <c r="C606" s="96"/>
      <c r="D606" s="96"/>
      <c r="E606" s="96"/>
      <c r="F606" s="96"/>
      <c r="G606" s="96"/>
      <c r="H606" s="96"/>
      <c r="I606" s="111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>
      <c r="A607" s="96"/>
      <c r="B607" s="96"/>
      <c r="C607" s="96"/>
      <c r="D607" s="96"/>
      <c r="E607" s="96"/>
      <c r="F607" s="96"/>
      <c r="G607" s="96"/>
      <c r="H607" s="96"/>
      <c r="I607" s="111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>
      <c r="A608" s="96"/>
      <c r="B608" s="96"/>
      <c r="C608" s="96"/>
      <c r="D608" s="96"/>
      <c r="E608" s="96"/>
      <c r="F608" s="96"/>
      <c r="G608" s="96"/>
      <c r="H608" s="96"/>
      <c r="I608" s="111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>
      <c r="A609" s="96"/>
      <c r="B609" s="96"/>
      <c r="C609" s="96"/>
      <c r="D609" s="96"/>
      <c r="E609" s="96"/>
      <c r="F609" s="96"/>
      <c r="G609" s="96"/>
      <c r="H609" s="96"/>
      <c r="I609" s="111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>
      <c r="A610" s="96"/>
      <c r="B610" s="96"/>
      <c r="C610" s="96"/>
      <c r="D610" s="96"/>
      <c r="E610" s="96"/>
      <c r="F610" s="96"/>
      <c r="G610" s="96"/>
      <c r="H610" s="96"/>
      <c r="I610" s="111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>
      <c r="A611" s="96"/>
      <c r="B611" s="96"/>
      <c r="C611" s="96"/>
      <c r="D611" s="96"/>
      <c r="E611" s="96"/>
      <c r="F611" s="96"/>
      <c r="G611" s="96"/>
      <c r="H611" s="96"/>
      <c r="I611" s="111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>
      <c r="A612" s="96"/>
      <c r="B612" s="96"/>
      <c r="C612" s="96"/>
      <c r="D612" s="96"/>
      <c r="E612" s="96"/>
      <c r="F612" s="96"/>
      <c r="G612" s="96"/>
      <c r="H612" s="96"/>
      <c r="I612" s="111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>
      <c r="A613" s="96"/>
      <c r="B613" s="96"/>
      <c r="C613" s="96"/>
      <c r="D613" s="96"/>
      <c r="E613" s="96"/>
      <c r="F613" s="96"/>
      <c r="G613" s="96"/>
      <c r="H613" s="96"/>
      <c r="I613" s="111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>
      <c r="A614" s="96"/>
      <c r="B614" s="96"/>
      <c r="C614" s="96"/>
      <c r="D614" s="96"/>
      <c r="E614" s="96"/>
      <c r="F614" s="96"/>
      <c r="G614" s="96"/>
      <c r="H614" s="96"/>
      <c r="I614" s="111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>
      <c r="A615" s="96"/>
      <c r="B615" s="96"/>
      <c r="C615" s="96"/>
      <c r="D615" s="96"/>
      <c r="E615" s="96"/>
      <c r="F615" s="96"/>
      <c r="G615" s="96"/>
      <c r="H615" s="96"/>
      <c r="I615" s="111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>
      <c r="A616" s="96"/>
      <c r="B616" s="96"/>
      <c r="C616" s="96"/>
      <c r="D616" s="96"/>
      <c r="E616" s="96"/>
      <c r="F616" s="96"/>
      <c r="G616" s="96"/>
      <c r="H616" s="96"/>
      <c r="I616" s="111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>
      <c r="A617" s="96"/>
      <c r="B617" s="96"/>
      <c r="C617" s="96"/>
      <c r="D617" s="96"/>
      <c r="E617" s="96"/>
      <c r="F617" s="96"/>
      <c r="G617" s="96"/>
      <c r="H617" s="96"/>
      <c r="I617" s="111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>
      <c r="A618" s="96"/>
      <c r="B618" s="96"/>
      <c r="C618" s="96"/>
      <c r="D618" s="96"/>
      <c r="E618" s="96"/>
      <c r="F618" s="96"/>
      <c r="G618" s="96"/>
      <c r="H618" s="96"/>
      <c r="I618" s="111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>
      <c r="A619" s="96"/>
      <c r="B619" s="96"/>
      <c r="C619" s="96"/>
      <c r="D619" s="96"/>
      <c r="E619" s="96"/>
      <c r="F619" s="96"/>
      <c r="G619" s="96"/>
      <c r="H619" s="96"/>
      <c r="I619" s="111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>
      <c r="A620" s="96"/>
      <c r="B620" s="96"/>
      <c r="C620" s="96"/>
      <c r="D620" s="96"/>
      <c r="E620" s="96"/>
      <c r="F620" s="96"/>
      <c r="G620" s="96"/>
      <c r="H620" s="96"/>
      <c r="I620" s="111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>
      <c r="A621" s="96"/>
      <c r="B621" s="96"/>
      <c r="C621" s="96"/>
      <c r="D621" s="96"/>
      <c r="E621" s="96"/>
      <c r="F621" s="96"/>
      <c r="G621" s="96"/>
      <c r="H621" s="96"/>
      <c r="I621" s="111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>
      <c r="A622" s="96"/>
      <c r="B622" s="96"/>
      <c r="C622" s="96"/>
      <c r="D622" s="96"/>
      <c r="E622" s="96"/>
      <c r="F622" s="96"/>
      <c r="G622" s="96"/>
      <c r="H622" s="96"/>
      <c r="I622" s="111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>
      <c r="A623" s="96"/>
      <c r="B623" s="96"/>
      <c r="C623" s="96"/>
      <c r="D623" s="96"/>
      <c r="E623" s="96"/>
      <c r="F623" s="96"/>
      <c r="G623" s="96"/>
      <c r="H623" s="96"/>
      <c r="I623" s="111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>
      <c r="A624" s="96"/>
      <c r="B624" s="96"/>
      <c r="C624" s="96"/>
      <c r="D624" s="96"/>
      <c r="E624" s="96"/>
      <c r="F624" s="96"/>
      <c r="G624" s="96"/>
      <c r="H624" s="96"/>
      <c r="I624" s="111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>
      <c r="A625" s="96"/>
      <c r="B625" s="96"/>
      <c r="C625" s="96"/>
      <c r="D625" s="96"/>
      <c r="E625" s="96"/>
      <c r="F625" s="96"/>
      <c r="G625" s="96"/>
      <c r="H625" s="96"/>
      <c r="I625" s="111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>
      <c r="A626" s="96"/>
      <c r="B626" s="96"/>
      <c r="C626" s="96"/>
      <c r="D626" s="96"/>
      <c r="E626" s="96"/>
      <c r="F626" s="96"/>
      <c r="G626" s="96"/>
      <c r="H626" s="96"/>
      <c r="I626" s="111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>
      <c r="A627" s="96"/>
      <c r="B627" s="96"/>
      <c r="C627" s="96"/>
      <c r="D627" s="96"/>
      <c r="E627" s="96"/>
      <c r="F627" s="96"/>
      <c r="G627" s="96"/>
      <c r="H627" s="96"/>
      <c r="I627" s="111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>
      <c r="A628" s="96"/>
      <c r="B628" s="96"/>
      <c r="C628" s="96"/>
      <c r="D628" s="96"/>
      <c r="E628" s="96"/>
      <c r="F628" s="96"/>
      <c r="G628" s="96"/>
      <c r="H628" s="96"/>
      <c r="I628" s="111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>
      <c r="A629" s="96"/>
      <c r="B629" s="96"/>
      <c r="C629" s="96"/>
      <c r="D629" s="96"/>
      <c r="E629" s="96"/>
      <c r="F629" s="96"/>
      <c r="G629" s="96"/>
      <c r="H629" s="96"/>
      <c r="I629" s="111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>
      <c r="A630" s="96"/>
      <c r="B630" s="96"/>
      <c r="C630" s="96"/>
      <c r="D630" s="96"/>
      <c r="E630" s="96"/>
      <c r="F630" s="96"/>
      <c r="G630" s="96"/>
      <c r="H630" s="96"/>
      <c r="I630" s="111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>
      <c r="A631" s="96"/>
      <c r="B631" s="96"/>
      <c r="C631" s="96"/>
      <c r="D631" s="96"/>
      <c r="E631" s="96"/>
      <c r="F631" s="96"/>
      <c r="G631" s="96"/>
      <c r="H631" s="96"/>
      <c r="I631" s="111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>
      <c r="A632" s="96"/>
      <c r="B632" s="96"/>
      <c r="C632" s="96"/>
      <c r="D632" s="96"/>
      <c r="E632" s="96"/>
      <c r="F632" s="96"/>
      <c r="G632" s="96"/>
      <c r="H632" s="96"/>
      <c r="I632" s="111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>
      <c r="A633" s="96"/>
      <c r="B633" s="96"/>
      <c r="C633" s="96"/>
      <c r="D633" s="96"/>
      <c r="E633" s="96"/>
      <c r="F633" s="96"/>
      <c r="G633" s="96"/>
      <c r="H633" s="96"/>
      <c r="I633" s="111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>
      <c r="A634" s="96"/>
      <c r="B634" s="96"/>
      <c r="C634" s="96"/>
      <c r="D634" s="96"/>
      <c r="E634" s="96"/>
      <c r="F634" s="96"/>
      <c r="G634" s="96"/>
      <c r="H634" s="96"/>
      <c r="I634" s="111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>
      <c r="A635" s="96"/>
      <c r="B635" s="96"/>
      <c r="C635" s="96"/>
      <c r="D635" s="96"/>
      <c r="E635" s="96"/>
      <c r="F635" s="96"/>
      <c r="G635" s="96"/>
      <c r="H635" s="96"/>
      <c r="I635" s="111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>
      <c r="A636" s="96"/>
      <c r="B636" s="96"/>
      <c r="C636" s="96"/>
      <c r="D636" s="96"/>
      <c r="E636" s="96"/>
      <c r="F636" s="96"/>
      <c r="G636" s="96"/>
      <c r="H636" s="96"/>
      <c r="I636" s="111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>
      <c r="A637" s="96"/>
      <c r="B637" s="96"/>
      <c r="C637" s="96"/>
      <c r="D637" s="96"/>
      <c r="E637" s="96"/>
      <c r="F637" s="96"/>
      <c r="G637" s="96"/>
      <c r="H637" s="96"/>
      <c r="I637" s="111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>
      <c r="A638" s="96"/>
      <c r="B638" s="96"/>
      <c r="C638" s="96"/>
      <c r="D638" s="96"/>
      <c r="E638" s="96"/>
      <c r="F638" s="96"/>
      <c r="G638" s="96"/>
      <c r="H638" s="96"/>
      <c r="I638" s="111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>
      <c r="A639" s="96"/>
      <c r="B639" s="96"/>
      <c r="C639" s="96"/>
      <c r="D639" s="96"/>
      <c r="E639" s="96"/>
      <c r="F639" s="96"/>
      <c r="G639" s="96"/>
      <c r="H639" s="96"/>
      <c r="I639" s="111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>
      <c r="A640" s="96"/>
      <c r="B640" s="96"/>
      <c r="C640" s="96"/>
      <c r="D640" s="96"/>
      <c r="E640" s="96"/>
      <c r="F640" s="96"/>
      <c r="G640" s="96"/>
      <c r="H640" s="96"/>
      <c r="I640" s="111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>
      <c r="A641" s="96"/>
      <c r="B641" s="96"/>
      <c r="C641" s="96"/>
      <c r="D641" s="96"/>
      <c r="E641" s="96"/>
      <c r="F641" s="96"/>
      <c r="G641" s="96"/>
      <c r="H641" s="96"/>
      <c r="I641" s="111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>
      <c r="A642" s="96"/>
      <c r="B642" s="96"/>
      <c r="C642" s="96"/>
      <c r="D642" s="96"/>
      <c r="E642" s="96"/>
      <c r="F642" s="96"/>
      <c r="G642" s="96"/>
      <c r="H642" s="96"/>
      <c r="I642" s="111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>
      <c r="A643" s="96"/>
      <c r="B643" s="96"/>
      <c r="C643" s="96"/>
      <c r="D643" s="96"/>
      <c r="E643" s="96"/>
      <c r="F643" s="96"/>
      <c r="G643" s="96"/>
      <c r="H643" s="96"/>
      <c r="I643" s="111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>
      <c r="A644" s="96"/>
      <c r="B644" s="96"/>
      <c r="C644" s="96"/>
      <c r="D644" s="96"/>
      <c r="E644" s="96"/>
      <c r="F644" s="96"/>
      <c r="G644" s="96"/>
      <c r="H644" s="96"/>
      <c r="I644" s="111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>
      <c r="A645" s="96"/>
      <c r="B645" s="96"/>
      <c r="C645" s="96"/>
      <c r="D645" s="96"/>
      <c r="E645" s="96"/>
      <c r="F645" s="96"/>
      <c r="G645" s="96"/>
      <c r="H645" s="96"/>
      <c r="I645" s="111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>
      <c r="A646" s="96"/>
      <c r="B646" s="96"/>
      <c r="C646" s="96"/>
      <c r="D646" s="96"/>
      <c r="E646" s="96"/>
      <c r="F646" s="96"/>
      <c r="G646" s="96"/>
      <c r="H646" s="96"/>
      <c r="I646" s="111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>
      <c r="A647" s="96"/>
      <c r="B647" s="96"/>
      <c r="C647" s="96"/>
      <c r="D647" s="96"/>
      <c r="E647" s="96"/>
      <c r="F647" s="96"/>
      <c r="G647" s="96"/>
      <c r="H647" s="96"/>
      <c r="I647" s="111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>
      <c r="A648" s="96"/>
      <c r="B648" s="96"/>
      <c r="C648" s="96"/>
      <c r="D648" s="96"/>
      <c r="E648" s="96"/>
      <c r="F648" s="96"/>
      <c r="G648" s="96"/>
      <c r="H648" s="96"/>
      <c r="I648" s="111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>
      <c r="A649" s="96"/>
      <c r="B649" s="96"/>
      <c r="C649" s="96"/>
      <c r="D649" s="96"/>
      <c r="E649" s="96"/>
      <c r="F649" s="96"/>
      <c r="G649" s="96"/>
      <c r="H649" s="96"/>
      <c r="I649" s="111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>
      <c r="A650" s="96"/>
      <c r="B650" s="96"/>
      <c r="C650" s="96"/>
      <c r="D650" s="96"/>
      <c r="E650" s="96"/>
      <c r="F650" s="96"/>
      <c r="G650" s="96"/>
      <c r="H650" s="96"/>
      <c r="I650" s="111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>
      <c r="A651" s="96"/>
      <c r="B651" s="96"/>
      <c r="C651" s="96"/>
      <c r="D651" s="96"/>
      <c r="E651" s="96"/>
      <c r="F651" s="96"/>
      <c r="G651" s="96"/>
      <c r="H651" s="96"/>
      <c r="I651" s="111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>
      <c r="A652" s="96"/>
      <c r="B652" s="96"/>
      <c r="C652" s="96"/>
      <c r="D652" s="96"/>
      <c r="E652" s="96"/>
      <c r="F652" s="96"/>
      <c r="G652" s="96"/>
      <c r="H652" s="96"/>
      <c r="I652" s="111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>
      <c r="A653" s="96"/>
      <c r="B653" s="96"/>
      <c r="C653" s="96"/>
      <c r="D653" s="96"/>
      <c r="E653" s="96"/>
      <c r="F653" s="96"/>
      <c r="G653" s="96"/>
      <c r="H653" s="96"/>
      <c r="I653" s="111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>
      <c r="A654" s="96"/>
      <c r="B654" s="96"/>
      <c r="C654" s="96"/>
      <c r="D654" s="96"/>
      <c r="E654" s="96"/>
      <c r="F654" s="96"/>
      <c r="G654" s="96"/>
      <c r="H654" s="96"/>
      <c r="I654" s="111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>
      <c r="A655" s="96"/>
      <c r="B655" s="96"/>
      <c r="C655" s="96"/>
      <c r="D655" s="96"/>
      <c r="E655" s="96"/>
      <c r="F655" s="96"/>
      <c r="G655" s="96"/>
      <c r="H655" s="96"/>
      <c r="I655" s="111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>
      <c r="A656" s="96"/>
      <c r="B656" s="96"/>
      <c r="C656" s="96"/>
      <c r="D656" s="96"/>
      <c r="E656" s="96"/>
      <c r="F656" s="96"/>
      <c r="G656" s="96"/>
      <c r="H656" s="96"/>
      <c r="I656" s="111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>
      <c r="A657" s="96"/>
      <c r="B657" s="96"/>
      <c r="C657" s="96"/>
      <c r="D657" s="96"/>
      <c r="E657" s="96"/>
      <c r="F657" s="96"/>
      <c r="G657" s="96"/>
      <c r="H657" s="96"/>
      <c r="I657" s="111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>
      <c r="A658" s="96"/>
      <c r="B658" s="96"/>
      <c r="C658" s="96"/>
      <c r="D658" s="96"/>
      <c r="E658" s="96"/>
      <c r="F658" s="96"/>
      <c r="G658" s="96"/>
      <c r="H658" s="96"/>
      <c r="I658" s="111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>
      <c r="A659" s="96"/>
      <c r="B659" s="96"/>
      <c r="C659" s="96"/>
      <c r="D659" s="96"/>
      <c r="E659" s="96"/>
      <c r="F659" s="96"/>
      <c r="G659" s="96"/>
      <c r="H659" s="96"/>
      <c r="I659" s="111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>
      <c r="A660" s="96"/>
      <c r="B660" s="96"/>
      <c r="C660" s="96"/>
      <c r="D660" s="96"/>
      <c r="E660" s="96"/>
      <c r="F660" s="96"/>
      <c r="G660" s="96"/>
      <c r="H660" s="96"/>
      <c r="I660" s="111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>
      <c r="A661" s="96"/>
      <c r="B661" s="96"/>
      <c r="C661" s="96"/>
      <c r="D661" s="96"/>
      <c r="E661" s="96"/>
      <c r="F661" s="96"/>
      <c r="G661" s="96"/>
      <c r="H661" s="96"/>
      <c r="I661" s="111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>
      <c r="A662" s="96"/>
      <c r="B662" s="96"/>
      <c r="C662" s="96"/>
      <c r="D662" s="96"/>
      <c r="E662" s="96"/>
      <c r="F662" s="96"/>
      <c r="G662" s="96"/>
      <c r="H662" s="96"/>
      <c r="I662" s="111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>
      <c r="A663" s="96"/>
      <c r="B663" s="96"/>
      <c r="C663" s="96"/>
      <c r="D663" s="96"/>
      <c r="E663" s="96"/>
      <c r="F663" s="96"/>
      <c r="G663" s="96"/>
      <c r="H663" s="96"/>
      <c r="I663" s="111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>
      <c r="A664" s="96"/>
      <c r="B664" s="96"/>
      <c r="C664" s="96"/>
      <c r="D664" s="96"/>
      <c r="E664" s="96"/>
      <c r="F664" s="96"/>
      <c r="G664" s="96"/>
      <c r="H664" s="96"/>
      <c r="I664" s="111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>
      <c r="A665" s="96"/>
      <c r="B665" s="96"/>
      <c r="C665" s="96"/>
      <c r="D665" s="96"/>
      <c r="E665" s="96"/>
      <c r="F665" s="96"/>
      <c r="G665" s="96"/>
      <c r="H665" s="96"/>
      <c r="I665" s="111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>
      <c r="A666" s="96"/>
      <c r="B666" s="96"/>
      <c r="C666" s="96"/>
      <c r="D666" s="96"/>
      <c r="E666" s="96"/>
      <c r="F666" s="96"/>
      <c r="G666" s="96"/>
      <c r="H666" s="96"/>
      <c r="I666" s="111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>
      <c r="A667" s="96"/>
      <c r="B667" s="96"/>
      <c r="C667" s="96"/>
      <c r="D667" s="96"/>
      <c r="E667" s="96"/>
      <c r="F667" s="96"/>
      <c r="G667" s="96"/>
      <c r="H667" s="96"/>
      <c r="I667" s="111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>
      <c r="A668" s="96"/>
      <c r="B668" s="96"/>
      <c r="C668" s="96"/>
      <c r="D668" s="96"/>
      <c r="E668" s="96"/>
      <c r="F668" s="96"/>
      <c r="G668" s="96"/>
      <c r="H668" s="96"/>
      <c r="I668" s="111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>
      <c r="A669" s="96"/>
      <c r="B669" s="96"/>
      <c r="C669" s="96"/>
      <c r="D669" s="96"/>
      <c r="E669" s="96"/>
      <c r="F669" s="96"/>
      <c r="G669" s="96"/>
      <c r="H669" s="96"/>
      <c r="I669" s="111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>
      <c r="A670" s="96"/>
      <c r="B670" s="96"/>
      <c r="C670" s="96"/>
      <c r="D670" s="96"/>
      <c r="E670" s="96"/>
      <c r="F670" s="96"/>
      <c r="G670" s="96"/>
      <c r="H670" s="96"/>
      <c r="I670" s="111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>
      <c r="A671" s="96"/>
      <c r="B671" s="96"/>
      <c r="C671" s="96"/>
      <c r="D671" s="96"/>
      <c r="E671" s="96"/>
      <c r="F671" s="96"/>
      <c r="G671" s="96"/>
      <c r="H671" s="96"/>
      <c r="I671" s="111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>
      <c r="A672" s="96"/>
      <c r="B672" s="96"/>
      <c r="C672" s="96"/>
      <c r="D672" s="96"/>
      <c r="E672" s="96"/>
      <c r="F672" s="96"/>
      <c r="G672" s="96"/>
      <c r="H672" s="96"/>
      <c r="I672" s="111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>
      <c r="A673" s="96"/>
      <c r="B673" s="96"/>
      <c r="C673" s="96"/>
      <c r="D673" s="96"/>
      <c r="E673" s="96"/>
      <c r="F673" s="96"/>
      <c r="G673" s="96"/>
      <c r="H673" s="96"/>
      <c r="I673" s="111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>
      <c r="A674" s="96"/>
      <c r="B674" s="96"/>
      <c r="C674" s="96"/>
      <c r="D674" s="96"/>
      <c r="E674" s="96"/>
      <c r="F674" s="96"/>
      <c r="G674" s="96"/>
      <c r="H674" s="96"/>
      <c r="I674" s="111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>
      <c r="A675" s="96"/>
      <c r="B675" s="96"/>
      <c r="C675" s="96"/>
      <c r="D675" s="96"/>
      <c r="E675" s="96"/>
      <c r="F675" s="96"/>
      <c r="G675" s="96"/>
      <c r="H675" s="96"/>
      <c r="I675" s="111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>
      <c r="A676" s="96"/>
      <c r="B676" s="96"/>
      <c r="C676" s="96"/>
      <c r="D676" s="96"/>
      <c r="E676" s="96"/>
      <c r="F676" s="96"/>
      <c r="G676" s="96"/>
      <c r="H676" s="96"/>
      <c r="I676" s="111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>
      <c r="A677" s="96"/>
      <c r="B677" s="96"/>
      <c r="C677" s="96"/>
      <c r="D677" s="96"/>
      <c r="E677" s="96"/>
      <c r="F677" s="96"/>
      <c r="G677" s="96"/>
      <c r="H677" s="96"/>
      <c r="I677" s="111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>
      <c r="A678" s="96"/>
      <c r="B678" s="96"/>
      <c r="C678" s="96"/>
      <c r="D678" s="96"/>
      <c r="E678" s="96"/>
      <c r="F678" s="96"/>
      <c r="G678" s="96"/>
      <c r="H678" s="96"/>
      <c r="I678" s="111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>
      <c r="A679" s="96"/>
      <c r="B679" s="96"/>
      <c r="C679" s="96"/>
      <c r="D679" s="96"/>
      <c r="E679" s="96"/>
      <c r="F679" s="96"/>
      <c r="G679" s="96"/>
      <c r="H679" s="96"/>
      <c r="I679" s="111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>
      <c r="A680" s="96"/>
      <c r="B680" s="96"/>
      <c r="C680" s="96"/>
      <c r="D680" s="96"/>
      <c r="E680" s="96"/>
      <c r="F680" s="96"/>
      <c r="G680" s="96"/>
      <c r="H680" s="96"/>
      <c r="I680" s="111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>
      <c r="A681" s="96"/>
      <c r="B681" s="96"/>
      <c r="C681" s="96"/>
      <c r="D681" s="96"/>
      <c r="E681" s="96"/>
      <c r="F681" s="96"/>
      <c r="G681" s="96"/>
      <c r="H681" s="96"/>
      <c r="I681" s="111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>
      <c r="A682" s="96"/>
      <c r="B682" s="96"/>
      <c r="C682" s="96"/>
      <c r="D682" s="96"/>
      <c r="E682" s="96"/>
      <c r="F682" s="96"/>
      <c r="G682" s="96"/>
      <c r="H682" s="96"/>
      <c r="I682" s="111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>
      <c r="A683" s="96"/>
      <c r="B683" s="96"/>
      <c r="C683" s="96"/>
      <c r="D683" s="96"/>
      <c r="E683" s="96"/>
      <c r="F683" s="96"/>
      <c r="G683" s="96"/>
      <c r="H683" s="96"/>
      <c r="I683" s="111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>
      <c r="A684" s="96"/>
      <c r="B684" s="96"/>
      <c r="C684" s="96"/>
      <c r="D684" s="96"/>
      <c r="E684" s="96"/>
      <c r="F684" s="96"/>
      <c r="G684" s="96"/>
      <c r="H684" s="96"/>
      <c r="I684" s="111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>
      <c r="A685" s="96"/>
      <c r="B685" s="96"/>
      <c r="C685" s="96"/>
      <c r="D685" s="96"/>
      <c r="E685" s="96"/>
      <c r="F685" s="96"/>
      <c r="G685" s="96"/>
      <c r="H685" s="96"/>
      <c r="I685" s="111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>
      <c r="A686" s="96"/>
      <c r="B686" s="96"/>
      <c r="C686" s="96"/>
      <c r="D686" s="96"/>
      <c r="E686" s="96"/>
      <c r="F686" s="96"/>
      <c r="G686" s="96"/>
      <c r="H686" s="96"/>
      <c r="I686" s="111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>
      <c r="A687" s="96"/>
      <c r="B687" s="96"/>
      <c r="C687" s="96"/>
      <c r="D687" s="96"/>
      <c r="E687" s="96"/>
      <c r="F687" s="96"/>
      <c r="G687" s="96"/>
      <c r="H687" s="96"/>
      <c r="I687" s="111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>
      <c r="A688" s="96"/>
      <c r="B688" s="96"/>
      <c r="C688" s="96"/>
      <c r="D688" s="96"/>
      <c r="E688" s="96"/>
      <c r="F688" s="96"/>
      <c r="G688" s="96"/>
      <c r="H688" s="96"/>
      <c r="I688" s="111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>
      <c r="A689" s="96"/>
      <c r="B689" s="96"/>
      <c r="C689" s="96"/>
      <c r="D689" s="96"/>
      <c r="E689" s="96"/>
      <c r="F689" s="96"/>
      <c r="G689" s="96"/>
      <c r="H689" s="96"/>
      <c r="I689" s="111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>
      <c r="A690" s="96"/>
      <c r="B690" s="96"/>
      <c r="C690" s="96"/>
      <c r="D690" s="96"/>
      <c r="E690" s="96"/>
      <c r="F690" s="96"/>
      <c r="G690" s="96"/>
      <c r="H690" s="96"/>
      <c r="I690" s="111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>
      <c r="A691" s="96"/>
      <c r="B691" s="96"/>
      <c r="C691" s="96"/>
      <c r="D691" s="96"/>
      <c r="E691" s="96"/>
      <c r="F691" s="96"/>
      <c r="G691" s="96"/>
      <c r="H691" s="96"/>
      <c r="I691" s="111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>
      <c r="A692" s="96"/>
      <c r="B692" s="96"/>
      <c r="C692" s="96"/>
      <c r="D692" s="96"/>
      <c r="E692" s="96"/>
      <c r="F692" s="96"/>
      <c r="G692" s="96"/>
      <c r="H692" s="96"/>
      <c r="I692" s="111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>
      <c r="A693" s="96"/>
      <c r="B693" s="96"/>
      <c r="C693" s="96"/>
      <c r="D693" s="96"/>
      <c r="E693" s="96"/>
      <c r="F693" s="96"/>
      <c r="G693" s="96"/>
      <c r="H693" s="96"/>
      <c r="I693" s="111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>
      <c r="A694" s="96"/>
      <c r="B694" s="96"/>
      <c r="C694" s="96"/>
      <c r="D694" s="96"/>
      <c r="E694" s="96"/>
      <c r="F694" s="96"/>
      <c r="G694" s="96"/>
      <c r="H694" s="96"/>
      <c r="I694" s="111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>
      <c r="A695" s="96"/>
      <c r="B695" s="96"/>
      <c r="C695" s="96"/>
      <c r="D695" s="96"/>
      <c r="E695" s="96"/>
      <c r="F695" s="96"/>
      <c r="G695" s="96"/>
      <c r="H695" s="96"/>
      <c r="I695" s="111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>
      <c r="A696" s="96"/>
      <c r="B696" s="96"/>
      <c r="C696" s="96"/>
      <c r="D696" s="96"/>
      <c r="E696" s="96"/>
      <c r="F696" s="96"/>
      <c r="G696" s="96"/>
      <c r="H696" s="96"/>
      <c r="I696" s="111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>
      <c r="A697" s="96"/>
      <c r="B697" s="96"/>
      <c r="C697" s="96"/>
      <c r="D697" s="96"/>
      <c r="E697" s="96"/>
      <c r="F697" s="96"/>
      <c r="G697" s="96"/>
      <c r="H697" s="96"/>
      <c r="I697" s="111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>
      <c r="A698" s="96"/>
      <c r="B698" s="96"/>
      <c r="C698" s="96"/>
      <c r="D698" s="96"/>
      <c r="E698" s="96"/>
      <c r="F698" s="96"/>
      <c r="G698" s="96"/>
      <c r="H698" s="96"/>
      <c r="I698" s="111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>
      <c r="A699" s="96"/>
      <c r="B699" s="96"/>
      <c r="C699" s="96"/>
      <c r="D699" s="96"/>
      <c r="E699" s="96"/>
      <c r="F699" s="96"/>
      <c r="G699" s="96"/>
      <c r="H699" s="96"/>
      <c r="I699" s="111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>
      <c r="A700" s="96"/>
      <c r="B700" s="96"/>
      <c r="C700" s="96"/>
      <c r="D700" s="96"/>
      <c r="E700" s="96"/>
      <c r="F700" s="96"/>
      <c r="G700" s="96"/>
      <c r="H700" s="96"/>
      <c r="I700" s="111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>
      <c r="A701" s="96"/>
      <c r="B701" s="96"/>
      <c r="C701" s="96"/>
      <c r="D701" s="96"/>
      <c r="E701" s="96"/>
      <c r="F701" s="96"/>
      <c r="G701" s="96"/>
      <c r="H701" s="96"/>
      <c r="I701" s="111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>
      <c r="A702" s="96"/>
      <c r="B702" s="96"/>
      <c r="C702" s="96"/>
      <c r="D702" s="96"/>
      <c r="E702" s="96"/>
      <c r="F702" s="96"/>
      <c r="G702" s="96"/>
      <c r="H702" s="96"/>
      <c r="I702" s="111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>
      <c r="A703" s="96"/>
      <c r="B703" s="96"/>
      <c r="C703" s="96"/>
      <c r="D703" s="96"/>
      <c r="E703" s="96"/>
      <c r="F703" s="96"/>
      <c r="G703" s="96"/>
      <c r="H703" s="96"/>
      <c r="I703" s="111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>
      <c r="A704" s="96"/>
      <c r="B704" s="96"/>
      <c r="C704" s="96"/>
      <c r="D704" s="96"/>
      <c r="E704" s="96"/>
      <c r="F704" s="96"/>
      <c r="G704" s="96"/>
      <c r="H704" s="96"/>
      <c r="I704" s="111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>
      <c r="A705" s="96"/>
      <c r="B705" s="96"/>
      <c r="C705" s="96"/>
      <c r="D705" s="96"/>
      <c r="E705" s="96"/>
      <c r="F705" s="96"/>
      <c r="G705" s="96"/>
      <c r="H705" s="96"/>
      <c r="I705" s="111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>
      <c r="A706" s="96"/>
      <c r="B706" s="96"/>
      <c r="C706" s="96"/>
      <c r="D706" s="96"/>
      <c r="E706" s="96"/>
      <c r="F706" s="96"/>
      <c r="G706" s="96"/>
      <c r="H706" s="96"/>
      <c r="I706" s="111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>
      <c r="A707" s="96"/>
      <c r="B707" s="96"/>
      <c r="C707" s="96"/>
      <c r="D707" s="96"/>
      <c r="E707" s="96"/>
      <c r="F707" s="96"/>
      <c r="G707" s="96"/>
      <c r="H707" s="96"/>
      <c r="I707" s="111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>
      <c r="A708" s="96"/>
      <c r="B708" s="96"/>
      <c r="C708" s="96"/>
      <c r="D708" s="96"/>
      <c r="E708" s="96"/>
      <c r="F708" s="96"/>
      <c r="G708" s="96"/>
      <c r="H708" s="96"/>
      <c r="I708" s="111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>
      <c r="A709" s="96"/>
      <c r="B709" s="96"/>
      <c r="C709" s="96"/>
      <c r="D709" s="96"/>
      <c r="E709" s="96"/>
      <c r="F709" s="96"/>
      <c r="G709" s="96"/>
      <c r="H709" s="96"/>
      <c r="I709" s="111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>
      <c r="A710" s="96"/>
      <c r="B710" s="96"/>
      <c r="C710" s="96"/>
      <c r="D710" s="96"/>
      <c r="E710" s="96"/>
      <c r="F710" s="96"/>
      <c r="G710" s="96"/>
      <c r="H710" s="96"/>
      <c r="I710" s="111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>
      <c r="A711" s="96"/>
      <c r="B711" s="96"/>
      <c r="C711" s="96"/>
      <c r="D711" s="96"/>
      <c r="E711" s="96"/>
      <c r="F711" s="96"/>
      <c r="G711" s="96"/>
      <c r="H711" s="96"/>
      <c r="I711" s="111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>
      <c r="A712" s="96"/>
      <c r="B712" s="96"/>
      <c r="C712" s="96"/>
      <c r="D712" s="96"/>
      <c r="E712" s="96"/>
      <c r="F712" s="96"/>
      <c r="G712" s="96"/>
      <c r="H712" s="96"/>
      <c r="I712" s="111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>
      <c r="A713" s="96"/>
      <c r="B713" s="96"/>
      <c r="C713" s="96"/>
      <c r="D713" s="96"/>
      <c r="E713" s="96"/>
      <c r="F713" s="96"/>
      <c r="G713" s="96"/>
      <c r="H713" s="96"/>
      <c r="I713" s="111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>
      <c r="A714" s="96"/>
      <c r="B714" s="96"/>
      <c r="C714" s="96"/>
      <c r="D714" s="96"/>
      <c r="E714" s="96"/>
      <c r="F714" s="96"/>
      <c r="G714" s="96"/>
      <c r="H714" s="96"/>
      <c r="I714" s="111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>
      <c r="A715" s="96"/>
      <c r="B715" s="96"/>
      <c r="C715" s="96"/>
      <c r="D715" s="96"/>
      <c r="E715" s="96"/>
      <c r="F715" s="96"/>
      <c r="G715" s="96"/>
      <c r="H715" s="96"/>
      <c r="I715" s="111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>
      <c r="A716" s="96"/>
      <c r="B716" s="96"/>
      <c r="C716" s="96"/>
      <c r="D716" s="96"/>
      <c r="E716" s="96"/>
      <c r="F716" s="96"/>
      <c r="G716" s="96"/>
      <c r="H716" s="96"/>
      <c r="I716" s="111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>
      <c r="A717" s="96"/>
      <c r="B717" s="96"/>
      <c r="C717" s="96"/>
      <c r="D717" s="96"/>
      <c r="E717" s="96"/>
      <c r="F717" s="96"/>
      <c r="G717" s="96"/>
      <c r="H717" s="96"/>
      <c r="I717" s="111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>
      <c r="A718" s="96"/>
      <c r="B718" s="96"/>
      <c r="C718" s="96"/>
      <c r="D718" s="96"/>
      <c r="E718" s="96"/>
      <c r="F718" s="96"/>
      <c r="G718" s="96"/>
      <c r="H718" s="96"/>
      <c r="I718" s="111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>
      <c r="A719" s="96"/>
      <c r="B719" s="96"/>
      <c r="C719" s="96"/>
      <c r="D719" s="96"/>
      <c r="E719" s="96"/>
      <c r="F719" s="96"/>
      <c r="G719" s="96"/>
      <c r="H719" s="96"/>
      <c r="I719" s="111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>
      <c r="A720" s="96"/>
      <c r="B720" s="96"/>
      <c r="C720" s="96"/>
      <c r="D720" s="96"/>
      <c r="E720" s="96"/>
      <c r="F720" s="96"/>
      <c r="G720" s="96"/>
      <c r="H720" s="96"/>
      <c r="I720" s="111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>
      <c r="A721" s="96"/>
      <c r="B721" s="96"/>
      <c r="C721" s="96"/>
      <c r="D721" s="96"/>
      <c r="E721" s="96"/>
      <c r="F721" s="96"/>
      <c r="G721" s="96"/>
      <c r="H721" s="96"/>
      <c r="I721" s="111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>
      <c r="A722" s="96"/>
      <c r="B722" s="96"/>
      <c r="C722" s="96"/>
      <c r="D722" s="96"/>
      <c r="E722" s="96"/>
      <c r="F722" s="96"/>
      <c r="G722" s="96"/>
      <c r="H722" s="96"/>
      <c r="I722" s="111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>
      <c r="A723" s="96"/>
      <c r="B723" s="96"/>
      <c r="C723" s="96"/>
      <c r="D723" s="96"/>
      <c r="E723" s="96"/>
      <c r="F723" s="96"/>
      <c r="G723" s="96"/>
      <c r="H723" s="96"/>
      <c r="I723" s="111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>
      <c r="A724" s="96"/>
      <c r="B724" s="96"/>
      <c r="C724" s="96"/>
      <c r="D724" s="96"/>
      <c r="E724" s="96"/>
      <c r="F724" s="96"/>
      <c r="G724" s="96"/>
      <c r="H724" s="96"/>
      <c r="I724" s="111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>
      <c r="A725" s="96"/>
      <c r="B725" s="96"/>
      <c r="C725" s="96"/>
      <c r="D725" s="96"/>
      <c r="E725" s="96"/>
      <c r="F725" s="96"/>
      <c r="G725" s="96"/>
      <c r="H725" s="96"/>
      <c r="I725" s="111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>
      <c r="A726" s="96"/>
      <c r="B726" s="96"/>
      <c r="C726" s="96"/>
      <c r="D726" s="96"/>
      <c r="E726" s="96"/>
      <c r="F726" s="96"/>
      <c r="G726" s="96"/>
      <c r="H726" s="96"/>
      <c r="I726" s="111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>
      <c r="A727" s="96"/>
      <c r="B727" s="96"/>
      <c r="C727" s="96"/>
      <c r="D727" s="96"/>
      <c r="E727" s="96"/>
      <c r="F727" s="96"/>
      <c r="G727" s="96"/>
      <c r="H727" s="96"/>
      <c r="I727" s="111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>
      <c r="A728" s="96"/>
      <c r="B728" s="96"/>
      <c r="C728" s="96"/>
      <c r="D728" s="96"/>
      <c r="E728" s="96"/>
      <c r="F728" s="96"/>
      <c r="G728" s="96"/>
      <c r="H728" s="96"/>
      <c r="I728" s="111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>
      <c r="A729" s="96"/>
      <c r="B729" s="96"/>
      <c r="C729" s="96"/>
      <c r="D729" s="96"/>
      <c r="E729" s="96"/>
      <c r="F729" s="96"/>
      <c r="G729" s="96"/>
      <c r="H729" s="96"/>
      <c r="I729" s="111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>
      <c r="A730" s="96"/>
      <c r="B730" s="96"/>
      <c r="C730" s="96"/>
      <c r="D730" s="96"/>
      <c r="E730" s="96"/>
      <c r="F730" s="96"/>
      <c r="G730" s="96"/>
      <c r="H730" s="96"/>
      <c r="I730" s="111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>
      <c r="A731" s="96"/>
      <c r="B731" s="96"/>
      <c r="C731" s="96"/>
      <c r="D731" s="96"/>
      <c r="E731" s="96"/>
      <c r="F731" s="96"/>
      <c r="G731" s="96"/>
      <c r="H731" s="96"/>
      <c r="I731" s="111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>
      <c r="A732" s="96"/>
      <c r="B732" s="96"/>
      <c r="C732" s="96"/>
      <c r="D732" s="96"/>
      <c r="E732" s="96"/>
      <c r="F732" s="96"/>
      <c r="G732" s="96"/>
      <c r="H732" s="96"/>
      <c r="I732" s="111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>
      <c r="A733" s="96"/>
      <c r="B733" s="96"/>
      <c r="C733" s="96"/>
      <c r="D733" s="96"/>
      <c r="E733" s="96"/>
      <c r="F733" s="96"/>
      <c r="G733" s="96"/>
      <c r="H733" s="96"/>
      <c r="I733" s="111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>
      <c r="A734" s="96"/>
      <c r="B734" s="96"/>
      <c r="C734" s="96"/>
      <c r="D734" s="96"/>
      <c r="E734" s="96"/>
      <c r="F734" s="96"/>
      <c r="G734" s="96"/>
      <c r="H734" s="96"/>
      <c r="I734" s="111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>
      <c r="A735" s="96"/>
      <c r="B735" s="96"/>
      <c r="C735" s="96"/>
      <c r="D735" s="96"/>
      <c r="E735" s="96"/>
      <c r="F735" s="96"/>
      <c r="G735" s="96"/>
      <c r="H735" s="96"/>
      <c r="I735" s="111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>
      <c r="A736" s="96"/>
      <c r="B736" s="96"/>
      <c r="C736" s="96"/>
      <c r="D736" s="96"/>
      <c r="E736" s="96"/>
      <c r="F736" s="96"/>
      <c r="G736" s="96"/>
      <c r="H736" s="96"/>
      <c r="I736" s="111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>
      <c r="A737" s="96"/>
      <c r="B737" s="96"/>
      <c r="C737" s="96"/>
      <c r="D737" s="96"/>
      <c r="E737" s="96"/>
      <c r="F737" s="96"/>
      <c r="G737" s="96"/>
      <c r="H737" s="96"/>
      <c r="I737" s="111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>
      <c r="A738" s="96"/>
      <c r="B738" s="96"/>
      <c r="C738" s="96"/>
      <c r="D738" s="96"/>
      <c r="E738" s="96"/>
      <c r="F738" s="96"/>
      <c r="G738" s="96"/>
      <c r="H738" s="96"/>
      <c r="I738" s="111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>
      <c r="A739" s="96"/>
      <c r="B739" s="96"/>
      <c r="C739" s="96"/>
      <c r="D739" s="96"/>
      <c r="E739" s="96"/>
      <c r="F739" s="96"/>
      <c r="G739" s="96"/>
      <c r="H739" s="96"/>
      <c r="I739" s="111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>
      <c r="A740" s="96"/>
      <c r="B740" s="96"/>
      <c r="C740" s="96"/>
      <c r="D740" s="96"/>
      <c r="E740" s="96"/>
      <c r="F740" s="96"/>
      <c r="G740" s="96"/>
      <c r="H740" s="96"/>
      <c r="I740" s="111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>
      <c r="A741" s="96"/>
      <c r="B741" s="96"/>
      <c r="C741" s="96"/>
      <c r="D741" s="96"/>
      <c r="E741" s="96"/>
      <c r="F741" s="96"/>
      <c r="G741" s="96"/>
      <c r="H741" s="96"/>
      <c r="I741" s="111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>
      <c r="A742" s="96"/>
      <c r="B742" s="96"/>
      <c r="C742" s="96"/>
      <c r="D742" s="96"/>
      <c r="E742" s="96"/>
      <c r="F742" s="96"/>
      <c r="G742" s="96"/>
      <c r="H742" s="96"/>
      <c r="I742" s="111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>
      <c r="A743" s="96"/>
      <c r="B743" s="96"/>
      <c r="C743" s="96"/>
      <c r="D743" s="96"/>
      <c r="E743" s="96"/>
      <c r="F743" s="96"/>
      <c r="G743" s="96"/>
      <c r="H743" s="96"/>
      <c r="I743" s="111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>
      <c r="A744" s="96"/>
      <c r="B744" s="96"/>
      <c r="C744" s="96"/>
      <c r="D744" s="96"/>
      <c r="E744" s="96"/>
      <c r="F744" s="96"/>
      <c r="G744" s="96"/>
      <c r="H744" s="96"/>
      <c r="I744" s="111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>
      <c r="A745" s="96"/>
      <c r="B745" s="96"/>
      <c r="C745" s="96"/>
      <c r="D745" s="96"/>
      <c r="E745" s="96"/>
      <c r="F745" s="96"/>
      <c r="G745" s="96"/>
      <c r="H745" s="96"/>
      <c r="I745" s="111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>
      <c r="A746" s="96"/>
      <c r="B746" s="96"/>
      <c r="C746" s="96"/>
      <c r="D746" s="96"/>
      <c r="E746" s="96"/>
      <c r="F746" s="96"/>
      <c r="G746" s="96"/>
      <c r="H746" s="96"/>
      <c r="I746" s="111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>
      <c r="A747" s="96"/>
      <c r="B747" s="96"/>
      <c r="C747" s="96"/>
      <c r="D747" s="96"/>
      <c r="E747" s="96"/>
      <c r="F747" s="96"/>
      <c r="G747" s="96"/>
      <c r="H747" s="96"/>
      <c r="I747" s="111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>
      <c r="A748" s="96"/>
      <c r="B748" s="96"/>
      <c r="C748" s="96"/>
      <c r="D748" s="96"/>
      <c r="E748" s="96"/>
      <c r="F748" s="96"/>
      <c r="G748" s="96"/>
      <c r="H748" s="96"/>
      <c r="I748" s="111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>
      <c r="A749" s="96"/>
      <c r="B749" s="96"/>
      <c r="C749" s="96"/>
      <c r="D749" s="96"/>
      <c r="E749" s="96"/>
      <c r="F749" s="96"/>
      <c r="G749" s="96"/>
      <c r="H749" s="96"/>
      <c r="I749" s="111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>
      <c r="A750" s="96"/>
      <c r="B750" s="96"/>
      <c r="C750" s="96"/>
      <c r="D750" s="96"/>
      <c r="E750" s="96"/>
      <c r="F750" s="96"/>
      <c r="G750" s="96"/>
      <c r="H750" s="96"/>
      <c r="I750" s="111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>
      <c r="A751" s="96"/>
      <c r="B751" s="96"/>
      <c r="C751" s="96"/>
      <c r="D751" s="96"/>
      <c r="E751" s="96"/>
      <c r="F751" s="96"/>
      <c r="G751" s="96"/>
      <c r="H751" s="96"/>
      <c r="I751" s="111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>
      <c r="A752" s="96"/>
      <c r="B752" s="96"/>
      <c r="C752" s="96"/>
      <c r="D752" s="96"/>
      <c r="E752" s="96"/>
      <c r="F752" s="96"/>
      <c r="G752" s="96"/>
      <c r="H752" s="96"/>
      <c r="I752" s="111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>
      <c r="A753" s="96"/>
      <c r="B753" s="96"/>
      <c r="C753" s="96"/>
      <c r="D753" s="96"/>
      <c r="E753" s="96"/>
      <c r="F753" s="96"/>
      <c r="G753" s="96"/>
      <c r="H753" s="96"/>
      <c r="I753" s="111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>
      <c r="A754" s="96"/>
      <c r="B754" s="96"/>
      <c r="C754" s="96"/>
      <c r="D754" s="96"/>
      <c r="E754" s="96"/>
      <c r="F754" s="96"/>
      <c r="G754" s="96"/>
      <c r="H754" s="96"/>
      <c r="I754" s="111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>
      <c r="A755" s="96"/>
      <c r="B755" s="96"/>
      <c r="C755" s="96"/>
      <c r="D755" s="96"/>
      <c r="E755" s="96"/>
      <c r="F755" s="96"/>
      <c r="G755" s="96"/>
      <c r="H755" s="96"/>
      <c r="I755" s="111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>
      <c r="A756" s="96"/>
      <c r="B756" s="96"/>
      <c r="C756" s="96"/>
      <c r="D756" s="96"/>
      <c r="E756" s="96"/>
      <c r="F756" s="96"/>
      <c r="G756" s="96"/>
      <c r="H756" s="96"/>
      <c r="I756" s="111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>
      <c r="A757" s="96"/>
      <c r="B757" s="96"/>
      <c r="C757" s="96"/>
      <c r="D757" s="96"/>
      <c r="E757" s="96"/>
      <c r="F757" s="96"/>
      <c r="G757" s="96"/>
      <c r="H757" s="96"/>
      <c r="I757" s="111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>
      <c r="A758" s="96"/>
      <c r="B758" s="96"/>
      <c r="C758" s="96"/>
      <c r="D758" s="96"/>
      <c r="E758" s="96"/>
      <c r="F758" s="96"/>
      <c r="G758" s="96"/>
      <c r="H758" s="96"/>
      <c r="I758" s="111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>
      <c r="A759" s="96"/>
      <c r="B759" s="96"/>
      <c r="C759" s="96"/>
      <c r="D759" s="96"/>
      <c r="E759" s="96"/>
      <c r="F759" s="96"/>
      <c r="G759" s="96"/>
      <c r="H759" s="96"/>
      <c r="I759" s="111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>
      <c r="A760" s="96"/>
      <c r="B760" s="96"/>
      <c r="C760" s="96"/>
      <c r="D760" s="96"/>
      <c r="E760" s="96"/>
      <c r="F760" s="96"/>
      <c r="G760" s="96"/>
      <c r="H760" s="96"/>
      <c r="I760" s="111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>
      <c r="A761" s="96"/>
      <c r="B761" s="96"/>
      <c r="C761" s="96"/>
      <c r="D761" s="96"/>
      <c r="E761" s="96"/>
      <c r="F761" s="96"/>
      <c r="G761" s="96"/>
      <c r="H761" s="96"/>
      <c r="I761" s="111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>
      <c r="A762" s="96"/>
      <c r="B762" s="96"/>
      <c r="C762" s="96"/>
      <c r="D762" s="96"/>
      <c r="E762" s="96"/>
      <c r="F762" s="96"/>
      <c r="G762" s="96"/>
      <c r="H762" s="96"/>
      <c r="I762" s="111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>
      <c r="A763" s="96"/>
      <c r="B763" s="96"/>
      <c r="C763" s="96"/>
      <c r="D763" s="96"/>
      <c r="E763" s="96"/>
      <c r="F763" s="96"/>
      <c r="G763" s="96"/>
      <c r="H763" s="96"/>
      <c r="I763" s="111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>
      <c r="A764" s="96"/>
      <c r="B764" s="96"/>
      <c r="C764" s="96"/>
      <c r="D764" s="96"/>
      <c r="E764" s="96"/>
      <c r="F764" s="96"/>
      <c r="G764" s="96"/>
      <c r="H764" s="96"/>
      <c r="I764" s="111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>
      <c r="A765" s="96"/>
      <c r="B765" s="96"/>
      <c r="C765" s="96"/>
      <c r="D765" s="96"/>
      <c r="E765" s="96"/>
      <c r="F765" s="96"/>
      <c r="G765" s="96"/>
      <c r="H765" s="96"/>
      <c r="I765" s="111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>
      <c r="A766" s="96"/>
      <c r="B766" s="96"/>
      <c r="C766" s="96"/>
      <c r="D766" s="96"/>
      <c r="E766" s="96"/>
      <c r="F766" s="96"/>
      <c r="G766" s="96"/>
      <c r="H766" s="96"/>
      <c r="I766" s="111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>
      <c r="A767" s="96"/>
      <c r="B767" s="96"/>
      <c r="C767" s="96"/>
      <c r="D767" s="96"/>
      <c r="E767" s="96"/>
      <c r="F767" s="96"/>
      <c r="G767" s="96"/>
      <c r="H767" s="96"/>
      <c r="I767" s="111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>
      <c r="A768" s="96"/>
      <c r="B768" s="96"/>
      <c r="C768" s="96"/>
      <c r="D768" s="96"/>
      <c r="E768" s="96"/>
      <c r="F768" s="96"/>
      <c r="G768" s="96"/>
      <c r="H768" s="96"/>
      <c r="I768" s="111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>
      <c r="A769" s="96"/>
      <c r="B769" s="96"/>
      <c r="C769" s="96"/>
      <c r="D769" s="96"/>
      <c r="E769" s="96"/>
      <c r="F769" s="96"/>
      <c r="G769" s="96"/>
      <c r="H769" s="96"/>
      <c r="I769" s="111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>
      <c r="A770" s="96"/>
      <c r="B770" s="96"/>
      <c r="C770" s="96"/>
      <c r="D770" s="96"/>
      <c r="E770" s="96"/>
      <c r="F770" s="96"/>
      <c r="G770" s="96"/>
      <c r="H770" s="96"/>
      <c r="I770" s="111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>
      <c r="A771" s="96"/>
      <c r="B771" s="96"/>
      <c r="C771" s="96"/>
      <c r="D771" s="96"/>
      <c r="E771" s="96"/>
      <c r="F771" s="96"/>
      <c r="G771" s="96"/>
      <c r="H771" s="96"/>
      <c r="I771" s="111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>
      <c r="A772" s="96"/>
      <c r="B772" s="96"/>
      <c r="C772" s="96"/>
      <c r="D772" s="96"/>
      <c r="E772" s="96"/>
      <c r="F772" s="96"/>
      <c r="G772" s="96"/>
      <c r="H772" s="96"/>
      <c r="I772" s="111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>
      <c r="A773" s="96"/>
      <c r="B773" s="96"/>
      <c r="C773" s="96"/>
      <c r="D773" s="96"/>
      <c r="E773" s="96"/>
      <c r="F773" s="96"/>
      <c r="G773" s="96"/>
      <c r="H773" s="96"/>
      <c r="I773" s="111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>
      <c r="A774" s="96"/>
      <c r="B774" s="96"/>
      <c r="C774" s="96"/>
      <c r="D774" s="96"/>
      <c r="E774" s="96"/>
      <c r="F774" s="96"/>
      <c r="G774" s="96"/>
      <c r="H774" s="96"/>
      <c r="I774" s="111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>
      <c r="A775" s="96"/>
      <c r="B775" s="96"/>
      <c r="C775" s="96"/>
      <c r="D775" s="96"/>
      <c r="E775" s="96"/>
      <c r="F775" s="96"/>
      <c r="G775" s="96"/>
      <c r="H775" s="96"/>
      <c r="I775" s="111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>
      <c r="A776" s="96"/>
      <c r="B776" s="96"/>
      <c r="C776" s="96"/>
      <c r="D776" s="96"/>
      <c r="E776" s="96"/>
      <c r="F776" s="96"/>
      <c r="G776" s="96"/>
      <c r="H776" s="96"/>
      <c r="I776" s="111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>
      <c r="A777" s="96"/>
      <c r="B777" s="96"/>
      <c r="C777" s="96"/>
      <c r="D777" s="96"/>
      <c r="E777" s="96"/>
      <c r="F777" s="96"/>
      <c r="G777" s="96"/>
      <c r="H777" s="96"/>
      <c r="I777" s="111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>
      <c r="A778" s="96"/>
      <c r="B778" s="96"/>
      <c r="C778" s="96"/>
      <c r="D778" s="96"/>
      <c r="E778" s="96"/>
      <c r="F778" s="96"/>
      <c r="G778" s="96"/>
      <c r="H778" s="96"/>
      <c r="I778" s="111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>
      <c r="A779" s="96"/>
      <c r="B779" s="96"/>
      <c r="C779" s="96"/>
      <c r="D779" s="96"/>
      <c r="E779" s="96"/>
      <c r="F779" s="96"/>
      <c r="G779" s="96"/>
      <c r="H779" s="96"/>
      <c r="I779" s="111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>
      <c r="A780" s="96"/>
      <c r="B780" s="96"/>
      <c r="C780" s="96"/>
      <c r="D780" s="96"/>
      <c r="E780" s="96"/>
      <c r="F780" s="96"/>
      <c r="G780" s="96"/>
      <c r="H780" s="96"/>
      <c r="I780" s="111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>
      <c r="A781" s="96"/>
      <c r="B781" s="96"/>
      <c r="C781" s="96"/>
      <c r="D781" s="96"/>
      <c r="E781" s="96"/>
      <c r="F781" s="96"/>
      <c r="G781" s="96"/>
      <c r="H781" s="96"/>
      <c r="I781" s="111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>
      <c r="A782" s="96"/>
      <c r="B782" s="96"/>
      <c r="C782" s="96"/>
      <c r="D782" s="96"/>
      <c r="E782" s="96"/>
      <c r="F782" s="96"/>
      <c r="G782" s="96"/>
      <c r="H782" s="96"/>
      <c r="I782" s="111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>
      <c r="A783" s="96"/>
      <c r="B783" s="96"/>
      <c r="C783" s="96"/>
      <c r="D783" s="96"/>
      <c r="E783" s="96"/>
      <c r="F783" s="96"/>
      <c r="G783" s="96"/>
      <c r="H783" s="96"/>
      <c r="I783" s="111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>
      <c r="A784" s="96"/>
      <c r="B784" s="96"/>
      <c r="C784" s="96"/>
      <c r="D784" s="96"/>
      <c r="E784" s="96"/>
      <c r="F784" s="96"/>
      <c r="G784" s="96"/>
      <c r="H784" s="96"/>
      <c r="I784" s="111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>
      <c r="A785" s="96"/>
      <c r="B785" s="96"/>
      <c r="C785" s="96"/>
      <c r="D785" s="96"/>
      <c r="E785" s="96"/>
      <c r="F785" s="96"/>
      <c r="G785" s="96"/>
      <c r="H785" s="96"/>
      <c r="I785" s="111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>
      <c r="A786" s="96"/>
      <c r="B786" s="96"/>
      <c r="C786" s="96"/>
      <c r="D786" s="96"/>
      <c r="E786" s="96"/>
      <c r="F786" s="96"/>
      <c r="G786" s="96"/>
      <c r="H786" s="96"/>
      <c r="I786" s="111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>
      <c r="A787" s="96"/>
      <c r="B787" s="96"/>
      <c r="C787" s="96"/>
      <c r="D787" s="96"/>
      <c r="E787" s="96"/>
      <c r="F787" s="96"/>
      <c r="G787" s="96"/>
      <c r="H787" s="96"/>
      <c r="I787" s="111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>
      <c r="A788" s="96"/>
      <c r="B788" s="96"/>
      <c r="C788" s="96"/>
      <c r="D788" s="96"/>
      <c r="E788" s="96"/>
      <c r="F788" s="96"/>
      <c r="G788" s="96"/>
      <c r="H788" s="96"/>
      <c r="I788" s="111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>
      <c r="A789" s="96"/>
      <c r="B789" s="96"/>
      <c r="C789" s="96"/>
      <c r="D789" s="96"/>
      <c r="E789" s="96"/>
      <c r="F789" s="96"/>
      <c r="G789" s="96"/>
      <c r="H789" s="96"/>
      <c r="I789" s="111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>
      <c r="A790" s="96"/>
      <c r="B790" s="96"/>
      <c r="C790" s="96"/>
      <c r="D790" s="96"/>
      <c r="E790" s="96"/>
      <c r="F790" s="96"/>
      <c r="G790" s="96"/>
      <c r="H790" s="96"/>
      <c r="I790" s="111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>
      <c r="A791" s="96"/>
      <c r="B791" s="96"/>
      <c r="C791" s="96"/>
      <c r="D791" s="96"/>
      <c r="E791" s="96"/>
      <c r="F791" s="96"/>
      <c r="G791" s="96"/>
      <c r="H791" s="96"/>
      <c r="I791" s="111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>
      <c r="A792" s="96"/>
      <c r="B792" s="96"/>
      <c r="C792" s="96"/>
      <c r="D792" s="96"/>
      <c r="E792" s="96"/>
      <c r="F792" s="96"/>
      <c r="G792" s="96"/>
      <c r="H792" s="96"/>
      <c r="I792" s="111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>
      <c r="A793" s="96"/>
      <c r="B793" s="96"/>
      <c r="C793" s="96"/>
      <c r="D793" s="96"/>
      <c r="E793" s="96"/>
      <c r="F793" s="96"/>
      <c r="G793" s="96"/>
      <c r="H793" s="96"/>
      <c r="I793" s="111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>
      <c r="A794" s="96"/>
      <c r="B794" s="96"/>
      <c r="C794" s="96"/>
      <c r="D794" s="96"/>
      <c r="E794" s="96"/>
      <c r="F794" s="96"/>
      <c r="G794" s="96"/>
      <c r="H794" s="96"/>
      <c r="I794" s="111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>
      <c r="A795" s="96"/>
      <c r="B795" s="96"/>
      <c r="C795" s="96"/>
      <c r="D795" s="96"/>
      <c r="E795" s="96"/>
      <c r="F795" s="96"/>
      <c r="G795" s="96"/>
      <c r="H795" s="96"/>
      <c r="I795" s="111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>
      <c r="A796" s="96"/>
      <c r="B796" s="96"/>
      <c r="C796" s="96"/>
      <c r="D796" s="96"/>
      <c r="E796" s="96"/>
      <c r="F796" s="96"/>
      <c r="G796" s="96"/>
      <c r="H796" s="96"/>
      <c r="I796" s="111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>
      <c r="A797" s="96"/>
      <c r="B797" s="96"/>
      <c r="C797" s="96"/>
      <c r="D797" s="96"/>
      <c r="E797" s="96"/>
      <c r="F797" s="96"/>
      <c r="G797" s="96"/>
      <c r="H797" s="96"/>
      <c r="I797" s="111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>
      <c r="A798" s="96"/>
      <c r="B798" s="96"/>
      <c r="C798" s="96"/>
      <c r="D798" s="96"/>
      <c r="E798" s="96"/>
      <c r="F798" s="96"/>
      <c r="G798" s="96"/>
      <c r="H798" s="96"/>
      <c r="I798" s="111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>
      <c r="A799" s="96"/>
      <c r="B799" s="96"/>
      <c r="C799" s="96"/>
      <c r="D799" s="96"/>
      <c r="E799" s="96"/>
      <c r="F799" s="96"/>
      <c r="G799" s="96"/>
      <c r="H799" s="96"/>
      <c r="I799" s="111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>
      <c r="A800" s="96"/>
      <c r="B800" s="96"/>
      <c r="C800" s="96"/>
      <c r="D800" s="96"/>
      <c r="E800" s="96"/>
      <c r="F800" s="96"/>
      <c r="G800" s="96"/>
      <c r="H800" s="96"/>
      <c r="I800" s="111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>
      <c r="A801" s="96"/>
      <c r="B801" s="96"/>
      <c r="C801" s="96"/>
      <c r="D801" s="96"/>
      <c r="E801" s="96"/>
      <c r="F801" s="96"/>
      <c r="G801" s="96"/>
      <c r="H801" s="96"/>
      <c r="I801" s="111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>
      <c r="A802" s="96"/>
      <c r="B802" s="96"/>
      <c r="C802" s="96"/>
      <c r="D802" s="96"/>
      <c r="E802" s="96"/>
      <c r="F802" s="96"/>
      <c r="G802" s="96"/>
      <c r="H802" s="96"/>
      <c r="I802" s="111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>
      <c r="A803" s="96"/>
      <c r="B803" s="96"/>
      <c r="C803" s="96"/>
      <c r="D803" s="96"/>
      <c r="E803" s="96"/>
      <c r="F803" s="96"/>
      <c r="G803" s="96"/>
      <c r="H803" s="96"/>
      <c r="I803" s="111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>
      <c r="A804" s="96"/>
      <c r="B804" s="96"/>
      <c r="C804" s="96"/>
      <c r="D804" s="96"/>
      <c r="E804" s="96"/>
      <c r="F804" s="96"/>
      <c r="G804" s="96"/>
      <c r="H804" s="96"/>
      <c r="I804" s="111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>
      <c r="A805" s="96"/>
      <c r="B805" s="96"/>
      <c r="C805" s="96"/>
      <c r="D805" s="96"/>
      <c r="E805" s="96"/>
      <c r="F805" s="96"/>
      <c r="G805" s="96"/>
      <c r="H805" s="96"/>
      <c r="I805" s="111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>
      <c r="A806" s="96"/>
      <c r="B806" s="96"/>
      <c r="C806" s="96"/>
      <c r="D806" s="96"/>
      <c r="E806" s="96"/>
      <c r="F806" s="96"/>
      <c r="G806" s="96"/>
      <c r="H806" s="96"/>
      <c r="I806" s="111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>
      <c r="A807" s="96"/>
      <c r="B807" s="96"/>
      <c r="C807" s="96"/>
      <c r="D807" s="96"/>
      <c r="E807" s="96"/>
      <c r="F807" s="96"/>
      <c r="G807" s="96"/>
      <c r="H807" s="96"/>
      <c r="I807" s="111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>
      <c r="A808" s="96"/>
      <c r="B808" s="96"/>
      <c r="C808" s="96"/>
      <c r="D808" s="96"/>
      <c r="E808" s="96"/>
      <c r="F808" s="96"/>
      <c r="G808" s="96"/>
      <c r="H808" s="96"/>
      <c r="I808" s="111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>
      <c r="A809" s="96"/>
      <c r="B809" s="96"/>
      <c r="C809" s="96"/>
      <c r="D809" s="96"/>
      <c r="E809" s="96"/>
      <c r="F809" s="96"/>
      <c r="G809" s="96"/>
      <c r="H809" s="96"/>
      <c r="I809" s="111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>
      <c r="A810" s="96"/>
      <c r="B810" s="96"/>
      <c r="C810" s="96"/>
      <c r="D810" s="96"/>
      <c r="E810" s="96"/>
      <c r="F810" s="96"/>
      <c r="G810" s="96"/>
      <c r="H810" s="96"/>
      <c r="I810" s="111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>
      <c r="A811" s="96"/>
      <c r="B811" s="96"/>
      <c r="C811" s="96"/>
      <c r="D811" s="96"/>
      <c r="E811" s="96"/>
      <c r="F811" s="96"/>
      <c r="G811" s="96"/>
      <c r="H811" s="96"/>
      <c r="I811" s="111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>
      <c r="A812" s="96"/>
      <c r="B812" s="96"/>
      <c r="C812" s="96"/>
      <c r="D812" s="96"/>
      <c r="E812" s="96"/>
      <c r="F812" s="96"/>
      <c r="G812" s="96"/>
      <c r="H812" s="96"/>
      <c r="I812" s="111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>
      <c r="A813" s="96"/>
      <c r="B813" s="96"/>
      <c r="C813" s="96"/>
      <c r="D813" s="96"/>
      <c r="E813" s="96"/>
      <c r="F813" s="96"/>
      <c r="G813" s="96"/>
      <c r="H813" s="96"/>
      <c r="I813" s="111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>
      <c r="A814" s="96"/>
      <c r="B814" s="96"/>
      <c r="C814" s="96"/>
      <c r="D814" s="96"/>
      <c r="E814" s="96"/>
      <c r="F814" s="96"/>
      <c r="G814" s="96"/>
      <c r="H814" s="96"/>
      <c r="I814" s="111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>
      <c r="A815" s="96"/>
      <c r="B815" s="96"/>
      <c r="C815" s="96"/>
      <c r="D815" s="96"/>
      <c r="E815" s="96"/>
      <c r="F815" s="96"/>
      <c r="G815" s="96"/>
      <c r="H815" s="96"/>
      <c r="I815" s="111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>
      <c r="A816" s="96"/>
      <c r="B816" s="96"/>
      <c r="C816" s="96"/>
      <c r="D816" s="96"/>
      <c r="E816" s="96"/>
      <c r="F816" s="96"/>
      <c r="G816" s="96"/>
      <c r="H816" s="96"/>
      <c r="I816" s="111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>
      <c r="A817" s="96"/>
      <c r="B817" s="96"/>
      <c r="C817" s="96"/>
      <c r="D817" s="96"/>
      <c r="E817" s="96"/>
      <c r="F817" s="96"/>
      <c r="G817" s="96"/>
      <c r="H817" s="96"/>
      <c r="I817" s="111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>
      <c r="A818" s="96"/>
      <c r="B818" s="96"/>
      <c r="C818" s="96"/>
      <c r="D818" s="96"/>
      <c r="E818" s="96"/>
      <c r="F818" s="96"/>
      <c r="G818" s="96"/>
      <c r="H818" s="96"/>
      <c r="I818" s="111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>
      <c r="A819" s="96"/>
      <c r="B819" s="96"/>
      <c r="C819" s="96"/>
      <c r="D819" s="96"/>
      <c r="E819" s="96"/>
      <c r="F819" s="96"/>
      <c r="G819" s="96"/>
      <c r="H819" s="96"/>
      <c r="I819" s="111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>
      <c r="A820" s="96"/>
      <c r="B820" s="96"/>
      <c r="C820" s="96"/>
      <c r="D820" s="96"/>
      <c r="E820" s="96"/>
      <c r="F820" s="96"/>
      <c r="G820" s="96"/>
      <c r="H820" s="96"/>
      <c r="I820" s="111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>
      <c r="A821" s="96"/>
      <c r="B821" s="96"/>
      <c r="C821" s="96"/>
      <c r="D821" s="96"/>
      <c r="E821" s="96"/>
      <c r="F821" s="96"/>
      <c r="G821" s="96"/>
      <c r="H821" s="96"/>
      <c r="I821" s="111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>
      <c r="A822" s="96"/>
      <c r="B822" s="96"/>
      <c r="C822" s="96"/>
      <c r="D822" s="96"/>
      <c r="E822" s="96"/>
      <c r="F822" s="96"/>
      <c r="G822" s="96"/>
      <c r="H822" s="96"/>
      <c r="I822" s="111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>
      <c r="A823" s="96"/>
      <c r="B823" s="96"/>
      <c r="C823" s="96"/>
      <c r="D823" s="96"/>
      <c r="E823" s="96"/>
      <c r="F823" s="96"/>
      <c r="G823" s="96"/>
      <c r="H823" s="96"/>
      <c r="I823" s="111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>
      <c r="A824" s="96"/>
      <c r="B824" s="96"/>
      <c r="C824" s="96"/>
      <c r="D824" s="96"/>
      <c r="E824" s="96"/>
      <c r="F824" s="96"/>
      <c r="G824" s="96"/>
      <c r="H824" s="96"/>
      <c r="I824" s="111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>
      <c r="A825" s="96"/>
      <c r="B825" s="96"/>
      <c r="C825" s="96"/>
      <c r="D825" s="96"/>
      <c r="E825" s="96"/>
      <c r="F825" s="96"/>
      <c r="G825" s="96"/>
      <c r="H825" s="96"/>
      <c r="I825" s="111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>
      <c r="A826" s="96"/>
      <c r="B826" s="96"/>
      <c r="C826" s="96"/>
      <c r="D826" s="96"/>
      <c r="E826" s="96"/>
      <c r="F826" s="96"/>
      <c r="G826" s="96"/>
      <c r="H826" s="96"/>
      <c r="I826" s="111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>
      <c r="A827" s="96"/>
      <c r="B827" s="96"/>
      <c r="C827" s="96"/>
      <c r="D827" s="96"/>
      <c r="E827" s="96"/>
      <c r="F827" s="96"/>
      <c r="G827" s="96"/>
      <c r="H827" s="96"/>
      <c r="I827" s="111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>
      <c r="A828" s="96"/>
      <c r="B828" s="96"/>
      <c r="C828" s="96"/>
      <c r="D828" s="96"/>
      <c r="E828" s="96"/>
      <c r="F828" s="96"/>
      <c r="G828" s="96"/>
      <c r="H828" s="96"/>
      <c r="I828" s="111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>
      <c r="A829" s="96"/>
      <c r="B829" s="96"/>
      <c r="C829" s="96"/>
      <c r="D829" s="96"/>
      <c r="E829" s="96"/>
      <c r="F829" s="96"/>
      <c r="G829" s="96"/>
      <c r="H829" s="96"/>
      <c r="I829" s="111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>
      <c r="A830" s="96"/>
      <c r="B830" s="96"/>
      <c r="C830" s="96"/>
      <c r="D830" s="96"/>
      <c r="E830" s="96"/>
      <c r="F830" s="96"/>
      <c r="G830" s="96"/>
      <c r="H830" s="96"/>
      <c r="I830" s="111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>
      <c r="A831" s="96"/>
      <c r="B831" s="96"/>
      <c r="C831" s="96"/>
      <c r="D831" s="96"/>
      <c r="E831" s="96"/>
      <c r="F831" s="96"/>
      <c r="G831" s="96"/>
      <c r="H831" s="96"/>
      <c r="I831" s="111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>
      <c r="A832" s="96"/>
      <c r="B832" s="96"/>
      <c r="C832" s="96"/>
      <c r="D832" s="96"/>
      <c r="E832" s="96"/>
      <c r="F832" s="96"/>
      <c r="G832" s="96"/>
      <c r="H832" s="96"/>
      <c r="I832" s="111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>
      <c r="A833" s="96"/>
      <c r="B833" s="96"/>
      <c r="C833" s="96"/>
      <c r="D833" s="96"/>
      <c r="E833" s="96"/>
      <c r="F833" s="96"/>
      <c r="G833" s="96"/>
      <c r="H833" s="96"/>
      <c r="I833" s="111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>
      <c r="A834" s="96"/>
      <c r="B834" s="96"/>
      <c r="C834" s="96"/>
      <c r="D834" s="96"/>
      <c r="E834" s="96"/>
      <c r="F834" s="96"/>
      <c r="G834" s="96"/>
      <c r="H834" s="96"/>
      <c r="I834" s="111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>
      <c r="A835" s="96"/>
      <c r="B835" s="96"/>
      <c r="C835" s="96"/>
      <c r="D835" s="96"/>
      <c r="E835" s="96"/>
      <c r="F835" s="96"/>
      <c r="G835" s="96"/>
      <c r="H835" s="96"/>
      <c r="I835" s="111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>
      <c r="A836" s="96"/>
      <c r="B836" s="96"/>
      <c r="C836" s="96"/>
      <c r="D836" s="96"/>
      <c r="E836" s="96"/>
      <c r="F836" s="96"/>
      <c r="G836" s="96"/>
      <c r="H836" s="96"/>
      <c r="I836" s="111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>
      <c r="A837" s="96"/>
      <c r="B837" s="96"/>
      <c r="C837" s="96"/>
      <c r="D837" s="96"/>
      <c r="E837" s="96"/>
      <c r="F837" s="96"/>
      <c r="G837" s="96"/>
      <c r="H837" s="96"/>
      <c r="I837" s="111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>
      <c r="A838" s="96"/>
      <c r="B838" s="96"/>
      <c r="C838" s="96"/>
      <c r="D838" s="96"/>
      <c r="E838" s="96"/>
      <c r="F838" s="96"/>
      <c r="G838" s="96"/>
      <c r="H838" s="96"/>
      <c r="I838" s="111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>
      <c r="A839" s="96"/>
      <c r="B839" s="96"/>
      <c r="C839" s="96"/>
      <c r="D839" s="96"/>
      <c r="E839" s="96"/>
      <c r="F839" s="96"/>
      <c r="G839" s="96"/>
      <c r="H839" s="96"/>
      <c r="I839" s="111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>
      <c r="A840" s="96"/>
      <c r="B840" s="96"/>
      <c r="C840" s="96"/>
      <c r="D840" s="96"/>
      <c r="E840" s="96"/>
      <c r="F840" s="96"/>
      <c r="G840" s="96"/>
      <c r="H840" s="96"/>
      <c r="I840" s="111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>
      <c r="A841" s="96"/>
      <c r="B841" s="96"/>
      <c r="C841" s="96"/>
      <c r="D841" s="96"/>
      <c r="E841" s="96"/>
      <c r="F841" s="96"/>
      <c r="G841" s="96"/>
      <c r="H841" s="96"/>
      <c r="I841" s="111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>
      <c r="A842" s="96"/>
      <c r="B842" s="96"/>
      <c r="C842" s="96"/>
      <c r="D842" s="96"/>
      <c r="E842" s="96"/>
      <c r="F842" s="96"/>
      <c r="G842" s="96"/>
      <c r="H842" s="96"/>
      <c r="I842" s="111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>
      <c r="A843" s="96"/>
      <c r="B843" s="96"/>
      <c r="C843" s="96"/>
      <c r="D843" s="96"/>
      <c r="E843" s="96"/>
      <c r="F843" s="96"/>
      <c r="G843" s="96"/>
      <c r="H843" s="96"/>
      <c r="I843" s="111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>
      <c r="A844" s="96"/>
      <c r="B844" s="96"/>
      <c r="C844" s="96"/>
      <c r="D844" s="96"/>
      <c r="E844" s="96"/>
      <c r="F844" s="96"/>
      <c r="G844" s="96"/>
      <c r="H844" s="96"/>
      <c r="I844" s="111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>
      <c r="A845" s="96"/>
      <c r="B845" s="96"/>
      <c r="C845" s="96"/>
      <c r="D845" s="96"/>
      <c r="E845" s="96"/>
      <c r="F845" s="96"/>
      <c r="G845" s="96"/>
      <c r="H845" s="96"/>
      <c r="I845" s="111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>
      <c r="A846" s="96"/>
      <c r="B846" s="96"/>
      <c r="C846" s="96"/>
      <c r="D846" s="96"/>
      <c r="E846" s="96"/>
      <c r="F846" s="96"/>
      <c r="G846" s="96"/>
      <c r="H846" s="96"/>
      <c r="I846" s="111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>
      <c r="A847" s="96"/>
      <c r="B847" s="96"/>
      <c r="C847" s="96"/>
      <c r="D847" s="96"/>
      <c r="E847" s="96"/>
      <c r="F847" s="96"/>
      <c r="G847" s="96"/>
      <c r="H847" s="96"/>
      <c r="I847" s="111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>
      <c r="A848" s="96"/>
      <c r="B848" s="96"/>
      <c r="C848" s="96"/>
      <c r="D848" s="96"/>
      <c r="E848" s="96"/>
      <c r="F848" s="96"/>
      <c r="G848" s="96"/>
      <c r="H848" s="96"/>
      <c r="I848" s="111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>
      <c r="A849" s="96"/>
      <c r="B849" s="96"/>
      <c r="C849" s="96"/>
      <c r="D849" s="96"/>
      <c r="E849" s="96"/>
      <c r="F849" s="96"/>
      <c r="G849" s="96"/>
      <c r="H849" s="96"/>
      <c r="I849" s="111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>
      <c r="A850" s="96"/>
      <c r="B850" s="96"/>
      <c r="C850" s="96"/>
      <c r="D850" s="96"/>
      <c r="E850" s="96"/>
      <c r="F850" s="96"/>
      <c r="G850" s="96"/>
      <c r="H850" s="96"/>
      <c r="I850" s="111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>
      <c r="A851" s="96"/>
      <c r="B851" s="96"/>
      <c r="C851" s="96"/>
      <c r="D851" s="96"/>
      <c r="E851" s="96"/>
      <c r="F851" s="96"/>
      <c r="G851" s="96"/>
      <c r="H851" s="96"/>
      <c r="I851" s="111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>
      <c r="A852" s="96"/>
      <c r="B852" s="96"/>
      <c r="C852" s="96"/>
      <c r="D852" s="96"/>
      <c r="E852" s="96"/>
      <c r="F852" s="96"/>
      <c r="G852" s="96"/>
      <c r="H852" s="96"/>
      <c r="I852" s="111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>
      <c r="A853" s="96"/>
      <c r="B853" s="96"/>
      <c r="C853" s="96"/>
      <c r="D853" s="96"/>
      <c r="E853" s="96"/>
      <c r="F853" s="96"/>
      <c r="G853" s="96"/>
      <c r="H853" s="96"/>
      <c r="I853" s="111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>
      <c r="A854" s="96"/>
      <c r="B854" s="96"/>
      <c r="C854" s="96"/>
      <c r="D854" s="96"/>
      <c r="E854" s="96"/>
      <c r="F854" s="96"/>
      <c r="G854" s="96"/>
      <c r="H854" s="96"/>
      <c r="I854" s="111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>
      <c r="A855" s="96"/>
      <c r="B855" s="96"/>
      <c r="C855" s="96"/>
      <c r="D855" s="96"/>
      <c r="E855" s="96"/>
      <c r="F855" s="96"/>
      <c r="G855" s="96"/>
      <c r="H855" s="96"/>
      <c r="I855" s="111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>
      <c r="A856" s="96"/>
      <c r="B856" s="96"/>
      <c r="C856" s="96"/>
      <c r="D856" s="96"/>
      <c r="E856" s="96"/>
      <c r="F856" s="96"/>
      <c r="G856" s="96"/>
      <c r="H856" s="96"/>
      <c r="I856" s="111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>
      <c r="A857" s="96"/>
      <c r="B857" s="96"/>
      <c r="C857" s="96"/>
      <c r="D857" s="96"/>
      <c r="E857" s="96"/>
      <c r="F857" s="96"/>
      <c r="G857" s="96"/>
      <c r="H857" s="96"/>
      <c r="I857" s="111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>
      <c r="A858" s="96"/>
      <c r="B858" s="96"/>
      <c r="C858" s="96"/>
      <c r="D858" s="96"/>
      <c r="E858" s="96"/>
      <c r="F858" s="96"/>
      <c r="G858" s="96"/>
      <c r="H858" s="96"/>
      <c r="I858" s="111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>
      <c r="A859" s="96"/>
      <c r="B859" s="96"/>
      <c r="C859" s="96"/>
      <c r="D859" s="96"/>
      <c r="E859" s="96"/>
      <c r="F859" s="96"/>
      <c r="G859" s="96"/>
      <c r="H859" s="96"/>
      <c r="I859" s="111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>
      <c r="A860" s="96"/>
      <c r="B860" s="96"/>
      <c r="C860" s="96"/>
      <c r="D860" s="96"/>
      <c r="E860" s="96"/>
      <c r="F860" s="96"/>
      <c r="G860" s="96"/>
      <c r="H860" s="96"/>
      <c r="I860" s="111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>
      <c r="A861" s="96"/>
      <c r="B861" s="96"/>
      <c r="C861" s="96"/>
      <c r="D861" s="96"/>
      <c r="E861" s="96"/>
      <c r="F861" s="96"/>
      <c r="G861" s="96"/>
      <c r="H861" s="96"/>
      <c r="I861" s="111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>
      <c r="A862" s="96"/>
      <c r="B862" s="96"/>
      <c r="C862" s="96"/>
      <c r="D862" s="96"/>
      <c r="E862" s="96"/>
      <c r="F862" s="96"/>
      <c r="G862" s="96"/>
      <c r="H862" s="96"/>
      <c r="I862" s="111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>
      <c r="A863" s="96"/>
      <c r="B863" s="96"/>
      <c r="C863" s="96"/>
      <c r="D863" s="96"/>
      <c r="E863" s="96"/>
      <c r="F863" s="96"/>
      <c r="G863" s="96"/>
      <c r="H863" s="96"/>
      <c r="I863" s="111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>
      <c r="A864" s="96"/>
      <c r="B864" s="96"/>
      <c r="C864" s="96"/>
      <c r="D864" s="96"/>
      <c r="E864" s="96"/>
      <c r="F864" s="96"/>
      <c r="G864" s="96"/>
      <c r="H864" s="96"/>
      <c r="I864" s="111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>
      <c r="A865" s="96"/>
      <c r="B865" s="96"/>
      <c r="C865" s="96"/>
      <c r="D865" s="96"/>
      <c r="E865" s="96"/>
      <c r="F865" s="96"/>
      <c r="G865" s="96"/>
      <c r="H865" s="96"/>
      <c r="I865" s="111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>
      <c r="A866" s="96"/>
      <c r="B866" s="96"/>
      <c r="C866" s="96"/>
      <c r="D866" s="96"/>
      <c r="E866" s="96"/>
      <c r="F866" s="96"/>
      <c r="G866" s="96"/>
      <c r="H866" s="96"/>
      <c r="I866" s="111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>
      <c r="A867" s="96"/>
      <c r="B867" s="96"/>
      <c r="C867" s="96"/>
      <c r="D867" s="96"/>
      <c r="E867" s="96"/>
      <c r="F867" s="96"/>
      <c r="G867" s="96"/>
      <c r="H867" s="96"/>
      <c r="I867" s="111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>
      <c r="A868" s="96"/>
      <c r="B868" s="96"/>
      <c r="C868" s="96"/>
      <c r="D868" s="96"/>
      <c r="E868" s="96"/>
      <c r="F868" s="96"/>
      <c r="G868" s="96"/>
      <c r="H868" s="96"/>
      <c r="I868" s="111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>
      <c r="A869" s="96"/>
      <c r="B869" s="96"/>
      <c r="C869" s="96"/>
      <c r="D869" s="96"/>
      <c r="E869" s="96"/>
      <c r="F869" s="96"/>
      <c r="G869" s="96"/>
      <c r="H869" s="96"/>
      <c r="I869" s="111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>
      <c r="A870" s="96"/>
      <c r="B870" s="96"/>
      <c r="C870" s="96"/>
      <c r="D870" s="96"/>
      <c r="E870" s="96"/>
      <c r="F870" s="96"/>
      <c r="G870" s="96"/>
      <c r="H870" s="96"/>
      <c r="I870" s="111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>
      <c r="A871" s="96"/>
      <c r="B871" s="96"/>
      <c r="C871" s="96"/>
      <c r="D871" s="96"/>
      <c r="E871" s="96"/>
      <c r="F871" s="96"/>
      <c r="G871" s="96"/>
      <c r="H871" s="96"/>
      <c r="I871" s="111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>
      <c r="A872" s="96"/>
      <c r="B872" s="96"/>
      <c r="C872" s="96"/>
      <c r="D872" s="96"/>
      <c r="E872" s="96"/>
      <c r="F872" s="96"/>
      <c r="G872" s="96"/>
      <c r="H872" s="96"/>
      <c r="I872" s="111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>
      <c r="A873" s="96"/>
      <c r="B873" s="96"/>
      <c r="C873" s="96"/>
      <c r="D873" s="96"/>
      <c r="E873" s="96"/>
      <c r="F873" s="96"/>
      <c r="G873" s="96"/>
      <c r="H873" s="96"/>
      <c r="I873" s="111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>
      <c r="A874" s="96"/>
      <c r="B874" s="96"/>
      <c r="C874" s="96"/>
      <c r="D874" s="96"/>
      <c r="E874" s="96"/>
      <c r="F874" s="96"/>
      <c r="G874" s="96"/>
      <c r="H874" s="96"/>
      <c r="I874" s="111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>
      <c r="A875" s="96"/>
      <c r="B875" s="96"/>
      <c r="C875" s="96"/>
      <c r="D875" s="96"/>
      <c r="E875" s="96"/>
      <c r="F875" s="96"/>
      <c r="G875" s="96"/>
      <c r="H875" s="96"/>
      <c r="I875" s="111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>
      <c r="A876" s="96"/>
      <c r="B876" s="96"/>
      <c r="C876" s="96"/>
      <c r="D876" s="96"/>
      <c r="E876" s="96"/>
      <c r="F876" s="96"/>
      <c r="G876" s="96"/>
      <c r="H876" s="96"/>
      <c r="I876" s="111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>
      <c r="A877" s="96"/>
      <c r="B877" s="96"/>
      <c r="C877" s="96"/>
      <c r="D877" s="96"/>
      <c r="E877" s="96"/>
      <c r="F877" s="96"/>
      <c r="G877" s="96"/>
      <c r="H877" s="96"/>
      <c r="I877" s="111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>
      <c r="A878" s="96"/>
      <c r="B878" s="96"/>
      <c r="C878" s="96"/>
      <c r="D878" s="96"/>
      <c r="E878" s="96"/>
      <c r="F878" s="96"/>
      <c r="G878" s="96"/>
      <c r="H878" s="96"/>
      <c r="I878" s="111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>
      <c r="A879" s="96"/>
      <c r="B879" s="96"/>
      <c r="C879" s="96"/>
      <c r="D879" s="96"/>
      <c r="E879" s="96"/>
      <c r="F879" s="96"/>
      <c r="G879" s="96"/>
      <c r="H879" s="96"/>
      <c r="I879" s="111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>
      <c r="A880" s="96"/>
      <c r="B880" s="96"/>
      <c r="C880" s="96"/>
      <c r="D880" s="96"/>
      <c r="E880" s="96"/>
      <c r="F880" s="96"/>
      <c r="G880" s="96"/>
      <c r="H880" s="96"/>
      <c r="I880" s="111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>
      <c r="A881" s="96"/>
      <c r="B881" s="96"/>
      <c r="C881" s="96"/>
      <c r="D881" s="96"/>
      <c r="E881" s="96"/>
      <c r="F881" s="96"/>
      <c r="G881" s="96"/>
      <c r="H881" s="96"/>
      <c r="I881" s="111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>
      <c r="A882" s="96"/>
      <c r="B882" s="96"/>
      <c r="C882" s="96"/>
      <c r="D882" s="96"/>
      <c r="E882" s="96"/>
      <c r="F882" s="96"/>
      <c r="G882" s="96"/>
      <c r="H882" s="96"/>
      <c r="I882" s="111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>
      <c r="A883" s="96"/>
      <c r="B883" s="96"/>
      <c r="C883" s="96"/>
      <c r="D883" s="96"/>
      <c r="E883" s="96"/>
      <c r="F883" s="96"/>
      <c r="G883" s="96"/>
      <c r="H883" s="96"/>
      <c r="I883" s="111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>
      <c r="A884" s="96"/>
      <c r="B884" s="96"/>
      <c r="C884" s="96"/>
      <c r="D884" s="96"/>
      <c r="E884" s="96"/>
      <c r="F884" s="96"/>
      <c r="G884" s="96"/>
      <c r="H884" s="96"/>
      <c r="I884" s="111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>
      <c r="A885" s="96"/>
      <c r="B885" s="96"/>
      <c r="C885" s="96"/>
      <c r="D885" s="96"/>
      <c r="E885" s="96"/>
      <c r="F885" s="96"/>
      <c r="G885" s="96"/>
      <c r="H885" s="96"/>
      <c r="I885" s="111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>
      <c r="A886" s="96"/>
      <c r="B886" s="96"/>
      <c r="C886" s="96"/>
      <c r="D886" s="96"/>
      <c r="E886" s="96"/>
      <c r="F886" s="96"/>
      <c r="G886" s="96"/>
      <c r="H886" s="96"/>
      <c r="I886" s="111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>
      <c r="A887" s="96"/>
      <c r="B887" s="96"/>
      <c r="C887" s="96"/>
      <c r="D887" s="96"/>
      <c r="E887" s="96"/>
      <c r="F887" s="96"/>
      <c r="G887" s="96"/>
      <c r="H887" s="96"/>
      <c r="I887" s="111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>
      <c r="A888" s="96"/>
      <c r="B888" s="96"/>
      <c r="C888" s="96"/>
      <c r="D888" s="96"/>
      <c r="E888" s="96"/>
      <c r="F888" s="96"/>
      <c r="G888" s="96"/>
      <c r="H888" s="96"/>
      <c r="I888" s="111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>
      <c r="A889" s="96"/>
      <c r="B889" s="96"/>
      <c r="C889" s="96"/>
      <c r="D889" s="96"/>
      <c r="E889" s="96"/>
      <c r="F889" s="96"/>
      <c r="G889" s="96"/>
      <c r="H889" s="96"/>
      <c r="I889" s="111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>
      <c r="A890" s="96"/>
      <c r="B890" s="96"/>
      <c r="C890" s="96"/>
      <c r="D890" s="96"/>
      <c r="E890" s="96"/>
      <c r="F890" s="96"/>
      <c r="G890" s="96"/>
      <c r="H890" s="96"/>
      <c r="I890" s="111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>
      <c r="A891" s="96"/>
      <c r="B891" s="96"/>
      <c r="C891" s="96"/>
      <c r="D891" s="96"/>
      <c r="E891" s="96"/>
      <c r="F891" s="96"/>
      <c r="G891" s="96"/>
      <c r="H891" s="96"/>
      <c r="I891" s="111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>
      <c r="A892" s="96"/>
      <c r="B892" s="96"/>
      <c r="C892" s="96"/>
      <c r="D892" s="96"/>
      <c r="E892" s="96"/>
      <c r="F892" s="96"/>
      <c r="G892" s="96"/>
      <c r="H892" s="96"/>
      <c r="I892" s="111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>
      <c r="A893" s="96"/>
      <c r="B893" s="96"/>
      <c r="C893" s="96"/>
      <c r="D893" s="96"/>
      <c r="E893" s="96"/>
      <c r="F893" s="96"/>
      <c r="G893" s="96"/>
      <c r="H893" s="96"/>
      <c r="I893" s="111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>
      <c r="A894" s="96"/>
      <c r="B894" s="96"/>
      <c r="C894" s="96"/>
      <c r="D894" s="96"/>
      <c r="E894" s="96"/>
      <c r="F894" s="96"/>
      <c r="G894" s="96"/>
      <c r="H894" s="96"/>
      <c r="I894" s="111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>
      <c r="A895" s="96"/>
      <c r="B895" s="96"/>
      <c r="C895" s="96"/>
      <c r="D895" s="96"/>
      <c r="E895" s="96"/>
      <c r="F895" s="96"/>
      <c r="G895" s="96"/>
      <c r="H895" s="96"/>
      <c r="I895" s="111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>
      <c r="A896" s="96"/>
      <c r="B896" s="96"/>
      <c r="C896" s="96"/>
      <c r="D896" s="96"/>
      <c r="E896" s="96"/>
      <c r="F896" s="96"/>
      <c r="G896" s="96"/>
      <c r="H896" s="96"/>
      <c r="I896" s="111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>
      <c r="A897" s="96"/>
      <c r="B897" s="96"/>
      <c r="C897" s="96"/>
      <c r="D897" s="96"/>
      <c r="E897" s="96"/>
      <c r="F897" s="96"/>
      <c r="G897" s="96"/>
      <c r="H897" s="96"/>
      <c r="I897" s="111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>
      <c r="A898" s="96"/>
      <c r="B898" s="96"/>
      <c r="C898" s="96"/>
      <c r="D898" s="96"/>
      <c r="E898" s="96"/>
      <c r="F898" s="96"/>
      <c r="G898" s="96"/>
      <c r="H898" s="96"/>
      <c r="I898" s="111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>
      <c r="A899" s="96"/>
      <c r="B899" s="96"/>
      <c r="C899" s="96"/>
      <c r="D899" s="96"/>
      <c r="E899" s="96"/>
      <c r="F899" s="96"/>
      <c r="G899" s="96"/>
      <c r="H899" s="96"/>
      <c r="I899" s="111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>
      <c r="A900" s="96"/>
      <c r="B900" s="96"/>
      <c r="C900" s="96"/>
      <c r="D900" s="96"/>
      <c r="E900" s="96"/>
      <c r="F900" s="96"/>
      <c r="G900" s="96"/>
      <c r="H900" s="96"/>
      <c r="I900" s="111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>
      <c r="A901" s="96"/>
      <c r="B901" s="96"/>
      <c r="C901" s="96"/>
      <c r="D901" s="96"/>
      <c r="E901" s="96"/>
      <c r="F901" s="96"/>
      <c r="G901" s="96"/>
      <c r="H901" s="96"/>
      <c r="I901" s="111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>
      <c r="A902" s="96"/>
      <c r="B902" s="96"/>
      <c r="C902" s="96"/>
      <c r="D902" s="96"/>
      <c r="E902" s="96"/>
      <c r="F902" s="96"/>
      <c r="G902" s="96"/>
      <c r="H902" s="96"/>
      <c r="I902" s="111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>
      <c r="A903" s="96"/>
      <c r="B903" s="96"/>
      <c r="C903" s="96"/>
      <c r="D903" s="96"/>
      <c r="E903" s="96"/>
      <c r="F903" s="96"/>
      <c r="G903" s="96"/>
      <c r="H903" s="96"/>
      <c r="I903" s="111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>
      <c r="A904" s="96"/>
      <c r="B904" s="96"/>
      <c r="C904" s="96"/>
      <c r="D904" s="96"/>
      <c r="E904" s="96"/>
      <c r="F904" s="96"/>
      <c r="G904" s="96"/>
      <c r="H904" s="96"/>
      <c r="I904" s="111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>
      <c r="A905" s="96"/>
      <c r="B905" s="96"/>
      <c r="C905" s="96"/>
      <c r="D905" s="96"/>
      <c r="E905" s="96"/>
      <c r="F905" s="96"/>
      <c r="G905" s="96"/>
      <c r="H905" s="96"/>
      <c r="I905" s="111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>
      <c r="A906" s="96"/>
      <c r="B906" s="96"/>
      <c r="C906" s="96"/>
      <c r="D906" s="96"/>
      <c r="E906" s="96"/>
      <c r="F906" s="96"/>
      <c r="G906" s="96"/>
      <c r="H906" s="96"/>
      <c r="I906" s="111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>
      <c r="A907" s="96"/>
      <c r="B907" s="96"/>
      <c r="C907" s="96"/>
      <c r="D907" s="96"/>
      <c r="E907" s="96"/>
      <c r="F907" s="96"/>
      <c r="G907" s="96"/>
      <c r="H907" s="96"/>
      <c r="I907" s="111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>
      <c r="A908" s="96"/>
      <c r="B908" s="96"/>
      <c r="C908" s="96"/>
      <c r="D908" s="96"/>
      <c r="E908" s="96"/>
      <c r="F908" s="96"/>
      <c r="G908" s="96"/>
      <c r="H908" s="96"/>
      <c r="I908" s="111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>
      <c r="A909" s="96"/>
      <c r="B909" s="96"/>
      <c r="C909" s="96"/>
      <c r="D909" s="96"/>
      <c r="E909" s="96"/>
      <c r="F909" s="96"/>
      <c r="G909" s="96"/>
      <c r="H909" s="96"/>
      <c r="I909" s="111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>
      <c r="A910" s="96"/>
      <c r="B910" s="96"/>
      <c r="C910" s="96"/>
      <c r="D910" s="96"/>
      <c r="E910" s="96"/>
      <c r="F910" s="96"/>
      <c r="G910" s="96"/>
      <c r="H910" s="96"/>
      <c r="I910" s="111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>
      <c r="A911" s="96"/>
      <c r="B911" s="96"/>
      <c r="C911" s="96"/>
      <c r="D911" s="96"/>
      <c r="E911" s="96"/>
      <c r="F911" s="96"/>
      <c r="G911" s="96"/>
      <c r="H911" s="96"/>
      <c r="I911" s="111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>
      <c r="A912" s="96"/>
      <c r="B912" s="96"/>
      <c r="C912" s="96"/>
      <c r="D912" s="96"/>
      <c r="E912" s="96"/>
      <c r="F912" s="96"/>
      <c r="G912" s="96"/>
      <c r="H912" s="96"/>
      <c r="I912" s="111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>
      <c r="A913" s="96"/>
      <c r="B913" s="96"/>
      <c r="C913" s="96"/>
      <c r="D913" s="96"/>
      <c r="E913" s="96"/>
      <c r="F913" s="96"/>
      <c r="G913" s="96"/>
      <c r="H913" s="96"/>
      <c r="I913" s="111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>
      <c r="A914" s="96"/>
      <c r="B914" s="96"/>
      <c r="C914" s="96"/>
      <c r="D914" s="96"/>
      <c r="E914" s="96"/>
      <c r="F914" s="96"/>
      <c r="G914" s="96"/>
      <c r="H914" s="96"/>
      <c r="I914" s="111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>
      <c r="A915" s="96"/>
      <c r="B915" s="96"/>
      <c r="C915" s="96"/>
      <c r="D915" s="96"/>
      <c r="E915" s="96"/>
      <c r="F915" s="96"/>
      <c r="G915" s="96"/>
      <c r="H915" s="96"/>
      <c r="I915" s="111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>
      <c r="A916" s="96"/>
      <c r="B916" s="96"/>
      <c r="C916" s="96"/>
      <c r="D916" s="96"/>
      <c r="E916" s="96"/>
      <c r="F916" s="96"/>
      <c r="G916" s="96"/>
      <c r="H916" s="96"/>
      <c r="I916" s="111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>
      <c r="A917" s="96"/>
      <c r="B917" s="96"/>
      <c r="C917" s="96"/>
      <c r="D917" s="96"/>
      <c r="E917" s="96"/>
      <c r="F917" s="96"/>
      <c r="G917" s="96"/>
      <c r="H917" s="96"/>
      <c r="I917" s="111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>
      <c r="A918" s="96"/>
      <c r="B918" s="96"/>
      <c r="C918" s="96"/>
      <c r="D918" s="96"/>
      <c r="E918" s="96"/>
      <c r="F918" s="96"/>
      <c r="G918" s="96"/>
      <c r="H918" s="96"/>
      <c r="I918" s="111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>
      <c r="A919" s="96"/>
      <c r="B919" s="96"/>
      <c r="C919" s="96"/>
      <c r="D919" s="96"/>
      <c r="E919" s="96"/>
      <c r="F919" s="96"/>
      <c r="G919" s="96"/>
      <c r="H919" s="96"/>
      <c r="I919" s="111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>
      <c r="A920" s="96"/>
      <c r="B920" s="96"/>
      <c r="C920" s="96"/>
      <c r="D920" s="96"/>
      <c r="E920" s="96"/>
      <c r="F920" s="96"/>
      <c r="G920" s="96"/>
      <c r="H920" s="96"/>
      <c r="I920" s="111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>
      <c r="A921" s="96"/>
      <c r="B921" s="96"/>
      <c r="C921" s="96"/>
      <c r="D921" s="96"/>
      <c r="E921" s="96"/>
      <c r="F921" s="96"/>
      <c r="G921" s="96"/>
      <c r="H921" s="96"/>
      <c r="I921" s="111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>
      <c r="A922" s="96"/>
      <c r="B922" s="96"/>
      <c r="C922" s="96"/>
      <c r="D922" s="96"/>
      <c r="E922" s="96"/>
      <c r="F922" s="96"/>
      <c r="G922" s="96"/>
      <c r="H922" s="96"/>
      <c r="I922" s="111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>
      <c r="A923" s="96"/>
      <c r="B923" s="96"/>
      <c r="C923" s="96"/>
      <c r="D923" s="96"/>
      <c r="E923" s="96"/>
      <c r="F923" s="96"/>
      <c r="G923" s="96"/>
      <c r="H923" s="96"/>
      <c r="I923" s="111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>
      <c r="A924" s="96"/>
      <c r="B924" s="96"/>
      <c r="C924" s="96"/>
      <c r="D924" s="96"/>
      <c r="E924" s="96"/>
      <c r="F924" s="96"/>
      <c r="G924" s="96"/>
      <c r="H924" s="96"/>
      <c r="I924" s="111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>
      <c r="A925" s="96"/>
      <c r="B925" s="96"/>
      <c r="C925" s="96"/>
      <c r="D925" s="96"/>
      <c r="E925" s="96"/>
      <c r="F925" s="96"/>
      <c r="G925" s="96"/>
      <c r="H925" s="96"/>
      <c r="I925" s="111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>
      <c r="A926" s="96"/>
      <c r="B926" s="96"/>
      <c r="C926" s="96"/>
      <c r="D926" s="96"/>
      <c r="E926" s="96"/>
      <c r="F926" s="96"/>
      <c r="G926" s="96"/>
      <c r="H926" s="96"/>
      <c r="I926" s="111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>
      <c r="A927" s="96"/>
      <c r="B927" s="96"/>
      <c r="C927" s="96"/>
      <c r="D927" s="96"/>
      <c r="E927" s="96"/>
      <c r="F927" s="96"/>
      <c r="G927" s="96"/>
      <c r="H927" s="96"/>
      <c r="I927" s="111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>
      <c r="A928" s="96"/>
      <c r="B928" s="96"/>
      <c r="C928" s="96"/>
      <c r="D928" s="96"/>
      <c r="E928" s="96"/>
      <c r="F928" s="96"/>
      <c r="G928" s="96"/>
      <c r="H928" s="96"/>
      <c r="I928" s="111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>
      <c r="A929" s="96"/>
      <c r="B929" s="96"/>
      <c r="C929" s="96"/>
      <c r="D929" s="96"/>
      <c r="E929" s="96"/>
      <c r="F929" s="96"/>
      <c r="G929" s="96"/>
      <c r="H929" s="96"/>
      <c r="I929" s="111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>
      <c r="A930" s="96"/>
      <c r="B930" s="96"/>
      <c r="C930" s="96"/>
      <c r="D930" s="96"/>
      <c r="E930" s="96"/>
      <c r="F930" s="96"/>
      <c r="G930" s="96"/>
      <c r="H930" s="96"/>
      <c r="I930" s="111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>
      <c r="A931" s="96"/>
      <c r="B931" s="96"/>
      <c r="C931" s="96"/>
      <c r="D931" s="96"/>
      <c r="E931" s="96"/>
      <c r="F931" s="96"/>
      <c r="G931" s="96"/>
      <c r="H931" s="96"/>
      <c r="I931" s="111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>
      <c r="A932" s="96"/>
      <c r="B932" s="96"/>
      <c r="C932" s="96"/>
      <c r="D932" s="96"/>
      <c r="E932" s="96"/>
      <c r="F932" s="96"/>
      <c r="G932" s="96"/>
      <c r="H932" s="96"/>
      <c r="I932" s="111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>
      <c r="A933" s="96"/>
      <c r="B933" s="96"/>
      <c r="C933" s="96"/>
      <c r="D933" s="96"/>
      <c r="E933" s="96"/>
      <c r="F933" s="96"/>
      <c r="G933" s="96"/>
      <c r="H933" s="96"/>
      <c r="I933" s="111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>
      <c r="A934" s="96"/>
      <c r="B934" s="96"/>
      <c r="C934" s="96"/>
      <c r="D934" s="96"/>
      <c r="E934" s="96"/>
      <c r="F934" s="96"/>
      <c r="G934" s="96"/>
      <c r="H934" s="96"/>
      <c r="I934" s="111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>
      <c r="A935" s="96"/>
      <c r="B935" s="96"/>
      <c r="C935" s="96"/>
      <c r="D935" s="96"/>
      <c r="E935" s="96"/>
      <c r="F935" s="96"/>
      <c r="G935" s="96"/>
      <c r="H935" s="96"/>
      <c r="I935" s="111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>
      <c r="A936" s="96"/>
      <c r="B936" s="96"/>
      <c r="C936" s="96"/>
      <c r="D936" s="96"/>
      <c r="E936" s="96"/>
      <c r="F936" s="96"/>
      <c r="G936" s="96"/>
      <c r="H936" s="96"/>
      <c r="I936" s="111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>
      <c r="A937" s="96"/>
      <c r="B937" s="96"/>
      <c r="C937" s="96"/>
      <c r="D937" s="96"/>
      <c r="E937" s="96"/>
      <c r="F937" s="96"/>
      <c r="G937" s="96"/>
      <c r="H937" s="96"/>
      <c r="I937" s="111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>
      <c r="A938" s="96"/>
      <c r="B938" s="96"/>
      <c r="C938" s="96"/>
      <c r="D938" s="96"/>
      <c r="E938" s="96"/>
      <c r="F938" s="96"/>
      <c r="G938" s="96"/>
      <c r="H938" s="96"/>
      <c r="I938" s="111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>
      <c r="A939" s="96"/>
      <c r="B939" s="96"/>
      <c r="C939" s="96"/>
      <c r="D939" s="96"/>
      <c r="E939" s="96"/>
      <c r="F939" s="96"/>
      <c r="G939" s="96"/>
      <c r="H939" s="96"/>
      <c r="I939" s="111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>
      <c r="A940" s="96"/>
      <c r="B940" s="96"/>
      <c r="C940" s="96"/>
      <c r="D940" s="96"/>
      <c r="E940" s="96"/>
      <c r="F940" s="96"/>
      <c r="G940" s="96"/>
      <c r="H940" s="96"/>
      <c r="I940" s="111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>
      <c r="A941" s="96"/>
      <c r="B941" s="96"/>
      <c r="C941" s="96"/>
      <c r="D941" s="96"/>
      <c r="E941" s="96"/>
      <c r="F941" s="96"/>
      <c r="G941" s="96"/>
      <c r="H941" s="96"/>
      <c r="I941" s="111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>
      <c r="A942" s="96"/>
      <c r="B942" s="96"/>
      <c r="C942" s="96"/>
      <c r="D942" s="96"/>
      <c r="E942" s="96"/>
      <c r="F942" s="96"/>
      <c r="G942" s="96"/>
      <c r="H942" s="96"/>
      <c r="I942" s="111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>
      <c r="A943" s="96"/>
      <c r="B943" s="96"/>
      <c r="C943" s="96"/>
      <c r="D943" s="96"/>
      <c r="E943" s="96"/>
      <c r="F943" s="96"/>
      <c r="G943" s="96"/>
      <c r="H943" s="96"/>
      <c r="I943" s="111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>
      <c r="A944" s="96"/>
      <c r="B944" s="96"/>
      <c r="C944" s="96"/>
      <c r="D944" s="96"/>
      <c r="E944" s="96"/>
      <c r="F944" s="96"/>
      <c r="G944" s="96"/>
      <c r="H944" s="96"/>
      <c r="I944" s="111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>
      <c r="A945" s="96"/>
      <c r="B945" s="96"/>
      <c r="C945" s="96"/>
      <c r="D945" s="96"/>
      <c r="E945" s="96"/>
      <c r="F945" s="96"/>
      <c r="G945" s="96"/>
      <c r="H945" s="96"/>
      <c r="I945" s="111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>
      <c r="A946" s="96"/>
      <c r="B946" s="96"/>
      <c r="C946" s="96"/>
      <c r="D946" s="96"/>
      <c r="E946" s="96"/>
      <c r="F946" s="96"/>
      <c r="G946" s="96"/>
      <c r="H946" s="96"/>
      <c r="I946" s="111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>
      <c r="A947" s="96"/>
      <c r="B947" s="96"/>
      <c r="C947" s="96"/>
      <c r="D947" s="96"/>
      <c r="E947" s="96"/>
      <c r="F947" s="96"/>
      <c r="G947" s="96"/>
      <c r="H947" s="96"/>
      <c r="I947" s="111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>
      <c r="A948" s="96"/>
      <c r="B948" s="96"/>
      <c r="C948" s="96"/>
      <c r="D948" s="96"/>
      <c r="E948" s="96"/>
      <c r="F948" s="96"/>
      <c r="G948" s="96"/>
      <c r="H948" s="96"/>
      <c r="I948" s="111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>
      <c r="A949" s="96"/>
      <c r="B949" s="96"/>
      <c r="C949" s="96"/>
      <c r="D949" s="96"/>
      <c r="E949" s="96"/>
      <c r="F949" s="96"/>
      <c r="G949" s="96"/>
      <c r="H949" s="96"/>
      <c r="I949" s="111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>
      <c r="A950" s="96"/>
      <c r="B950" s="96"/>
      <c r="C950" s="96"/>
      <c r="D950" s="96"/>
      <c r="E950" s="96"/>
      <c r="F950" s="96"/>
      <c r="G950" s="96"/>
      <c r="H950" s="96"/>
      <c r="I950" s="111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>
      <c r="A951" s="96"/>
      <c r="B951" s="96"/>
      <c r="C951" s="96"/>
      <c r="D951" s="96"/>
      <c r="E951" s="96"/>
      <c r="F951" s="96"/>
      <c r="G951" s="96"/>
      <c r="H951" s="96"/>
      <c r="I951" s="111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>
      <c r="A952" s="96"/>
      <c r="B952" s="96"/>
      <c r="C952" s="96"/>
      <c r="D952" s="96"/>
      <c r="E952" s="96"/>
      <c r="F952" s="96"/>
      <c r="G952" s="96"/>
      <c r="H952" s="96"/>
      <c r="I952" s="111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>
      <c r="A953" s="96"/>
      <c r="B953" s="96"/>
      <c r="C953" s="96"/>
      <c r="D953" s="96"/>
      <c r="E953" s="96"/>
      <c r="F953" s="96"/>
      <c r="G953" s="96"/>
      <c r="H953" s="96"/>
      <c r="I953" s="111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>
      <c r="A954" s="96"/>
      <c r="B954" s="96"/>
      <c r="C954" s="96"/>
      <c r="D954" s="96"/>
      <c r="E954" s="96"/>
      <c r="F954" s="96"/>
      <c r="G954" s="96"/>
      <c r="H954" s="96"/>
      <c r="I954" s="111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>
      <c r="A955" s="96"/>
      <c r="B955" s="96"/>
      <c r="C955" s="96"/>
      <c r="D955" s="96"/>
      <c r="E955" s="96"/>
      <c r="F955" s="96"/>
      <c r="G955" s="96"/>
      <c r="H955" s="96"/>
      <c r="I955" s="111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>
      <c r="A956" s="96"/>
      <c r="B956" s="96"/>
      <c r="C956" s="96"/>
      <c r="D956" s="96"/>
      <c r="E956" s="96"/>
      <c r="F956" s="96"/>
      <c r="G956" s="96"/>
      <c r="H956" s="96"/>
      <c r="I956" s="111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>
      <c r="A957" s="96"/>
      <c r="B957" s="96"/>
      <c r="C957" s="96"/>
      <c r="D957" s="96"/>
      <c r="E957" s="96"/>
      <c r="F957" s="96"/>
      <c r="G957" s="96"/>
      <c r="H957" s="96"/>
      <c r="I957" s="111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>
      <c r="A958" s="96"/>
      <c r="B958" s="96"/>
      <c r="C958" s="96"/>
      <c r="D958" s="96"/>
      <c r="E958" s="96"/>
      <c r="F958" s="96"/>
      <c r="G958" s="96"/>
      <c r="H958" s="96"/>
      <c r="I958" s="111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>
      <c r="A959" s="96"/>
      <c r="B959" s="96"/>
      <c r="C959" s="96"/>
      <c r="D959" s="96"/>
      <c r="E959" s="96"/>
      <c r="F959" s="96"/>
      <c r="G959" s="96"/>
      <c r="H959" s="96"/>
      <c r="I959" s="111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>
      <c r="A960" s="96"/>
      <c r="B960" s="96"/>
      <c r="C960" s="96"/>
      <c r="D960" s="96"/>
      <c r="E960" s="96"/>
      <c r="F960" s="96"/>
      <c r="G960" s="96"/>
      <c r="H960" s="96"/>
      <c r="I960" s="111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>
      <c r="A961" s="96"/>
      <c r="B961" s="96"/>
      <c r="C961" s="96"/>
      <c r="D961" s="96"/>
      <c r="E961" s="96"/>
      <c r="F961" s="96"/>
      <c r="G961" s="96"/>
      <c r="H961" s="96"/>
      <c r="I961" s="111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>
      <c r="A962" s="96"/>
      <c r="B962" s="96"/>
      <c r="C962" s="96"/>
      <c r="D962" s="96"/>
      <c r="E962" s="96"/>
      <c r="F962" s="96"/>
      <c r="G962" s="96"/>
      <c r="H962" s="96"/>
      <c r="I962" s="111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>
      <c r="A963" s="96"/>
      <c r="B963" s="96"/>
      <c r="C963" s="96"/>
      <c r="D963" s="96"/>
      <c r="E963" s="96"/>
      <c r="F963" s="96"/>
      <c r="G963" s="96"/>
      <c r="H963" s="96"/>
      <c r="I963" s="111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>
      <c r="A964" s="96"/>
      <c r="B964" s="96"/>
      <c r="C964" s="96"/>
      <c r="D964" s="96"/>
      <c r="E964" s="96"/>
      <c r="F964" s="96"/>
      <c r="G964" s="96"/>
      <c r="H964" s="96"/>
      <c r="I964" s="111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>
      <c r="A965" s="96"/>
      <c r="B965" s="96"/>
      <c r="C965" s="96"/>
      <c r="D965" s="96"/>
      <c r="E965" s="96"/>
      <c r="F965" s="96"/>
      <c r="G965" s="96"/>
      <c r="H965" s="96"/>
      <c r="I965" s="111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>
      <c r="A966" s="96"/>
      <c r="B966" s="96"/>
      <c r="C966" s="96"/>
      <c r="D966" s="96"/>
      <c r="E966" s="96"/>
      <c r="F966" s="96"/>
      <c r="G966" s="96"/>
      <c r="H966" s="96"/>
      <c r="I966" s="111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>
      <c r="A967" s="96"/>
      <c r="B967" s="96"/>
      <c r="C967" s="96"/>
      <c r="D967" s="96"/>
      <c r="E967" s="96"/>
      <c r="F967" s="96"/>
      <c r="G967" s="96"/>
      <c r="H967" s="96"/>
      <c r="I967" s="111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>
      <c r="A968" s="96"/>
      <c r="B968" s="96"/>
      <c r="C968" s="96"/>
      <c r="D968" s="96"/>
      <c r="E968" s="96"/>
      <c r="F968" s="96"/>
      <c r="G968" s="96"/>
      <c r="H968" s="96"/>
      <c r="I968" s="111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>
      <c r="A969" s="96"/>
      <c r="B969" s="96"/>
      <c r="C969" s="96"/>
      <c r="D969" s="96"/>
      <c r="E969" s="96"/>
      <c r="F969" s="96"/>
      <c r="G969" s="96"/>
      <c r="H969" s="96"/>
      <c r="I969" s="111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>
      <c r="A970" s="96"/>
      <c r="B970" s="96"/>
      <c r="C970" s="96"/>
      <c r="D970" s="96"/>
      <c r="E970" s="96"/>
      <c r="F970" s="96"/>
      <c r="G970" s="96"/>
      <c r="H970" s="96"/>
      <c r="I970" s="111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>
      <c r="A971" s="96"/>
      <c r="B971" s="96"/>
      <c r="C971" s="96"/>
      <c r="D971" s="96"/>
      <c r="E971" s="96"/>
      <c r="F971" s="96"/>
      <c r="G971" s="96"/>
      <c r="H971" s="96"/>
      <c r="I971" s="111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>
      <c r="A972" s="96"/>
      <c r="B972" s="96"/>
      <c r="C972" s="96"/>
      <c r="D972" s="96"/>
      <c r="E972" s="96"/>
      <c r="F972" s="96"/>
      <c r="G972" s="96"/>
      <c r="H972" s="96"/>
      <c r="I972" s="111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>
      <c r="A973" s="96"/>
      <c r="B973" s="96"/>
      <c r="C973" s="96"/>
      <c r="D973" s="96"/>
      <c r="E973" s="96"/>
      <c r="F973" s="96"/>
      <c r="G973" s="96"/>
      <c r="H973" s="96"/>
      <c r="I973" s="111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>
      <c r="A974" s="96"/>
      <c r="B974" s="96"/>
      <c r="C974" s="96"/>
      <c r="D974" s="96"/>
      <c r="E974" s="96"/>
      <c r="F974" s="96"/>
      <c r="G974" s="96"/>
      <c r="H974" s="96"/>
      <c r="I974" s="111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>
      <c r="A975" s="96"/>
      <c r="B975" s="96"/>
      <c r="C975" s="96"/>
      <c r="D975" s="96"/>
      <c r="E975" s="96"/>
      <c r="F975" s="96"/>
      <c r="G975" s="96"/>
      <c r="H975" s="96"/>
      <c r="I975" s="111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>
      <c r="A976" s="96"/>
      <c r="B976" s="96"/>
      <c r="C976" s="96"/>
      <c r="D976" s="96"/>
      <c r="E976" s="96"/>
      <c r="F976" s="96"/>
      <c r="G976" s="96"/>
      <c r="H976" s="96"/>
      <c r="I976" s="111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>
      <c r="A977" s="96"/>
      <c r="B977" s="96"/>
      <c r="C977" s="96"/>
      <c r="D977" s="96"/>
      <c r="E977" s="96"/>
      <c r="F977" s="96"/>
      <c r="G977" s="96"/>
      <c r="H977" s="96"/>
      <c r="I977" s="111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>
      <c r="A978" s="96"/>
      <c r="B978" s="96"/>
      <c r="C978" s="96"/>
      <c r="D978" s="96"/>
      <c r="E978" s="96"/>
      <c r="F978" s="96"/>
      <c r="G978" s="96"/>
      <c r="H978" s="96"/>
      <c r="I978" s="111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>
      <c r="A979" s="96"/>
      <c r="B979" s="96"/>
      <c r="C979" s="96"/>
      <c r="D979" s="96"/>
      <c r="E979" s="96"/>
      <c r="F979" s="96"/>
      <c r="G979" s="96"/>
      <c r="H979" s="96"/>
      <c r="I979" s="111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>
      <c r="A980" s="96"/>
      <c r="B980" s="96"/>
      <c r="C980" s="96"/>
      <c r="D980" s="96"/>
      <c r="E980" s="96"/>
      <c r="F980" s="96"/>
      <c r="G980" s="96"/>
      <c r="H980" s="96"/>
      <c r="I980" s="111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>
      <c r="A981" s="96"/>
      <c r="B981" s="96"/>
      <c r="C981" s="96"/>
      <c r="D981" s="96"/>
      <c r="E981" s="96"/>
      <c r="F981" s="96"/>
      <c r="G981" s="96"/>
      <c r="H981" s="96"/>
      <c r="I981" s="111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>
      <c r="A982" s="96"/>
      <c r="B982" s="96"/>
      <c r="C982" s="96"/>
      <c r="D982" s="96"/>
      <c r="E982" s="96"/>
      <c r="F982" s="96"/>
      <c r="G982" s="96"/>
      <c r="H982" s="96"/>
      <c r="I982" s="111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>
      <c r="A983" s="96"/>
      <c r="B983" s="96"/>
      <c r="C983" s="96"/>
      <c r="D983" s="96"/>
      <c r="E983" s="96"/>
      <c r="F983" s="96"/>
      <c r="G983" s="96"/>
      <c r="H983" s="96"/>
      <c r="I983" s="111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>
      <c r="A984" s="96"/>
      <c r="B984" s="96"/>
      <c r="C984" s="96"/>
      <c r="D984" s="96"/>
      <c r="E984" s="96"/>
      <c r="F984" s="96"/>
      <c r="G984" s="96"/>
      <c r="H984" s="96"/>
      <c r="I984" s="111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>
      <c r="A985" s="96"/>
      <c r="B985" s="96"/>
      <c r="C985" s="96"/>
      <c r="D985" s="96"/>
      <c r="E985" s="96"/>
      <c r="F985" s="96"/>
      <c r="G985" s="96"/>
      <c r="H985" s="96"/>
      <c r="I985" s="111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>
      <c r="A986" s="96"/>
      <c r="B986" s="96"/>
      <c r="C986" s="96"/>
      <c r="D986" s="96"/>
      <c r="E986" s="96"/>
      <c r="F986" s="96"/>
      <c r="G986" s="96"/>
      <c r="H986" s="96"/>
      <c r="I986" s="111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>
      <c r="A987" s="96"/>
      <c r="B987" s="96"/>
      <c r="C987" s="96"/>
      <c r="D987" s="96"/>
      <c r="E987" s="96"/>
      <c r="F987" s="96"/>
      <c r="G987" s="96"/>
      <c r="H987" s="96"/>
      <c r="I987" s="111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>
      <c r="A988" s="96"/>
      <c r="B988" s="96"/>
      <c r="C988" s="96"/>
      <c r="D988" s="96"/>
      <c r="E988" s="96"/>
      <c r="F988" s="96"/>
      <c r="G988" s="96"/>
      <c r="H988" s="96"/>
      <c r="I988" s="111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>
      <c r="A989" s="96"/>
      <c r="B989" s="96"/>
      <c r="C989" s="96"/>
      <c r="D989" s="96"/>
      <c r="E989" s="96"/>
      <c r="F989" s="96"/>
      <c r="G989" s="96"/>
      <c r="H989" s="96"/>
      <c r="I989" s="111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>
      <c r="A990" s="96"/>
      <c r="B990" s="96"/>
      <c r="C990" s="96"/>
      <c r="D990" s="96"/>
      <c r="E990" s="96"/>
      <c r="F990" s="96"/>
      <c r="G990" s="96"/>
      <c r="H990" s="96"/>
      <c r="I990" s="111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>
      <c r="A991" s="96"/>
      <c r="B991" s="96"/>
      <c r="C991" s="96"/>
      <c r="D991" s="96"/>
      <c r="E991" s="96"/>
      <c r="F991" s="96"/>
      <c r="G991" s="96"/>
      <c r="H991" s="96"/>
      <c r="I991" s="111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>
      <c r="A992" s="96"/>
      <c r="B992" s="96"/>
      <c r="C992" s="96"/>
      <c r="D992" s="96"/>
      <c r="E992" s="96"/>
      <c r="F992" s="96"/>
      <c r="G992" s="96"/>
      <c r="H992" s="96"/>
      <c r="I992" s="111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>
      <c r="A993" s="96"/>
      <c r="B993" s="96"/>
      <c r="C993" s="96"/>
      <c r="D993" s="96"/>
      <c r="E993" s="96"/>
      <c r="F993" s="96"/>
      <c r="G993" s="96"/>
      <c r="H993" s="96"/>
      <c r="I993" s="111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>
      <c r="A994" s="96"/>
      <c r="B994" s="96"/>
      <c r="C994" s="96"/>
      <c r="D994" s="96"/>
      <c r="E994" s="96"/>
      <c r="F994" s="96"/>
      <c r="G994" s="96"/>
      <c r="H994" s="96"/>
      <c r="I994" s="111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>
      <c r="A995" s="96"/>
      <c r="B995" s="96"/>
      <c r="C995" s="96"/>
      <c r="D995" s="96"/>
      <c r="E995" s="96"/>
      <c r="F995" s="96"/>
      <c r="G995" s="96"/>
      <c r="H995" s="96"/>
      <c r="I995" s="111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>
      <c r="A996" s="96"/>
      <c r="B996" s="96"/>
      <c r="C996" s="96"/>
      <c r="D996" s="96"/>
      <c r="E996" s="96"/>
      <c r="F996" s="96"/>
      <c r="G996" s="96"/>
      <c r="H996" s="96"/>
      <c r="I996" s="111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>
      <c r="A997" s="96"/>
      <c r="B997" s="96"/>
      <c r="C997" s="96"/>
      <c r="D997" s="96"/>
      <c r="E997" s="96"/>
      <c r="F997" s="96"/>
      <c r="G997" s="96"/>
      <c r="H997" s="96"/>
      <c r="I997" s="111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>
      <c r="A998" s="96"/>
      <c r="B998" s="96"/>
      <c r="C998" s="96"/>
      <c r="D998" s="96"/>
      <c r="E998" s="96"/>
      <c r="F998" s="96"/>
      <c r="G998" s="96"/>
      <c r="H998" s="96"/>
      <c r="I998" s="111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>
      <c r="A999" s="96"/>
      <c r="B999" s="96"/>
      <c r="C999" s="96"/>
      <c r="D999" s="96"/>
      <c r="E999" s="96"/>
      <c r="F999" s="96"/>
      <c r="G999" s="96"/>
      <c r="H999" s="96"/>
      <c r="I999" s="111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>
      <c r="A1000" s="96"/>
      <c r="B1000" s="96"/>
      <c r="C1000" s="96"/>
      <c r="D1000" s="96"/>
      <c r="E1000" s="96"/>
      <c r="F1000" s="96"/>
      <c r="G1000" s="96"/>
      <c r="H1000" s="96"/>
      <c r="I1000" s="111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 spans="1:26">
      <c r="A1001" s="96"/>
      <c r="B1001" s="96"/>
      <c r="C1001" s="96"/>
      <c r="D1001" s="96"/>
      <c r="E1001" s="96"/>
      <c r="F1001" s="96"/>
      <c r="G1001" s="96"/>
      <c r="H1001" s="96"/>
      <c r="I1001" s="111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 spans="1:26">
      <c r="A1002" s="96"/>
      <c r="B1002" s="96"/>
      <c r="C1002" s="96"/>
      <c r="D1002" s="96"/>
      <c r="E1002" s="96"/>
      <c r="F1002" s="96"/>
      <c r="G1002" s="96"/>
      <c r="H1002" s="96"/>
      <c r="I1002" s="111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  <row r="1003" spans="1:26">
      <c r="A1003" s="96"/>
      <c r="B1003" s="96"/>
      <c r="C1003" s="96"/>
      <c r="D1003" s="96"/>
      <c r="E1003" s="96"/>
      <c r="F1003" s="96"/>
      <c r="G1003" s="96"/>
      <c r="H1003" s="96"/>
      <c r="I1003" s="111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</row>
    <row r="1004" spans="1:26">
      <c r="A1004" s="96"/>
      <c r="B1004" s="96"/>
      <c r="C1004" s="96"/>
      <c r="D1004" s="96"/>
      <c r="E1004" s="96"/>
      <c r="F1004" s="96"/>
      <c r="G1004" s="96"/>
      <c r="H1004" s="96"/>
      <c r="I1004" s="111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</row>
    <row r="1005" spans="1:26">
      <c r="A1005" s="96"/>
      <c r="B1005" s="96"/>
      <c r="C1005" s="96"/>
      <c r="D1005" s="96"/>
      <c r="E1005" s="96"/>
      <c r="F1005" s="96"/>
      <c r="G1005" s="96"/>
      <c r="H1005" s="96"/>
      <c r="I1005" s="111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</row>
    <row r="1006" spans="1:26">
      <c r="A1006" s="96"/>
      <c r="B1006" s="96"/>
      <c r="C1006" s="96"/>
      <c r="D1006" s="96"/>
      <c r="E1006" s="96"/>
      <c r="F1006" s="96"/>
      <c r="G1006" s="96"/>
      <c r="H1006" s="96"/>
      <c r="I1006" s="111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</row>
    <row r="1007" spans="1:26">
      <c r="A1007" s="96"/>
      <c r="B1007" s="96"/>
      <c r="C1007" s="96"/>
      <c r="D1007" s="96"/>
      <c r="E1007" s="96"/>
      <c r="F1007" s="96"/>
      <c r="G1007" s="96"/>
      <c r="H1007" s="96"/>
      <c r="I1007" s="111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</row>
    <row r="1008" spans="1:26">
      <c r="A1008" s="96"/>
      <c r="B1008" s="96"/>
      <c r="C1008" s="96"/>
      <c r="D1008" s="96"/>
      <c r="E1008" s="96"/>
      <c r="F1008" s="96"/>
      <c r="G1008" s="96"/>
      <c r="H1008" s="96"/>
      <c r="I1008" s="111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</row>
    <row r="1009" spans="1:26">
      <c r="A1009" s="96"/>
      <c r="B1009" s="96"/>
      <c r="C1009" s="96"/>
      <c r="D1009" s="96"/>
      <c r="E1009" s="96"/>
      <c r="F1009" s="96"/>
      <c r="G1009" s="96"/>
      <c r="H1009" s="96"/>
      <c r="I1009" s="111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</row>
    <row r="1010" spans="1:26">
      <c r="A1010" s="96"/>
      <c r="B1010" s="96"/>
      <c r="C1010" s="96"/>
      <c r="D1010" s="96"/>
      <c r="E1010" s="96"/>
      <c r="F1010" s="96"/>
      <c r="G1010" s="96"/>
      <c r="H1010" s="96"/>
      <c r="I1010" s="111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</row>
    <row r="1011" spans="1:26">
      <c r="A1011" s="96"/>
      <c r="B1011" s="96"/>
      <c r="C1011" s="96"/>
      <c r="D1011" s="96"/>
      <c r="E1011" s="96"/>
      <c r="F1011" s="96"/>
      <c r="G1011" s="96"/>
      <c r="H1011" s="96"/>
      <c r="I1011" s="111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</row>
    <row r="1012" spans="1:26">
      <c r="A1012" s="96"/>
      <c r="B1012" s="96"/>
      <c r="C1012" s="96"/>
      <c r="D1012" s="96"/>
      <c r="E1012" s="96"/>
      <c r="F1012" s="96"/>
      <c r="G1012" s="96"/>
      <c r="H1012" s="96"/>
      <c r="I1012" s="111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</row>
    <row r="1013" spans="1:26">
      <c r="A1013" s="96"/>
      <c r="B1013" s="96"/>
      <c r="C1013" s="96"/>
      <c r="D1013" s="96"/>
      <c r="E1013" s="96"/>
      <c r="F1013" s="96"/>
      <c r="G1013" s="96"/>
      <c r="H1013" s="96"/>
      <c r="I1013" s="111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</row>
    <row r="1014" spans="1:26">
      <c r="A1014" s="96"/>
      <c r="B1014" s="96"/>
      <c r="C1014" s="96"/>
      <c r="D1014" s="96"/>
      <c r="E1014" s="96"/>
      <c r="F1014" s="96"/>
      <c r="G1014" s="96"/>
      <c r="H1014" s="96"/>
      <c r="I1014" s="111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</row>
    <row r="1015" spans="1:26">
      <c r="A1015" s="96"/>
      <c r="B1015" s="96"/>
      <c r="C1015" s="96"/>
      <c r="D1015" s="96"/>
      <c r="E1015" s="96"/>
      <c r="F1015" s="96"/>
      <c r="G1015" s="96"/>
      <c r="H1015" s="96"/>
      <c r="I1015" s="111"/>
      <c r="J1015" s="96"/>
      <c r="K1015" s="96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</row>
    <row r="1016" spans="1:26">
      <c r="A1016" s="96"/>
      <c r="B1016" s="96"/>
      <c r="C1016" s="96"/>
      <c r="D1016" s="96"/>
      <c r="E1016" s="96"/>
      <c r="F1016" s="96"/>
      <c r="G1016" s="96"/>
      <c r="H1016" s="96"/>
      <c r="I1016" s="111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</row>
    <row r="1017" spans="1:26">
      <c r="A1017" s="96"/>
      <c r="B1017" s="96"/>
      <c r="C1017" s="96"/>
      <c r="D1017" s="96"/>
      <c r="E1017" s="96"/>
      <c r="F1017" s="96"/>
      <c r="G1017" s="96"/>
      <c r="H1017" s="96"/>
      <c r="I1017" s="111"/>
      <c r="J1017" s="96"/>
      <c r="K1017" s="96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</row>
    <row r="1018" spans="1:26">
      <c r="A1018" s="96"/>
      <c r="B1018" s="96"/>
      <c r="C1018" s="96"/>
      <c r="D1018" s="96"/>
      <c r="E1018" s="96"/>
      <c r="F1018" s="96"/>
      <c r="G1018" s="96"/>
      <c r="H1018" s="96"/>
      <c r="I1018" s="111"/>
      <c r="J1018" s="96"/>
      <c r="K1018" s="96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96"/>
      <c r="W1018" s="96"/>
      <c r="X1018" s="96"/>
      <c r="Y1018" s="96"/>
      <c r="Z1018" s="96"/>
    </row>
    <row r="1019" spans="1:26">
      <c r="A1019" s="96"/>
      <c r="B1019" s="96"/>
      <c r="C1019" s="96"/>
      <c r="D1019" s="96"/>
      <c r="E1019" s="96"/>
      <c r="F1019" s="96"/>
      <c r="G1019" s="96"/>
      <c r="H1019" s="96"/>
      <c r="I1019" s="111"/>
      <c r="J1019" s="96"/>
      <c r="K1019" s="96"/>
      <c r="L1019" s="96"/>
      <c r="M1019" s="96"/>
      <c r="N1019" s="96"/>
      <c r="O1019" s="96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</row>
    <row r="1020" spans="1:26">
      <c r="A1020" s="96"/>
      <c r="B1020" s="96"/>
      <c r="C1020" s="96"/>
      <c r="D1020" s="96"/>
      <c r="E1020" s="96"/>
      <c r="F1020" s="96"/>
      <c r="G1020" s="96"/>
      <c r="H1020" s="96"/>
      <c r="I1020" s="111"/>
      <c r="J1020" s="96"/>
      <c r="K1020" s="96"/>
      <c r="L1020" s="96"/>
      <c r="M1020" s="96"/>
      <c r="N1020" s="96"/>
      <c r="O1020" s="96"/>
      <c r="P1020" s="96"/>
      <c r="Q1020" s="96"/>
      <c r="R1020" s="96"/>
      <c r="S1020" s="96"/>
      <c r="T1020" s="96"/>
      <c r="U1020" s="96"/>
      <c r="V1020" s="96"/>
      <c r="W1020" s="96"/>
      <c r="X1020" s="96"/>
      <c r="Y1020" s="96"/>
      <c r="Z1020" s="96"/>
    </row>
    <row r="1021" spans="1:26">
      <c r="A1021" s="96"/>
      <c r="B1021" s="96"/>
      <c r="C1021" s="96"/>
      <c r="D1021" s="96"/>
      <c r="E1021" s="96"/>
      <c r="F1021" s="96"/>
      <c r="G1021" s="96"/>
      <c r="H1021" s="96"/>
      <c r="I1021" s="111"/>
      <c r="J1021" s="96"/>
      <c r="K1021" s="96"/>
      <c r="L1021" s="96"/>
      <c r="M1021" s="96"/>
      <c r="N1021" s="96"/>
      <c r="O1021" s="96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</row>
    <row r="1022" spans="1:26">
      <c r="A1022" s="96"/>
      <c r="B1022" s="96"/>
      <c r="C1022" s="96"/>
      <c r="D1022" s="96"/>
      <c r="E1022" s="96"/>
      <c r="F1022" s="96"/>
      <c r="G1022" s="96"/>
      <c r="H1022" s="96"/>
      <c r="I1022" s="111"/>
      <c r="J1022" s="96"/>
      <c r="K1022" s="96"/>
      <c r="L1022" s="96"/>
      <c r="M1022" s="96"/>
      <c r="N1022" s="96"/>
      <c r="O1022" s="96"/>
      <c r="P1022" s="96"/>
      <c r="Q1022" s="96"/>
      <c r="R1022" s="96"/>
      <c r="S1022" s="96"/>
      <c r="T1022" s="96"/>
      <c r="U1022" s="96"/>
      <c r="V1022" s="96"/>
      <c r="W1022" s="96"/>
      <c r="X1022" s="96"/>
      <c r="Y1022" s="96"/>
      <c r="Z1022" s="96"/>
    </row>
    <row r="1023" spans="1:26">
      <c r="A1023" s="96"/>
      <c r="B1023" s="96"/>
      <c r="C1023" s="96"/>
      <c r="D1023" s="96"/>
      <c r="E1023" s="96"/>
      <c r="F1023" s="96"/>
      <c r="G1023" s="96"/>
      <c r="H1023" s="96"/>
      <c r="I1023" s="111"/>
      <c r="J1023" s="96"/>
      <c r="K1023" s="96"/>
      <c r="L1023" s="96"/>
      <c r="M1023" s="96"/>
      <c r="N1023" s="96"/>
      <c r="O1023" s="96"/>
      <c r="P1023" s="96"/>
      <c r="Q1023" s="96"/>
      <c r="R1023" s="96"/>
      <c r="S1023" s="96"/>
      <c r="T1023" s="96"/>
      <c r="U1023" s="96"/>
      <c r="V1023" s="96"/>
      <c r="W1023" s="96"/>
      <c r="X1023" s="96"/>
      <c r="Y1023" s="96"/>
      <c r="Z1023" s="96"/>
    </row>
    <row r="1024" spans="1:26">
      <c r="A1024" s="96"/>
      <c r="B1024" s="96"/>
      <c r="C1024" s="96"/>
      <c r="D1024" s="96"/>
      <c r="E1024" s="96"/>
      <c r="F1024" s="96"/>
      <c r="G1024" s="96"/>
      <c r="H1024" s="96"/>
      <c r="I1024" s="111"/>
      <c r="J1024" s="96"/>
      <c r="K1024" s="96"/>
      <c r="L1024" s="96"/>
      <c r="M1024" s="96"/>
      <c r="N1024" s="96"/>
      <c r="O1024" s="96"/>
      <c r="P1024" s="96"/>
      <c r="Q1024" s="96"/>
      <c r="R1024" s="96"/>
      <c r="S1024" s="96"/>
      <c r="T1024" s="96"/>
      <c r="U1024" s="96"/>
      <c r="V1024" s="96"/>
      <c r="W1024" s="96"/>
      <c r="X1024" s="96"/>
      <c r="Y1024" s="96"/>
      <c r="Z1024" s="96"/>
    </row>
    <row r="1025" spans="1:26">
      <c r="A1025" s="96"/>
      <c r="B1025" s="96"/>
      <c r="C1025" s="96"/>
      <c r="D1025" s="96"/>
      <c r="E1025" s="96"/>
      <c r="F1025" s="96"/>
      <c r="G1025" s="96"/>
      <c r="H1025" s="96"/>
      <c r="I1025" s="111"/>
      <c r="J1025" s="96"/>
      <c r="K1025" s="96"/>
      <c r="L1025" s="96"/>
      <c r="M1025" s="96"/>
      <c r="N1025" s="96"/>
      <c r="O1025" s="96"/>
      <c r="P1025" s="96"/>
      <c r="Q1025" s="96"/>
      <c r="R1025" s="96"/>
      <c r="S1025" s="96"/>
      <c r="T1025" s="96"/>
      <c r="U1025" s="96"/>
      <c r="V1025" s="96"/>
      <c r="W1025" s="96"/>
      <c r="X1025" s="96"/>
      <c r="Y1025" s="96"/>
      <c r="Z1025" s="96"/>
    </row>
    <row r="1026" spans="1:26">
      <c r="A1026" s="96"/>
      <c r="B1026" s="96"/>
      <c r="C1026" s="96"/>
      <c r="D1026" s="96"/>
      <c r="E1026" s="96"/>
      <c r="F1026" s="96"/>
      <c r="G1026" s="96"/>
      <c r="H1026" s="96"/>
      <c r="I1026" s="111"/>
      <c r="J1026" s="96"/>
      <c r="K1026" s="96"/>
      <c r="L1026" s="96"/>
      <c r="M1026" s="96"/>
      <c r="N1026" s="96"/>
      <c r="O1026" s="96"/>
      <c r="P1026" s="96"/>
      <c r="Q1026" s="96"/>
      <c r="R1026" s="96"/>
      <c r="S1026" s="96"/>
      <c r="T1026" s="96"/>
      <c r="U1026" s="96"/>
      <c r="V1026" s="96"/>
      <c r="W1026" s="96"/>
      <c r="X1026" s="96"/>
      <c r="Y1026" s="96"/>
      <c r="Z1026" s="96"/>
    </row>
    <row r="1027" spans="1:26">
      <c r="A1027" s="96"/>
      <c r="B1027" s="96"/>
      <c r="C1027" s="96"/>
      <c r="D1027" s="96"/>
      <c r="E1027" s="96"/>
      <c r="F1027" s="96"/>
      <c r="G1027" s="96"/>
      <c r="H1027" s="96"/>
      <c r="I1027" s="111"/>
      <c r="J1027" s="96"/>
      <c r="K1027" s="96"/>
      <c r="L1027" s="96"/>
      <c r="M1027" s="96"/>
      <c r="N1027" s="96"/>
      <c r="O1027" s="96"/>
      <c r="P1027" s="96"/>
      <c r="Q1027" s="96"/>
      <c r="R1027" s="96"/>
      <c r="S1027" s="96"/>
      <c r="T1027" s="96"/>
      <c r="U1027" s="96"/>
      <c r="V1027" s="96"/>
      <c r="W1027" s="96"/>
      <c r="X1027" s="96"/>
      <c r="Y1027" s="96"/>
      <c r="Z1027" s="96"/>
    </row>
    <row r="1028" spans="1:26">
      <c r="A1028" s="96"/>
      <c r="B1028" s="96"/>
      <c r="C1028" s="96"/>
      <c r="D1028" s="96"/>
      <c r="E1028" s="96"/>
      <c r="F1028" s="96"/>
      <c r="G1028" s="96"/>
      <c r="H1028" s="96"/>
      <c r="I1028" s="111"/>
      <c r="J1028" s="96"/>
      <c r="K1028" s="96"/>
      <c r="L1028" s="96"/>
      <c r="M1028" s="96"/>
      <c r="N1028" s="96"/>
      <c r="O1028" s="96"/>
      <c r="P1028" s="96"/>
      <c r="Q1028" s="96"/>
      <c r="R1028" s="96"/>
      <c r="S1028" s="96"/>
      <c r="T1028" s="96"/>
      <c r="U1028" s="96"/>
      <c r="V1028" s="96"/>
      <c r="W1028" s="96"/>
      <c r="X1028" s="96"/>
      <c r="Y1028" s="96"/>
      <c r="Z1028" s="96"/>
    </row>
    <row r="1029" spans="1:26">
      <c r="A1029" s="96"/>
      <c r="B1029" s="96"/>
      <c r="C1029" s="96"/>
      <c r="D1029" s="96"/>
      <c r="E1029" s="96"/>
      <c r="F1029" s="96"/>
      <c r="G1029" s="96"/>
      <c r="H1029" s="96"/>
      <c r="I1029" s="111"/>
      <c r="J1029" s="96"/>
      <c r="K1029" s="96"/>
      <c r="L1029" s="96"/>
      <c r="M1029" s="96"/>
      <c r="N1029" s="96"/>
      <c r="O1029" s="96"/>
      <c r="P1029" s="96"/>
      <c r="Q1029" s="96"/>
      <c r="R1029" s="96"/>
      <c r="S1029" s="96"/>
      <c r="T1029" s="96"/>
      <c r="U1029" s="96"/>
      <c r="V1029" s="96"/>
      <c r="W1029" s="96"/>
      <c r="X1029" s="96"/>
      <c r="Y1029" s="96"/>
      <c r="Z1029" s="96"/>
    </row>
    <row r="1030" spans="1:26">
      <c r="A1030" s="96"/>
      <c r="B1030" s="96"/>
      <c r="C1030" s="96"/>
      <c r="D1030" s="96"/>
      <c r="E1030" s="96"/>
      <c r="F1030" s="96"/>
      <c r="G1030" s="96"/>
      <c r="H1030" s="96"/>
      <c r="I1030" s="111"/>
      <c r="J1030" s="96"/>
      <c r="K1030" s="96"/>
      <c r="L1030" s="96"/>
      <c r="M1030" s="96"/>
      <c r="N1030" s="96"/>
      <c r="O1030" s="96"/>
      <c r="P1030" s="96"/>
      <c r="Q1030" s="96"/>
      <c r="R1030" s="96"/>
      <c r="S1030" s="96"/>
      <c r="T1030" s="96"/>
      <c r="U1030" s="96"/>
      <c r="V1030" s="96"/>
      <c r="W1030" s="96"/>
      <c r="X1030" s="96"/>
      <c r="Y1030" s="96"/>
      <c r="Z1030" s="96"/>
    </row>
    <row r="1031" spans="1:26">
      <c r="A1031" s="96"/>
      <c r="B1031" s="96"/>
      <c r="C1031" s="96"/>
      <c r="D1031" s="96"/>
      <c r="E1031" s="96"/>
      <c r="F1031" s="96"/>
      <c r="G1031" s="96"/>
      <c r="H1031" s="96"/>
      <c r="I1031" s="111"/>
      <c r="J1031" s="96"/>
      <c r="K1031" s="96"/>
      <c r="L1031" s="96"/>
      <c r="M1031" s="96"/>
      <c r="N1031" s="96"/>
      <c r="O1031" s="96"/>
      <c r="P1031" s="96"/>
      <c r="Q1031" s="96"/>
      <c r="R1031" s="96"/>
      <c r="S1031" s="96"/>
      <c r="T1031" s="96"/>
      <c r="U1031" s="96"/>
      <c r="V1031" s="96"/>
      <c r="W1031" s="96"/>
      <c r="X1031" s="96"/>
      <c r="Y1031" s="96"/>
      <c r="Z1031" s="96"/>
    </row>
    <row r="1032" spans="1:26">
      <c r="A1032" s="96"/>
      <c r="B1032" s="96"/>
      <c r="C1032" s="96"/>
      <c r="D1032" s="96"/>
      <c r="E1032" s="96"/>
      <c r="F1032" s="96"/>
      <c r="G1032" s="96"/>
      <c r="H1032" s="96"/>
      <c r="I1032" s="111"/>
      <c r="J1032" s="96"/>
      <c r="K1032" s="96"/>
      <c r="L1032" s="96"/>
      <c r="M1032" s="96"/>
      <c r="N1032" s="96"/>
      <c r="O1032" s="96"/>
      <c r="P1032" s="96"/>
      <c r="Q1032" s="96"/>
      <c r="R1032" s="96"/>
      <c r="S1032" s="96"/>
      <c r="T1032" s="96"/>
      <c r="U1032" s="96"/>
      <c r="V1032" s="96"/>
      <c r="W1032" s="96"/>
      <c r="X1032" s="96"/>
      <c r="Y1032" s="96"/>
      <c r="Z1032" s="96"/>
    </row>
    <row r="1033" spans="1:26">
      <c r="A1033" s="96"/>
      <c r="B1033" s="96"/>
      <c r="C1033" s="96"/>
      <c r="D1033" s="96"/>
      <c r="E1033" s="96"/>
      <c r="F1033" s="96"/>
      <c r="G1033" s="96"/>
      <c r="H1033" s="96"/>
      <c r="I1033" s="111"/>
      <c r="J1033" s="96"/>
      <c r="K1033" s="96"/>
      <c r="L1033" s="96"/>
      <c r="M1033" s="96"/>
      <c r="N1033" s="96"/>
      <c r="O1033" s="96"/>
      <c r="P1033" s="96"/>
      <c r="Q1033" s="96"/>
      <c r="R1033" s="96"/>
      <c r="S1033" s="96"/>
      <c r="T1033" s="96"/>
      <c r="U1033" s="96"/>
      <c r="V1033" s="96"/>
      <c r="W1033" s="96"/>
      <c r="X1033" s="96"/>
      <c r="Y1033" s="96"/>
      <c r="Z1033" s="96"/>
    </row>
    <row r="1034" spans="1:26">
      <c r="A1034" s="96"/>
      <c r="B1034" s="96"/>
      <c r="C1034" s="96"/>
      <c r="D1034" s="96"/>
      <c r="E1034" s="96"/>
      <c r="F1034" s="96"/>
      <c r="G1034" s="96"/>
      <c r="H1034" s="96"/>
      <c r="I1034" s="111"/>
      <c r="J1034" s="96"/>
      <c r="K1034" s="96"/>
      <c r="L1034" s="96"/>
      <c r="M1034" s="96"/>
      <c r="N1034" s="96"/>
      <c r="O1034" s="96"/>
      <c r="P1034" s="96"/>
      <c r="Q1034" s="96"/>
      <c r="R1034" s="96"/>
      <c r="S1034" s="96"/>
      <c r="T1034" s="96"/>
      <c r="U1034" s="96"/>
      <c r="V1034" s="96"/>
      <c r="W1034" s="96"/>
      <c r="X1034" s="96"/>
      <c r="Y1034" s="96"/>
      <c r="Z1034" s="96"/>
    </row>
    <row r="1035" spans="1:26">
      <c r="A1035" s="96"/>
      <c r="B1035" s="96"/>
      <c r="C1035" s="96"/>
      <c r="D1035" s="96"/>
      <c r="E1035" s="96"/>
      <c r="F1035" s="96"/>
      <c r="G1035" s="96"/>
      <c r="H1035" s="96"/>
      <c r="I1035" s="111"/>
      <c r="J1035" s="96"/>
      <c r="K1035" s="96"/>
      <c r="L1035" s="96"/>
      <c r="M1035" s="96"/>
      <c r="N1035" s="96"/>
      <c r="O1035" s="96"/>
      <c r="P1035" s="96"/>
      <c r="Q1035" s="96"/>
      <c r="R1035" s="96"/>
      <c r="S1035" s="96"/>
      <c r="T1035" s="96"/>
      <c r="U1035" s="96"/>
      <c r="V1035" s="96"/>
      <c r="W1035" s="96"/>
      <c r="X1035" s="96"/>
      <c r="Y1035" s="96"/>
      <c r="Z1035" s="96"/>
    </row>
    <row r="1036" spans="1:26">
      <c r="A1036" s="96"/>
      <c r="B1036" s="96"/>
      <c r="C1036" s="96"/>
      <c r="D1036" s="96"/>
      <c r="E1036" s="96"/>
      <c r="F1036" s="96"/>
      <c r="G1036" s="96"/>
      <c r="H1036" s="96"/>
      <c r="I1036" s="111"/>
      <c r="J1036" s="96"/>
      <c r="K1036" s="96"/>
      <c r="L1036" s="96"/>
      <c r="M1036" s="96"/>
      <c r="N1036" s="96"/>
      <c r="O1036" s="96"/>
      <c r="P1036" s="96"/>
      <c r="Q1036" s="96"/>
      <c r="R1036" s="96"/>
      <c r="S1036" s="96"/>
      <c r="T1036" s="96"/>
      <c r="U1036" s="96"/>
      <c r="V1036" s="96"/>
      <c r="W1036" s="96"/>
      <c r="X1036" s="96"/>
      <c r="Y1036" s="96"/>
      <c r="Z1036" s="96"/>
    </row>
    <row r="1037" spans="1:26">
      <c r="A1037" s="96"/>
      <c r="B1037" s="96"/>
      <c r="C1037" s="96"/>
      <c r="D1037" s="96"/>
      <c r="E1037" s="96"/>
      <c r="F1037" s="96"/>
      <c r="G1037" s="96"/>
      <c r="H1037" s="96"/>
      <c r="I1037" s="111"/>
      <c r="J1037" s="96"/>
      <c r="K1037" s="96"/>
      <c r="L1037" s="96"/>
      <c r="M1037" s="96"/>
      <c r="N1037" s="96"/>
      <c r="O1037" s="96"/>
      <c r="P1037" s="96"/>
      <c r="Q1037" s="96"/>
      <c r="R1037" s="96"/>
      <c r="S1037" s="96"/>
      <c r="T1037" s="96"/>
      <c r="U1037" s="96"/>
      <c r="V1037" s="96"/>
      <c r="W1037" s="96"/>
      <c r="X1037" s="96"/>
      <c r="Y1037" s="96"/>
      <c r="Z1037" s="96"/>
    </row>
    <row r="1038" spans="1:26">
      <c r="A1038" s="96"/>
      <c r="B1038" s="96"/>
      <c r="C1038" s="96"/>
      <c r="D1038" s="96"/>
      <c r="E1038" s="96"/>
      <c r="F1038" s="96"/>
      <c r="G1038" s="96"/>
      <c r="H1038" s="96"/>
      <c r="I1038" s="111"/>
      <c r="J1038" s="96"/>
      <c r="K1038" s="96"/>
      <c r="L1038" s="96"/>
      <c r="M1038" s="96"/>
      <c r="N1038" s="96"/>
      <c r="O1038" s="96"/>
      <c r="P1038" s="96"/>
      <c r="Q1038" s="96"/>
      <c r="R1038" s="96"/>
      <c r="S1038" s="96"/>
      <c r="T1038" s="96"/>
      <c r="U1038" s="96"/>
      <c r="V1038" s="96"/>
      <c r="W1038" s="96"/>
      <c r="X1038" s="96"/>
      <c r="Y1038" s="96"/>
      <c r="Z1038" s="96"/>
    </row>
    <row r="1039" spans="1:26">
      <c r="A1039" s="96"/>
      <c r="B1039" s="96"/>
      <c r="C1039" s="96"/>
      <c r="D1039" s="96"/>
      <c r="E1039" s="96"/>
      <c r="F1039" s="96"/>
      <c r="G1039" s="96"/>
      <c r="H1039" s="96"/>
      <c r="I1039" s="111"/>
      <c r="J1039" s="96"/>
      <c r="K1039" s="96"/>
      <c r="L1039" s="96"/>
      <c r="M1039" s="96"/>
      <c r="N1039" s="96"/>
      <c r="O1039" s="96"/>
      <c r="P1039" s="96"/>
      <c r="Q1039" s="96"/>
      <c r="R1039" s="96"/>
      <c r="S1039" s="96"/>
      <c r="T1039" s="96"/>
      <c r="U1039" s="96"/>
      <c r="V1039" s="96"/>
      <c r="W1039" s="96"/>
      <c r="X1039" s="96"/>
      <c r="Y1039" s="96"/>
      <c r="Z1039" s="96"/>
    </row>
    <row r="1040" spans="1:26">
      <c r="A1040" s="96"/>
      <c r="B1040" s="96"/>
      <c r="C1040" s="96"/>
      <c r="D1040" s="96"/>
      <c r="E1040" s="96"/>
      <c r="F1040" s="96"/>
      <c r="G1040" s="96"/>
      <c r="H1040" s="96"/>
      <c r="I1040" s="111"/>
      <c r="J1040" s="96"/>
      <c r="K1040" s="96"/>
      <c r="L1040" s="96"/>
      <c r="M1040" s="96"/>
      <c r="N1040" s="96"/>
      <c r="O1040" s="96"/>
      <c r="P1040" s="96"/>
      <c r="Q1040" s="96"/>
      <c r="R1040" s="96"/>
      <c r="S1040" s="96"/>
      <c r="T1040" s="96"/>
      <c r="U1040" s="96"/>
      <c r="V1040" s="96"/>
      <c r="W1040" s="96"/>
      <c r="X1040" s="96"/>
      <c r="Y1040" s="96"/>
      <c r="Z1040" s="96"/>
    </row>
    <row r="1041" spans="1:26">
      <c r="A1041" s="96"/>
      <c r="B1041" s="96"/>
      <c r="C1041" s="96"/>
      <c r="D1041" s="96"/>
      <c r="E1041" s="96"/>
      <c r="F1041" s="96"/>
      <c r="G1041" s="96"/>
      <c r="H1041" s="96"/>
      <c r="I1041" s="111"/>
      <c r="J1041" s="96"/>
      <c r="K1041" s="96"/>
      <c r="L1041" s="96"/>
      <c r="M1041" s="96"/>
      <c r="N1041" s="96"/>
      <c r="O1041" s="96"/>
      <c r="P1041" s="96"/>
      <c r="Q1041" s="96"/>
      <c r="R1041" s="96"/>
      <c r="S1041" s="96"/>
      <c r="T1041" s="96"/>
      <c r="U1041" s="96"/>
      <c r="V1041" s="96"/>
      <c r="W1041" s="96"/>
      <c r="X1041" s="96"/>
      <c r="Y1041" s="96"/>
      <c r="Z1041" s="96"/>
    </row>
    <row r="1042" spans="1:26">
      <c r="A1042" s="96"/>
      <c r="B1042" s="96"/>
      <c r="C1042" s="96"/>
      <c r="D1042" s="96"/>
      <c r="E1042" s="96"/>
      <c r="F1042" s="96"/>
      <c r="G1042" s="96"/>
      <c r="H1042" s="96"/>
      <c r="I1042" s="111"/>
      <c r="J1042" s="96"/>
      <c r="K1042" s="96"/>
      <c r="L1042" s="96"/>
      <c r="M1042" s="96"/>
      <c r="N1042" s="96"/>
      <c r="O1042" s="96"/>
      <c r="P1042" s="96"/>
      <c r="Q1042" s="96"/>
      <c r="R1042" s="96"/>
      <c r="S1042" s="96"/>
      <c r="T1042" s="96"/>
      <c r="U1042" s="96"/>
      <c r="V1042" s="96"/>
      <c r="W1042" s="96"/>
      <c r="X1042" s="96"/>
      <c r="Y1042" s="96"/>
      <c r="Z1042" s="96"/>
    </row>
    <row r="1043" spans="1:26">
      <c r="A1043" s="96"/>
      <c r="B1043" s="96"/>
      <c r="C1043" s="96"/>
      <c r="D1043" s="96"/>
      <c r="E1043" s="96"/>
      <c r="F1043" s="96"/>
      <c r="G1043" s="96"/>
      <c r="H1043" s="96"/>
      <c r="I1043" s="111"/>
      <c r="J1043" s="96"/>
      <c r="K1043" s="96"/>
      <c r="L1043" s="96"/>
      <c r="M1043" s="96"/>
      <c r="N1043" s="96"/>
      <c r="O1043" s="96"/>
      <c r="P1043" s="96"/>
      <c r="Q1043" s="96"/>
      <c r="R1043" s="96"/>
      <c r="S1043" s="96"/>
      <c r="T1043" s="96"/>
      <c r="U1043" s="96"/>
      <c r="V1043" s="96"/>
      <c r="W1043" s="96"/>
      <c r="X1043" s="96"/>
      <c r="Y1043" s="96"/>
      <c r="Z1043" s="96"/>
    </row>
    <row r="1044" spans="1:26">
      <c r="A1044" s="96"/>
      <c r="B1044" s="96"/>
      <c r="C1044" s="96"/>
      <c r="D1044" s="96"/>
      <c r="E1044" s="96"/>
      <c r="F1044" s="96"/>
      <c r="G1044" s="96"/>
      <c r="H1044" s="96"/>
      <c r="I1044" s="111"/>
      <c r="J1044" s="96"/>
      <c r="K1044" s="96"/>
      <c r="L1044" s="96"/>
      <c r="M1044" s="96"/>
      <c r="N1044" s="96"/>
      <c r="O1044" s="96"/>
      <c r="P1044" s="96"/>
      <c r="Q1044" s="96"/>
      <c r="R1044" s="96"/>
      <c r="S1044" s="96"/>
      <c r="T1044" s="96"/>
      <c r="U1044" s="96"/>
      <c r="V1044" s="96"/>
      <c r="W1044" s="96"/>
      <c r="X1044" s="96"/>
      <c r="Y1044" s="96"/>
      <c r="Z1044" s="96"/>
    </row>
    <row r="1045" spans="1:26">
      <c r="A1045" s="96"/>
      <c r="B1045" s="96"/>
      <c r="C1045" s="96"/>
      <c r="D1045" s="96"/>
      <c r="E1045" s="96"/>
      <c r="F1045" s="96"/>
      <c r="G1045" s="96"/>
      <c r="H1045" s="96"/>
      <c r="I1045" s="111"/>
      <c r="J1045" s="96"/>
      <c r="K1045" s="96"/>
      <c r="L1045" s="96"/>
      <c r="M1045" s="96"/>
      <c r="N1045" s="96"/>
      <c r="O1045" s="96"/>
      <c r="P1045" s="96"/>
      <c r="Q1045" s="96"/>
      <c r="R1045" s="96"/>
      <c r="S1045" s="96"/>
      <c r="T1045" s="96"/>
      <c r="U1045" s="96"/>
      <c r="V1045" s="96"/>
      <c r="W1045" s="96"/>
      <c r="X1045" s="96"/>
      <c r="Y1045" s="96"/>
      <c r="Z1045" s="96"/>
    </row>
    <row r="1046" spans="1:26">
      <c r="A1046" s="96"/>
      <c r="B1046" s="96"/>
      <c r="C1046" s="96"/>
      <c r="D1046" s="96"/>
      <c r="E1046" s="96"/>
      <c r="F1046" s="96"/>
      <c r="G1046" s="96"/>
      <c r="H1046" s="96"/>
      <c r="I1046" s="111"/>
      <c r="J1046" s="96"/>
      <c r="K1046" s="96"/>
      <c r="L1046" s="96"/>
      <c r="M1046" s="96"/>
      <c r="N1046" s="96"/>
      <c r="O1046" s="96"/>
      <c r="P1046" s="96"/>
      <c r="Q1046" s="96"/>
      <c r="R1046" s="96"/>
      <c r="S1046" s="96"/>
      <c r="T1046" s="96"/>
      <c r="U1046" s="96"/>
      <c r="V1046" s="96"/>
      <c r="W1046" s="96"/>
      <c r="X1046" s="96"/>
      <c r="Y1046" s="96"/>
      <c r="Z1046" s="96"/>
    </row>
    <row r="1047" spans="1:26">
      <c r="A1047" s="96"/>
      <c r="B1047" s="96"/>
      <c r="C1047" s="96"/>
      <c r="D1047" s="96"/>
      <c r="E1047" s="96"/>
      <c r="F1047" s="96"/>
      <c r="G1047" s="96"/>
      <c r="H1047" s="96"/>
      <c r="I1047" s="111"/>
      <c r="J1047" s="96"/>
      <c r="K1047" s="96"/>
      <c r="L1047" s="96"/>
      <c r="M1047" s="96"/>
      <c r="N1047" s="96"/>
      <c r="O1047" s="96"/>
      <c r="P1047" s="96"/>
      <c r="Q1047" s="96"/>
      <c r="R1047" s="96"/>
      <c r="S1047" s="96"/>
      <c r="T1047" s="96"/>
      <c r="U1047" s="96"/>
      <c r="V1047" s="96"/>
      <c r="W1047" s="96"/>
      <c r="X1047" s="96"/>
      <c r="Y1047" s="96"/>
      <c r="Z1047" s="96"/>
    </row>
    <row r="1048" spans="1:26">
      <c r="A1048" s="96"/>
      <c r="B1048" s="96"/>
      <c r="C1048" s="96"/>
      <c r="D1048" s="96"/>
      <c r="E1048" s="96"/>
      <c r="F1048" s="96"/>
      <c r="G1048" s="96"/>
      <c r="H1048" s="96"/>
      <c r="I1048" s="111"/>
      <c r="J1048" s="96"/>
      <c r="K1048" s="96"/>
      <c r="L1048" s="96"/>
      <c r="M1048" s="96"/>
      <c r="N1048" s="96"/>
      <c r="O1048" s="96"/>
      <c r="P1048" s="96"/>
      <c r="Q1048" s="96"/>
      <c r="R1048" s="96"/>
      <c r="S1048" s="96"/>
      <c r="T1048" s="96"/>
      <c r="U1048" s="96"/>
      <c r="V1048" s="96"/>
      <c r="W1048" s="96"/>
      <c r="X1048" s="96"/>
      <c r="Y1048" s="96"/>
      <c r="Z1048" s="96"/>
    </row>
    <row r="1049" spans="1:26">
      <c r="A1049" s="96"/>
      <c r="B1049" s="96"/>
      <c r="C1049" s="96"/>
      <c r="D1049" s="96"/>
      <c r="E1049" s="96"/>
      <c r="F1049" s="96"/>
      <c r="G1049" s="96"/>
      <c r="H1049" s="96"/>
      <c r="I1049" s="111"/>
      <c r="J1049" s="96"/>
      <c r="K1049" s="96"/>
      <c r="L1049" s="96"/>
      <c r="M1049" s="96"/>
      <c r="N1049" s="96"/>
      <c r="O1049" s="96"/>
      <c r="P1049" s="96"/>
      <c r="Q1049" s="96"/>
      <c r="R1049" s="96"/>
      <c r="S1049" s="96"/>
      <c r="T1049" s="96"/>
      <c r="U1049" s="96"/>
      <c r="V1049" s="96"/>
      <c r="W1049" s="96"/>
      <c r="X1049" s="96"/>
      <c r="Y1049" s="96"/>
      <c r="Z1049" s="96"/>
    </row>
    <row r="1050" spans="1:26">
      <c r="A1050" s="96"/>
      <c r="B1050" s="96"/>
      <c r="C1050" s="96"/>
      <c r="D1050" s="96"/>
      <c r="E1050" s="96"/>
      <c r="F1050" s="96"/>
      <c r="G1050" s="96"/>
      <c r="H1050" s="96"/>
      <c r="I1050" s="111"/>
      <c r="J1050" s="96"/>
      <c r="K1050" s="96"/>
      <c r="L1050" s="96"/>
      <c r="M1050" s="96"/>
      <c r="N1050" s="96"/>
      <c r="O1050" s="96"/>
      <c r="P1050" s="96"/>
      <c r="Q1050" s="96"/>
      <c r="R1050" s="96"/>
      <c r="S1050" s="96"/>
      <c r="T1050" s="96"/>
      <c r="U1050" s="96"/>
      <c r="V1050" s="96"/>
      <c r="W1050" s="96"/>
      <c r="X1050" s="96"/>
      <c r="Y1050" s="96"/>
      <c r="Z1050" s="96"/>
    </row>
    <row r="1051" spans="1:26">
      <c r="A1051" s="96"/>
      <c r="B1051" s="96"/>
      <c r="C1051" s="96"/>
      <c r="D1051" s="96"/>
      <c r="E1051" s="96"/>
      <c r="F1051" s="96"/>
      <c r="G1051" s="96"/>
      <c r="H1051" s="96"/>
      <c r="I1051" s="111"/>
      <c r="J1051" s="96"/>
      <c r="K1051" s="96"/>
      <c r="L1051" s="96"/>
      <c r="M1051" s="96"/>
      <c r="N1051" s="96"/>
      <c r="O1051" s="96"/>
      <c r="P1051" s="96"/>
      <c r="Q1051" s="96"/>
      <c r="R1051" s="96"/>
      <c r="S1051" s="96"/>
      <c r="T1051" s="96"/>
      <c r="U1051" s="96"/>
      <c r="V1051" s="96"/>
      <c r="W1051" s="96"/>
      <c r="X1051" s="96"/>
      <c r="Y1051" s="96"/>
      <c r="Z1051" s="96"/>
    </row>
    <row r="1052" spans="1:26">
      <c r="A1052" s="96"/>
      <c r="B1052" s="96"/>
      <c r="C1052" s="96"/>
      <c r="D1052" s="96"/>
      <c r="E1052" s="96"/>
      <c r="F1052" s="96"/>
      <c r="G1052" s="96"/>
      <c r="H1052" s="96"/>
      <c r="I1052" s="111"/>
      <c r="J1052" s="96"/>
      <c r="K1052" s="96"/>
      <c r="L1052" s="96"/>
      <c r="M1052" s="96"/>
      <c r="N1052" s="96"/>
      <c r="O1052" s="96"/>
      <c r="P1052" s="96"/>
      <c r="Q1052" s="96"/>
      <c r="R1052" s="96"/>
      <c r="S1052" s="96"/>
      <c r="T1052" s="96"/>
      <c r="U1052" s="96"/>
      <c r="V1052" s="96"/>
      <c r="W1052" s="96"/>
      <c r="X1052" s="96"/>
      <c r="Y1052" s="96"/>
      <c r="Z1052" s="96"/>
    </row>
    <row r="1053" spans="1:26">
      <c r="A1053" s="96"/>
      <c r="B1053" s="96"/>
      <c r="C1053" s="96"/>
      <c r="D1053" s="96"/>
      <c r="E1053" s="96"/>
      <c r="F1053" s="96"/>
      <c r="G1053" s="96"/>
      <c r="H1053" s="96"/>
      <c r="I1053" s="111"/>
      <c r="J1053" s="96"/>
      <c r="K1053" s="96"/>
      <c r="L1053" s="96"/>
      <c r="M1053" s="96"/>
      <c r="N1053" s="96"/>
      <c r="O1053" s="96"/>
      <c r="P1053" s="96"/>
      <c r="Q1053" s="96"/>
      <c r="R1053" s="96"/>
      <c r="S1053" s="96"/>
      <c r="T1053" s="96"/>
      <c r="U1053" s="96"/>
      <c r="V1053" s="96"/>
      <c r="W1053" s="96"/>
      <c r="X1053" s="96"/>
      <c r="Y1053" s="96"/>
      <c r="Z1053" s="96"/>
    </row>
    <row r="1054" spans="1:26">
      <c r="A1054" s="96"/>
      <c r="B1054" s="96"/>
      <c r="C1054" s="96"/>
      <c r="D1054" s="96"/>
      <c r="E1054" s="96"/>
      <c r="F1054" s="96"/>
      <c r="G1054" s="96"/>
      <c r="H1054" s="96"/>
      <c r="I1054" s="111"/>
      <c r="J1054" s="96"/>
      <c r="K1054" s="96"/>
      <c r="L1054" s="96"/>
      <c r="M1054" s="96"/>
      <c r="N1054" s="96"/>
      <c r="O1054" s="96"/>
      <c r="P1054" s="96"/>
      <c r="Q1054" s="96"/>
      <c r="R1054" s="96"/>
      <c r="S1054" s="96"/>
      <c r="T1054" s="96"/>
      <c r="U1054" s="96"/>
      <c r="V1054" s="96"/>
      <c r="W1054" s="96"/>
      <c r="X1054" s="96"/>
      <c r="Y1054" s="96"/>
      <c r="Z1054" s="96"/>
    </row>
    <row r="1055" spans="1:26">
      <c r="A1055" s="96"/>
      <c r="B1055" s="96"/>
      <c r="C1055" s="96"/>
      <c r="D1055" s="96"/>
      <c r="E1055" s="96"/>
      <c r="F1055" s="96"/>
      <c r="G1055" s="96"/>
      <c r="H1055" s="96"/>
      <c r="I1055" s="111"/>
      <c r="J1055" s="96"/>
      <c r="K1055" s="96"/>
      <c r="L1055" s="96"/>
      <c r="M1055" s="96"/>
      <c r="N1055" s="96"/>
      <c r="O1055" s="96"/>
      <c r="P1055" s="96"/>
      <c r="Q1055" s="96"/>
      <c r="R1055" s="96"/>
      <c r="S1055" s="96"/>
      <c r="T1055" s="96"/>
      <c r="U1055" s="96"/>
      <c r="V1055" s="96"/>
      <c r="W1055" s="96"/>
      <c r="X1055" s="96"/>
      <c r="Y1055" s="96"/>
      <c r="Z1055" s="96"/>
    </row>
    <row r="1056" spans="1:26">
      <c r="A1056" s="96"/>
      <c r="B1056" s="96"/>
      <c r="C1056" s="96"/>
      <c r="D1056" s="96"/>
      <c r="E1056" s="96"/>
      <c r="F1056" s="96"/>
      <c r="G1056" s="96"/>
      <c r="H1056" s="96"/>
      <c r="I1056" s="111"/>
      <c r="J1056" s="96"/>
      <c r="K1056" s="96"/>
      <c r="L1056" s="96"/>
      <c r="M1056" s="96"/>
      <c r="N1056" s="96"/>
      <c r="O1056" s="96"/>
      <c r="P1056" s="96"/>
      <c r="Q1056" s="96"/>
      <c r="R1056" s="96"/>
      <c r="S1056" s="96"/>
      <c r="T1056" s="96"/>
      <c r="U1056" s="96"/>
      <c r="V1056" s="96"/>
      <c r="W1056" s="96"/>
      <c r="X1056" s="96"/>
      <c r="Y1056" s="96"/>
      <c r="Z1056" s="96"/>
    </row>
    <row r="1057" spans="1:26">
      <c r="A1057" s="96"/>
      <c r="B1057" s="96"/>
      <c r="C1057" s="96"/>
      <c r="D1057" s="96"/>
      <c r="E1057" s="96"/>
      <c r="F1057" s="96"/>
      <c r="G1057" s="96"/>
      <c r="H1057" s="96"/>
      <c r="I1057" s="111"/>
      <c r="J1057" s="96"/>
      <c r="K1057" s="96"/>
      <c r="L1057" s="96"/>
      <c r="M1057" s="96"/>
      <c r="N1057" s="96"/>
      <c r="O1057" s="96"/>
      <c r="P1057" s="96"/>
      <c r="Q1057" s="96"/>
      <c r="R1057" s="96"/>
      <c r="S1057" s="96"/>
      <c r="T1057" s="96"/>
      <c r="U1057" s="96"/>
      <c r="V1057" s="96"/>
      <c r="W1057" s="96"/>
      <c r="X1057" s="96"/>
      <c r="Y1057" s="96"/>
      <c r="Z1057" s="96"/>
    </row>
    <row r="1058" spans="1:26">
      <c r="A1058" s="96"/>
      <c r="B1058" s="96"/>
      <c r="C1058" s="96"/>
      <c r="D1058" s="96"/>
      <c r="E1058" s="96"/>
      <c r="F1058" s="96"/>
      <c r="G1058" s="96"/>
      <c r="H1058" s="96"/>
      <c r="I1058" s="111"/>
      <c r="J1058" s="96"/>
      <c r="K1058" s="96"/>
      <c r="L1058" s="96"/>
      <c r="M1058" s="96"/>
      <c r="N1058" s="96"/>
      <c r="O1058" s="96"/>
      <c r="P1058" s="96"/>
      <c r="Q1058" s="96"/>
      <c r="R1058" s="96"/>
      <c r="S1058" s="96"/>
      <c r="T1058" s="96"/>
      <c r="U1058" s="96"/>
      <c r="V1058" s="96"/>
      <c r="W1058" s="96"/>
      <c r="X1058" s="96"/>
      <c r="Y1058" s="96"/>
      <c r="Z1058" s="96"/>
    </row>
    <row r="1059" spans="1:26">
      <c r="A1059" s="96"/>
      <c r="B1059" s="96"/>
      <c r="C1059" s="96"/>
      <c r="D1059" s="96"/>
      <c r="E1059" s="96"/>
      <c r="F1059" s="96"/>
      <c r="G1059" s="96"/>
      <c r="H1059" s="96"/>
      <c r="I1059" s="111"/>
      <c r="J1059" s="96"/>
      <c r="K1059" s="96"/>
      <c r="L1059" s="96"/>
      <c r="M1059" s="96"/>
      <c r="N1059" s="96"/>
      <c r="O1059" s="96"/>
      <c r="P1059" s="96"/>
      <c r="Q1059" s="96"/>
      <c r="R1059" s="96"/>
      <c r="S1059" s="96"/>
      <c r="T1059" s="96"/>
      <c r="U1059" s="96"/>
      <c r="V1059" s="96"/>
      <c r="W1059" s="96"/>
      <c r="X1059" s="96"/>
      <c r="Y1059" s="96"/>
      <c r="Z1059" s="96"/>
    </row>
    <row r="1060" spans="1:26">
      <c r="A1060" s="96"/>
      <c r="B1060" s="96"/>
      <c r="C1060" s="96"/>
      <c r="D1060" s="96"/>
      <c r="E1060" s="96"/>
      <c r="F1060" s="96"/>
      <c r="G1060" s="96"/>
      <c r="H1060" s="96"/>
      <c r="I1060" s="111"/>
      <c r="J1060" s="96"/>
      <c r="K1060" s="96"/>
      <c r="L1060" s="96"/>
      <c r="M1060" s="96"/>
      <c r="N1060" s="96"/>
      <c r="O1060" s="96"/>
      <c r="P1060" s="96"/>
      <c r="Q1060" s="96"/>
      <c r="R1060" s="96"/>
      <c r="S1060" s="96"/>
      <c r="T1060" s="96"/>
      <c r="U1060" s="96"/>
      <c r="V1060" s="96"/>
      <c r="W1060" s="96"/>
      <c r="X1060" s="96"/>
      <c r="Y1060" s="96"/>
      <c r="Z1060" s="96"/>
    </row>
    <row r="1061" spans="1:26">
      <c r="A1061" s="96"/>
      <c r="B1061" s="96"/>
      <c r="C1061" s="96"/>
      <c r="D1061" s="96"/>
      <c r="E1061" s="96"/>
      <c r="F1061" s="96"/>
      <c r="G1061" s="96"/>
      <c r="H1061" s="96"/>
      <c r="I1061" s="111"/>
      <c r="J1061" s="96"/>
      <c r="K1061" s="96"/>
      <c r="L1061" s="96"/>
      <c r="M1061" s="96"/>
      <c r="N1061" s="96"/>
      <c r="O1061" s="96"/>
      <c r="P1061" s="96"/>
      <c r="Q1061" s="96"/>
      <c r="R1061" s="96"/>
      <c r="S1061" s="96"/>
      <c r="T1061" s="96"/>
      <c r="U1061" s="96"/>
      <c r="V1061" s="96"/>
      <c r="W1061" s="96"/>
      <c r="X1061" s="96"/>
      <c r="Y1061" s="96"/>
      <c r="Z1061" s="96"/>
    </row>
    <row r="1062" spans="1:26">
      <c r="M1062" s="96"/>
      <c r="N1062" s="96"/>
      <c r="O1062" s="96"/>
      <c r="P1062" s="96"/>
      <c r="Q1062" s="96"/>
      <c r="R1062" s="96"/>
      <c r="S1062" s="96"/>
      <c r="T1062" s="96"/>
      <c r="U1062" s="96"/>
      <c r="V1062" s="96"/>
      <c r="W1062" s="96"/>
      <c r="X1062" s="96"/>
      <c r="Y1062" s="96"/>
      <c r="Z1062" s="96"/>
    </row>
    <row r="1063" spans="1:26">
      <c r="M1063" s="96"/>
      <c r="N1063" s="96"/>
      <c r="O1063" s="96"/>
      <c r="P1063" s="96"/>
      <c r="Q1063" s="96"/>
      <c r="R1063" s="96"/>
      <c r="S1063" s="96"/>
      <c r="T1063" s="96"/>
      <c r="U1063" s="96"/>
      <c r="V1063" s="96"/>
      <c r="W1063" s="96"/>
      <c r="X1063" s="96"/>
      <c r="Y1063" s="96"/>
      <c r="Z1063" s="96"/>
    </row>
    <row r="1064" spans="1:26">
      <c r="M1064" s="96"/>
      <c r="N1064" s="96"/>
      <c r="O1064" s="96"/>
      <c r="P1064" s="96"/>
      <c r="Q1064" s="96"/>
      <c r="R1064" s="96"/>
      <c r="S1064" s="96"/>
      <c r="T1064" s="96"/>
      <c r="U1064" s="96"/>
      <c r="V1064" s="96"/>
      <c r="W1064" s="96"/>
      <c r="X1064" s="96"/>
      <c r="Y1064" s="96"/>
      <c r="Z1064" s="96"/>
    </row>
    <row r="1065" spans="1:26">
      <c r="M1065" s="96"/>
      <c r="N1065" s="96"/>
      <c r="O1065" s="96"/>
      <c r="P1065" s="96"/>
      <c r="Q1065" s="96"/>
      <c r="R1065" s="96"/>
      <c r="S1065" s="96"/>
      <c r="T1065" s="96"/>
      <c r="U1065" s="96"/>
      <c r="V1065" s="96"/>
      <c r="W1065" s="96"/>
      <c r="X1065" s="96"/>
      <c r="Y1065" s="96"/>
      <c r="Z1065" s="96"/>
    </row>
    <row r="1066" spans="1:26">
      <c r="M1066" s="96"/>
      <c r="N1066" s="96"/>
      <c r="O1066" s="96"/>
      <c r="P1066" s="96"/>
      <c r="Q1066" s="96"/>
      <c r="R1066" s="96"/>
      <c r="S1066" s="96"/>
      <c r="T1066" s="96"/>
      <c r="U1066" s="96"/>
      <c r="V1066" s="96"/>
      <c r="W1066" s="96"/>
      <c r="X1066" s="96"/>
      <c r="Y1066" s="96"/>
      <c r="Z1066" s="96"/>
    </row>
    <row r="1067" spans="1:26">
      <c r="M1067" s="96"/>
      <c r="N1067" s="96"/>
      <c r="O1067" s="96"/>
      <c r="P1067" s="96"/>
      <c r="Q1067" s="96"/>
      <c r="R1067" s="96"/>
      <c r="S1067" s="96"/>
      <c r="T1067" s="96"/>
      <c r="U1067" s="96"/>
      <c r="V1067" s="96"/>
      <c r="W1067" s="96"/>
      <c r="X1067" s="96"/>
      <c r="Y1067" s="96"/>
      <c r="Z1067" s="96"/>
    </row>
    <row r="1068" spans="1:26">
      <c r="M1068" s="96"/>
      <c r="N1068" s="96"/>
      <c r="O1068" s="96"/>
      <c r="P1068" s="96"/>
      <c r="Q1068" s="96"/>
      <c r="R1068" s="96"/>
      <c r="S1068" s="96"/>
      <c r="T1068" s="96"/>
      <c r="U1068" s="96"/>
      <c r="V1068" s="96"/>
      <c r="W1068" s="96"/>
      <c r="X1068" s="96"/>
      <c r="Y1068" s="96"/>
      <c r="Z1068" s="96"/>
    </row>
    <row r="1069" spans="1:26">
      <c r="M1069" s="96"/>
      <c r="N1069" s="96"/>
      <c r="O1069" s="96"/>
      <c r="P1069" s="96"/>
      <c r="Q1069" s="96"/>
      <c r="R1069" s="96"/>
      <c r="S1069" s="96"/>
      <c r="T1069" s="96"/>
      <c r="U1069" s="96"/>
      <c r="V1069" s="96"/>
      <c r="W1069" s="96"/>
      <c r="X1069" s="96"/>
      <c r="Y1069" s="96"/>
      <c r="Z1069" s="96"/>
    </row>
    <row r="1070" spans="1:26">
      <c r="M1070" s="96"/>
      <c r="N1070" s="96"/>
      <c r="O1070" s="96"/>
      <c r="P1070" s="96"/>
      <c r="Q1070" s="96"/>
      <c r="R1070" s="96"/>
      <c r="S1070" s="96"/>
      <c r="T1070" s="96"/>
      <c r="U1070" s="96"/>
      <c r="V1070" s="96"/>
      <c r="W1070" s="96"/>
      <c r="X1070" s="96"/>
      <c r="Y1070" s="96"/>
      <c r="Z1070" s="96"/>
    </row>
    <row r="1071" spans="1:26">
      <c r="M1071" s="96"/>
      <c r="N1071" s="96"/>
      <c r="O1071" s="96"/>
      <c r="P1071" s="96"/>
      <c r="Q1071" s="96"/>
      <c r="R1071" s="96"/>
      <c r="S1071" s="96"/>
      <c r="T1071" s="96"/>
      <c r="U1071" s="96"/>
      <c r="V1071" s="96"/>
      <c r="W1071" s="96"/>
      <c r="X1071" s="96"/>
      <c r="Y1071" s="96"/>
      <c r="Z1071" s="96"/>
    </row>
    <row r="1072" spans="1:26">
      <c r="M1072" s="96"/>
      <c r="N1072" s="96"/>
      <c r="O1072" s="96"/>
      <c r="P1072" s="96"/>
      <c r="Q1072" s="96"/>
      <c r="R1072" s="96"/>
      <c r="S1072" s="96"/>
      <c r="T1072" s="96"/>
      <c r="U1072" s="96"/>
      <c r="V1072" s="96"/>
      <c r="W1072" s="96"/>
      <c r="X1072" s="96"/>
      <c r="Y1072" s="96"/>
      <c r="Z1072" s="96"/>
    </row>
    <row r="1073" spans="13:26">
      <c r="M1073" s="96"/>
      <c r="N1073" s="96"/>
      <c r="O1073" s="96"/>
      <c r="P1073" s="96"/>
      <c r="Q1073" s="96"/>
      <c r="R1073" s="96"/>
      <c r="S1073" s="96"/>
      <c r="T1073" s="96"/>
      <c r="U1073" s="96"/>
      <c r="V1073" s="96"/>
      <c r="W1073" s="96"/>
      <c r="X1073" s="96"/>
      <c r="Y1073" s="96"/>
      <c r="Z1073" s="96"/>
    </row>
    <row r="1074" spans="13:26">
      <c r="M1074" s="96"/>
      <c r="N1074" s="96"/>
      <c r="O1074" s="96"/>
      <c r="P1074" s="96"/>
      <c r="Q1074" s="96"/>
      <c r="R1074" s="96"/>
      <c r="S1074" s="96"/>
      <c r="T1074" s="96"/>
      <c r="U1074" s="96"/>
      <c r="V1074" s="96"/>
      <c r="W1074" s="96"/>
      <c r="X1074" s="96"/>
      <c r="Y1074" s="96"/>
      <c r="Z1074" s="96"/>
    </row>
    <row r="1075" spans="13:26">
      <c r="M1075" s="96"/>
      <c r="N1075" s="96"/>
      <c r="O1075" s="96"/>
      <c r="P1075" s="96"/>
      <c r="Q1075" s="96"/>
      <c r="R1075" s="96"/>
      <c r="S1075" s="96"/>
      <c r="T1075" s="96"/>
      <c r="U1075" s="96"/>
      <c r="V1075" s="96"/>
      <c r="W1075" s="96"/>
      <c r="X1075" s="96"/>
      <c r="Y1075" s="96"/>
      <c r="Z1075" s="96"/>
    </row>
    <row r="1076" spans="13:26">
      <c r="M1076" s="96"/>
      <c r="N1076" s="96"/>
      <c r="O1076" s="96"/>
      <c r="P1076" s="96"/>
      <c r="Q1076" s="96"/>
      <c r="R1076" s="96"/>
      <c r="S1076" s="96"/>
      <c r="T1076" s="96"/>
      <c r="U1076" s="96"/>
      <c r="V1076" s="96"/>
      <c r="W1076" s="96"/>
      <c r="X1076" s="96"/>
      <c r="Y1076" s="96"/>
      <c r="Z1076" s="96"/>
    </row>
    <row r="1077" spans="13:26">
      <c r="M1077" s="96"/>
      <c r="N1077" s="96"/>
      <c r="O1077" s="96"/>
      <c r="P1077" s="96"/>
      <c r="Q1077" s="96"/>
      <c r="R1077" s="96"/>
      <c r="S1077" s="96"/>
      <c r="T1077" s="96"/>
      <c r="U1077" s="96"/>
      <c r="V1077" s="96"/>
      <c r="W1077" s="96"/>
      <c r="X1077" s="96"/>
      <c r="Y1077" s="96"/>
      <c r="Z1077" s="96"/>
    </row>
    <row r="1078" spans="13:26">
      <c r="M1078" s="96"/>
      <c r="N1078" s="96"/>
      <c r="O1078" s="96"/>
      <c r="P1078" s="96"/>
      <c r="Q1078" s="96"/>
      <c r="R1078" s="96"/>
      <c r="S1078" s="96"/>
      <c r="T1078" s="96"/>
      <c r="U1078" s="96"/>
      <c r="V1078" s="96"/>
      <c r="W1078" s="96"/>
      <c r="X1078" s="96"/>
      <c r="Y1078" s="96"/>
      <c r="Z1078" s="96"/>
    </row>
    <row r="1079" spans="13:26">
      <c r="M1079" s="96"/>
      <c r="N1079" s="96"/>
      <c r="O1079" s="96"/>
      <c r="P1079" s="96"/>
      <c r="Q1079" s="96"/>
      <c r="R1079" s="96"/>
      <c r="S1079" s="96"/>
      <c r="T1079" s="96"/>
      <c r="U1079" s="96"/>
      <c r="V1079" s="96"/>
      <c r="W1079" s="96"/>
      <c r="X1079" s="96"/>
      <c r="Y1079" s="96"/>
      <c r="Z1079" s="96"/>
    </row>
    <row r="1080" spans="13:26">
      <c r="M1080" s="96"/>
      <c r="N1080" s="96"/>
      <c r="O1080" s="96"/>
      <c r="P1080" s="96"/>
      <c r="Q1080" s="96"/>
      <c r="R1080" s="96"/>
      <c r="S1080" s="96"/>
      <c r="T1080" s="96"/>
      <c r="U1080" s="96"/>
      <c r="V1080" s="96"/>
      <c r="W1080" s="96"/>
      <c r="X1080" s="96"/>
      <c r="Y1080" s="96"/>
      <c r="Z1080" s="96"/>
    </row>
    <row r="1081" spans="13:26">
      <c r="N1081" s="96"/>
      <c r="O1081" s="96"/>
      <c r="P1081" s="96"/>
      <c r="Q1081" s="96"/>
      <c r="R1081" s="96"/>
      <c r="S1081" s="96"/>
      <c r="T1081" s="96"/>
      <c r="U1081" s="96"/>
      <c r="V1081" s="96"/>
      <c r="W1081" s="96"/>
      <c r="X1081" s="96"/>
      <c r="Y1081" s="96"/>
      <c r="Z1081" s="96"/>
    </row>
    <row r="1082" spans="13:26">
      <c r="N1082" s="96"/>
      <c r="O1082" s="96"/>
      <c r="P1082" s="96"/>
      <c r="Q1082" s="96"/>
      <c r="R1082" s="96"/>
      <c r="S1082" s="96"/>
      <c r="T1082" s="96"/>
      <c r="U1082" s="96"/>
      <c r="V1082" s="96"/>
      <c r="W1082" s="96"/>
      <c r="X1082" s="96"/>
      <c r="Y1082" s="96"/>
      <c r="Z1082" s="96"/>
    </row>
    <row r="1083" spans="13:26">
      <c r="N1083" s="96"/>
      <c r="O1083" s="96"/>
      <c r="P1083" s="96"/>
      <c r="Q1083" s="96"/>
      <c r="R1083" s="96"/>
      <c r="S1083" s="96"/>
      <c r="T1083" s="96"/>
      <c r="U1083" s="96"/>
      <c r="V1083" s="96"/>
      <c r="W1083" s="96"/>
      <c r="X1083" s="96"/>
      <c r="Y1083" s="96"/>
      <c r="Z1083" s="96"/>
    </row>
    <row r="1084" spans="13:26">
      <c r="N1084" s="96"/>
      <c r="O1084" s="96"/>
      <c r="P1084" s="96"/>
      <c r="Q1084" s="96"/>
      <c r="R1084" s="96"/>
      <c r="S1084" s="96"/>
      <c r="T1084" s="96"/>
      <c r="U1084" s="96"/>
      <c r="V1084" s="96"/>
      <c r="W1084" s="96"/>
      <c r="X1084" s="96"/>
      <c r="Y1084" s="96"/>
      <c r="Z1084" s="96"/>
    </row>
    <row r="1085" spans="13:26">
      <c r="N1085" s="96"/>
      <c r="O1085" s="96"/>
      <c r="P1085" s="96"/>
      <c r="Q1085" s="96"/>
      <c r="R1085" s="96"/>
      <c r="S1085" s="96"/>
      <c r="T1085" s="96"/>
      <c r="U1085" s="96"/>
      <c r="V1085" s="96"/>
      <c r="W1085" s="96"/>
      <c r="X1085" s="96"/>
      <c r="Y1085" s="96"/>
      <c r="Z1085" s="96"/>
    </row>
    <row r="1086" spans="13:26">
      <c r="N1086" s="96"/>
      <c r="O1086" s="96"/>
      <c r="P1086" s="96"/>
      <c r="Q1086" s="96"/>
      <c r="R1086" s="96"/>
      <c r="S1086" s="96"/>
      <c r="T1086" s="96"/>
      <c r="U1086" s="96"/>
      <c r="V1086" s="96"/>
      <c r="W1086" s="96"/>
      <c r="X1086" s="96"/>
      <c r="Y1086" s="96"/>
      <c r="Z1086" s="96"/>
    </row>
  </sheetData>
  <mergeCells count="3">
    <mergeCell ref="A1:L3"/>
    <mergeCell ref="A69:L71"/>
    <mergeCell ref="A132:L133"/>
  </mergeCells>
  <phoneticPr fontId="60" type="noConversion"/>
  <pageMargins left="0.70866141732283472" right="0.70866141732283472" top="0.74803149606299213" bottom="0.74803149606299213" header="0.31496062992125984" footer="0.31496062992125984"/>
  <pageSetup paperSize="9" scale="8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441F-A71F-4E7F-B07F-FF515BC4AB06}">
  <sheetPr>
    <tabColor rgb="FFFF0000"/>
  </sheetPr>
  <dimension ref="A1:Z158"/>
  <sheetViews>
    <sheetView topLeftCell="A122" zoomScale="70" zoomScaleNormal="70" workbookViewId="0">
      <selection activeCell="B154" sqref="B154"/>
    </sheetView>
  </sheetViews>
  <sheetFormatPr defaultColWidth="12.625" defaultRowHeight="14.25"/>
  <cols>
    <col min="1" max="1" width="8.875" customWidth="1"/>
    <col min="2" max="2" width="19.125" customWidth="1"/>
    <col min="3" max="3" width="21.875" customWidth="1"/>
    <col min="4" max="4" width="38.875" customWidth="1"/>
    <col min="5" max="5" width="9.25" customWidth="1"/>
    <col min="6" max="6" width="7.375" customWidth="1"/>
    <col min="7" max="7" width="10.125" customWidth="1"/>
    <col min="9" max="10" width="16.875" customWidth="1"/>
  </cols>
  <sheetData>
    <row r="1" spans="1:26" ht="57">
      <c r="A1" s="668" t="s">
        <v>144</v>
      </c>
      <c r="B1" s="668" t="s">
        <v>3849</v>
      </c>
      <c r="C1" s="668" t="s">
        <v>3850</v>
      </c>
      <c r="D1" s="669" t="s">
        <v>3851</v>
      </c>
      <c r="E1" s="1225" t="s">
        <v>3852</v>
      </c>
      <c r="F1" s="1226"/>
      <c r="G1" s="1227"/>
      <c r="H1" s="669" t="s">
        <v>3853</v>
      </c>
      <c r="I1" s="668" t="s">
        <v>3854</v>
      </c>
      <c r="J1" s="670" t="s">
        <v>3855</v>
      </c>
      <c r="K1" s="670" t="s">
        <v>3856</v>
      </c>
      <c r="L1" s="668" t="s">
        <v>36</v>
      </c>
      <c r="M1" s="671"/>
    </row>
    <row r="2" spans="1:26">
      <c r="A2" s="672"/>
      <c r="B2" s="673"/>
      <c r="C2" s="740" t="s">
        <v>1739</v>
      </c>
      <c r="D2" s="675"/>
      <c r="E2" s="673"/>
      <c r="F2" s="673"/>
      <c r="G2" s="673"/>
      <c r="H2" s="675"/>
      <c r="I2" s="673"/>
      <c r="J2" s="676"/>
      <c r="K2" s="676"/>
      <c r="L2" s="677"/>
      <c r="M2" s="671"/>
    </row>
    <row r="3" spans="1:26" ht="15.75" customHeight="1">
      <c r="A3" s="678"/>
      <c r="B3" s="679"/>
      <c r="C3" s="747" t="s">
        <v>190</v>
      </c>
      <c r="D3" s="799"/>
      <c r="E3" s="679"/>
      <c r="F3" s="679"/>
      <c r="G3" s="679"/>
      <c r="H3" s="799"/>
      <c r="I3" s="679"/>
      <c r="J3" s="800"/>
      <c r="K3" s="800"/>
      <c r="L3" s="801"/>
      <c r="M3" s="671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.75" customHeight="1">
      <c r="A4" s="684">
        <v>1</v>
      </c>
      <c r="B4" s="684" t="s">
        <v>3930</v>
      </c>
      <c r="C4" s="684" t="s">
        <v>1739</v>
      </c>
      <c r="D4" s="685" t="s">
        <v>3931</v>
      </c>
      <c r="E4" s="684">
        <v>18</v>
      </c>
      <c r="F4" s="684">
        <v>1</v>
      </c>
      <c r="G4" s="684">
        <v>2567</v>
      </c>
      <c r="H4" s="686">
        <v>5500</v>
      </c>
      <c r="I4" s="684" t="s">
        <v>3860</v>
      </c>
      <c r="J4" s="687" t="s">
        <v>3256</v>
      </c>
      <c r="K4" s="687" t="s">
        <v>3861</v>
      </c>
      <c r="L4" s="688" t="s">
        <v>3932</v>
      </c>
      <c r="M4" s="683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.75" customHeight="1">
      <c r="A5" s="703">
        <v>2</v>
      </c>
      <c r="B5" s="703" t="s">
        <v>3633</v>
      </c>
      <c r="C5" s="703" t="s">
        <v>1739</v>
      </c>
      <c r="D5" s="704" t="s">
        <v>3933</v>
      </c>
      <c r="E5" s="703">
        <v>18</v>
      </c>
      <c r="F5" s="703">
        <v>1</v>
      </c>
      <c r="G5" s="703">
        <v>2567</v>
      </c>
      <c r="H5" s="705">
        <v>1100</v>
      </c>
      <c r="I5" s="703" t="s">
        <v>3860</v>
      </c>
      <c r="J5" s="706" t="s">
        <v>3256</v>
      </c>
      <c r="K5" s="706" t="s">
        <v>3861</v>
      </c>
      <c r="L5" s="688" t="s">
        <v>3932</v>
      </c>
      <c r="M5" s="683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>
      <c r="A6" s="684">
        <v>3</v>
      </c>
      <c r="B6" s="703" t="s">
        <v>3634</v>
      </c>
      <c r="C6" s="703" t="s">
        <v>1739</v>
      </c>
      <c r="D6" s="704" t="s">
        <v>3933</v>
      </c>
      <c r="E6" s="703">
        <v>18</v>
      </c>
      <c r="F6" s="703">
        <v>1</v>
      </c>
      <c r="G6" s="703">
        <v>2567</v>
      </c>
      <c r="H6" s="705">
        <v>1100</v>
      </c>
      <c r="I6" s="703" t="s">
        <v>3860</v>
      </c>
      <c r="J6" s="706" t="s">
        <v>3256</v>
      </c>
      <c r="K6" s="706" t="s">
        <v>3861</v>
      </c>
      <c r="L6" s="688" t="s">
        <v>3932</v>
      </c>
      <c r="M6" s="683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>
      <c r="A7" s="703">
        <v>4</v>
      </c>
      <c r="B7" s="703" t="s">
        <v>3635</v>
      </c>
      <c r="C7" s="703" t="s">
        <v>1739</v>
      </c>
      <c r="D7" s="704" t="s">
        <v>3933</v>
      </c>
      <c r="E7" s="703">
        <v>18</v>
      </c>
      <c r="F7" s="703">
        <v>1</v>
      </c>
      <c r="G7" s="703">
        <v>2567</v>
      </c>
      <c r="H7" s="705">
        <v>1100</v>
      </c>
      <c r="I7" s="703" t="s">
        <v>3860</v>
      </c>
      <c r="J7" s="706" t="s">
        <v>3256</v>
      </c>
      <c r="K7" s="706" t="s">
        <v>3861</v>
      </c>
      <c r="L7" s="688" t="s">
        <v>3932</v>
      </c>
      <c r="M7" s="683"/>
    </row>
    <row r="8" spans="1:26">
      <c r="A8" s="684">
        <v>5</v>
      </c>
      <c r="B8" s="703" t="s">
        <v>3636</v>
      </c>
      <c r="C8" s="703" t="s">
        <v>1739</v>
      </c>
      <c r="D8" s="704" t="s">
        <v>3933</v>
      </c>
      <c r="E8" s="703">
        <v>18</v>
      </c>
      <c r="F8" s="703">
        <v>1</v>
      </c>
      <c r="G8" s="703">
        <v>2567</v>
      </c>
      <c r="H8" s="705">
        <v>1100</v>
      </c>
      <c r="I8" s="703" t="s">
        <v>3860</v>
      </c>
      <c r="J8" s="706" t="s">
        <v>3256</v>
      </c>
      <c r="K8" s="706" t="s">
        <v>3861</v>
      </c>
      <c r="L8" s="688" t="s">
        <v>3932</v>
      </c>
      <c r="M8" s="683"/>
    </row>
    <row r="9" spans="1:26" ht="15.75" customHeight="1">
      <c r="A9" s="703">
        <v>6</v>
      </c>
      <c r="B9" s="703" t="s">
        <v>3637</v>
      </c>
      <c r="C9" s="703" t="s">
        <v>1739</v>
      </c>
      <c r="D9" s="704" t="s">
        <v>3933</v>
      </c>
      <c r="E9" s="703">
        <v>18</v>
      </c>
      <c r="F9" s="703">
        <v>1</v>
      </c>
      <c r="G9" s="703">
        <v>2567</v>
      </c>
      <c r="H9" s="705">
        <v>1100</v>
      </c>
      <c r="I9" s="703" t="s">
        <v>3860</v>
      </c>
      <c r="J9" s="706" t="s">
        <v>3256</v>
      </c>
      <c r="K9" s="706" t="s">
        <v>3861</v>
      </c>
      <c r="L9" s="688" t="s">
        <v>3932</v>
      </c>
      <c r="M9" s="683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684">
        <v>7</v>
      </c>
      <c r="B10" s="703" t="s">
        <v>3638</v>
      </c>
      <c r="C10" s="703" t="s">
        <v>1739</v>
      </c>
      <c r="D10" s="704" t="s">
        <v>3933</v>
      </c>
      <c r="E10" s="703">
        <v>18</v>
      </c>
      <c r="F10" s="703">
        <v>1</v>
      </c>
      <c r="G10" s="703">
        <v>2567</v>
      </c>
      <c r="H10" s="705">
        <v>1100</v>
      </c>
      <c r="I10" s="703" t="s">
        <v>3860</v>
      </c>
      <c r="J10" s="706" t="s">
        <v>3256</v>
      </c>
      <c r="K10" s="706" t="s">
        <v>3861</v>
      </c>
      <c r="L10" s="688" t="s">
        <v>3932</v>
      </c>
      <c r="M10" s="683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703">
        <v>8</v>
      </c>
      <c r="B11" s="703" t="s">
        <v>3639</v>
      </c>
      <c r="C11" s="703" t="s">
        <v>1739</v>
      </c>
      <c r="D11" s="704" t="s">
        <v>3933</v>
      </c>
      <c r="E11" s="703">
        <v>18</v>
      </c>
      <c r="F11" s="703">
        <v>1</v>
      </c>
      <c r="G11" s="703">
        <v>2567</v>
      </c>
      <c r="H11" s="705">
        <v>1100</v>
      </c>
      <c r="I11" s="703" t="s">
        <v>3860</v>
      </c>
      <c r="J11" s="706" t="s">
        <v>3256</v>
      </c>
      <c r="K11" s="706" t="s">
        <v>3861</v>
      </c>
      <c r="L11" s="688" t="s">
        <v>3932</v>
      </c>
      <c r="M11" s="683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684">
        <v>9</v>
      </c>
      <c r="B12" s="703" t="s">
        <v>3640</v>
      </c>
      <c r="C12" s="703" t="s">
        <v>1739</v>
      </c>
      <c r="D12" s="704" t="s">
        <v>3933</v>
      </c>
      <c r="E12" s="703">
        <v>18</v>
      </c>
      <c r="F12" s="703">
        <v>1</v>
      </c>
      <c r="G12" s="703">
        <v>2567</v>
      </c>
      <c r="H12" s="705">
        <v>1100</v>
      </c>
      <c r="I12" s="703" t="s">
        <v>3860</v>
      </c>
      <c r="J12" s="706" t="s">
        <v>3256</v>
      </c>
      <c r="K12" s="706" t="s">
        <v>3861</v>
      </c>
      <c r="L12" s="688" t="s">
        <v>3932</v>
      </c>
      <c r="M12" s="683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>
      <c r="A13" s="703">
        <v>10</v>
      </c>
      <c r="B13" s="703" t="s">
        <v>3641</v>
      </c>
      <c r="C13" s="703" t="s">
        <v>1739</v>
      </c>
      <c r="D13" s="704" t="s">
        <v>3933</v>
      </c>
      <c r="E13" s="703">
        <v>18</v>
      </c>
      <c r="F13" s="703">
        <v>1</v>
      </c>
      <c r="G13" s="703">
        <v>2567</v>
      </c>
      <c r="H13" s="705">
        <v>1100</v>
      </c>
      <c r="I13" s="703" t="s">
        <v>3860</v>
      </c>
      <c r="J13" s="706" t="s">
        <v>3256</v>
      </c>
      <c r="K13" s="706" t="s">
        <v>3861</v>
      </c>
      <c r="L13" s="688" t="s">
        <v>3932</v>
      </c>
      <c r="M13" s="683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684">
        <v>11</v>
      </c>
      <c r="B14" s="703" t="s">
        <v>3642</v>
      </c>
      <c r="C14" s="703" t="s">
        <v>1739</v>
      </c>
      <c r="D14" s="704" t="s">
        <v>3933</v>
      </c>
      <c r="E14" s="703">
        <v>18</v>
      </c>
      <c r="F14" s="703">
        <v>1</v>
      </c>
      <c r="G14" s="703">
        <v>2567</v>
      </c>
      <c r="H14" s="705">
        <v>1100</v>
      </c>
      <c r="I14" s="703" t="s">
        <v>3860</v>
      </c>
      <c r="J14" s="706" t="s">
        <v>3256</v>
      </c>
      <c r="K14" s="706" t="s">
        <v>3861</v>
      </c>
      <c r="L14" s="688" t="s">
        <v>3932</v>
      </c>
      <c r="M14" s="683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703">
        <v>12</v>
      </c>
      <c r="B15" s="703" t="s">
        <v>3643</v>
      </c>
      <c r="C15" s="703" t="s">
        <v>1739</v>
      </c>
      <c r="D15" s="704" t="s">
        <v>3933</v>
      </c>
      <c r="E15" s="703">
        <v>18</v>
      </c>
      <c r="F15" s="703">
        <v>1</v>
      </c>
      <c r="G15" s="703">
        <v>2567</v>
      </c>
      <c r="H15" s="705">
        <v>1100</v>
      </c>
      <c r="I15" s="703" t="s">
        <v>3860</v>
      </c>
      <c r="J15" s="706" t="s">
        <v>3256</v>
      </c>
      <c r="K15" s="706" t="s">
        <v>3861</v>
      </c>
      <c r="L15" s="688" t="s">
        <v>3932</v>
      </c>
      <c r="M15" s="683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684">
        <v>13</v>
      </c>
      <c r="B16" s="703" t="s">
        <v>3644</v>
      </c>
      <c r="C16" s="703" t="s">
        <v>1739</v>
      </c>
      <c r="D16" s="704" t="s">
        <v>3933</v>
      </c>
      <c r="E16" s="703">
        <v>18</v>
      </c>
      <c r="F16" s="703">
        <v>1</v>
      </c>
      <c r="G16" s="703">
        <v>2567</v>
      </c>
      <c r="H16" s="705">
        <v>1100</v>
      </c>
      <c r="I16" s="703" t="s">
        <v>3860</v>
      </c>
      <c r="J16" s="706" t="s">
        <v>3256</v>
      </c>
      <c r="K16" s="706" t="s">
        <v>3861</v>
      </c>
      <c r="L16" s="688" t="s">
        <v>3932</v>
      </c>
      <c r="M16" s="683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703">
        <v>14</v>
      </c>
      <c r="B17" s="703" t="s">
        <v>3645</v>
      </c>
      <c r="C17" s="703" t="s">
        <v>1739</v>
      </c>
      <c r="D17" s="704" t="s">
        <v>3933</v>
      </c>
      <c r="E17" s="703">
        <v>18</v>
      </c>
      <c r="F17" s="703">
        <v>1</v>
      </c>
      <c r="G17" s="703">
        <v>2567</v>
      </c>
      <c r="H17" s="705">
        <v>1100</v>
      </c>
      <c r="I17" s="703" t="s">
        <v>3860</v>
      </c>
      <c r="J17" s="706" t="s">
        <v>3256</v>
      </c>
      <c r="K17" s="706" t="s">
        <v>3861</v>
      </c>
      <c r="L17" s="688" t="s">
        <v>3932</v>
      </c>
      <c r="M17" s="683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684">
        <v>15</v>
      </c>
      <c r="B18" s="703" t="s">
        <v>3646</v>
      </c>
      <c r="C18" s="703" t="s">
        <v>1739</v>
      </c>
      <c r="D18" s="704" t="s">
        <v>3933</v>
      </c>
      <c r="E18" s="703">
        <v>18</v>
      </c>
      <c r="F18" s="703">
        <v>1</v>
      </c>
      <c r="G18" s="703">
        <v>2567</v>
      </c>
      <c r="H18" s="705">
        <v>1100</v>
      </c>
      <c r="I18" s="703" t="s">
        <v>3860</v>
      </c>
      <c r="J18" s="706" t="s">
        <v>3256</v>
      </c>
      <c r="K18" s="706" t="s">
        <v>3861</v>
      </c>
      <c r="L18" s="688" t="s">
        <v>3932</v>
      </c>
      <c r="M18" s="683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703">
        <v>16</v>
      </c>
      <c r="B19" s="703" t="s">
        <v>3647</v>
      </c>
      <c r="C19" s="703" t="s">
        <v>1739</v>
      </c>
      <c r="D19" s="704" t="s">
        <v>3933</v>
      </c>
      <c r="E19" s="703">
        <v>18</v>
      </c>
      <c r="F19" s="703">
        <v>1</v>
      </c>
      <c r="G19" s="703">
        <v>2567</v>
      </c>
      <c r="H19" s="705">
        <v>1100</v>
      </c>
      <c r="I19" s="703" t="s">
        <v>3860</v>
      </c>
      <c r="J19" s="706" t="s">
        <v>3256</v>
      </c>
      <c r="K19" s="706" t="s">
        <v>3861</v>
      </c>
      <c r="L19" s="688" t="s">
        <v>3932</v>
      </c>
      <c r="M19" s="683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684">
        <v>17</v>
      </c>
      <c r="B20" s="703" t="s">
        <v>3648</v>
      </c>
      <c r="C20" s="703" t="s">
        <v>1739</v>
      </c>
      <c r="D20" s="704" t="s">
        <v>3933</v>
      </c>
      <c r="E20" s="703">
        <v>18</v>
      </c>
      <c r="F20" s="703">
        <v>1</v>
      </c>
      <c r="G20" s="703">
        <v>2567</v>
      </c>
      <c r="H20" s="705">
        <v>1100</v>
      </c>
      <c r="I20" s="703" t="s">
        <v>3860</v>
      </c>
      <c r="J20" s="706" t="s">
        <v>3256</v>
      </c>
      <c r="K20" s="706" t="s">
        <v>3861</v>
      </c>
      <c r="L20" s="688" t="s">
        <v>3932</v>
      </c>
      <c r="M20" s="683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703">
        <v>18</v>
      </c>
      <c r="B21" s="703" t="s">
        <v>3649</v>
      </c>
      <c r="C21" s="703" t="s">
        <v>1739</v>
      </c>
      <c r="D21" s="704" t="s">
        <v>3933</v>
      </c>
      <c r="E21" s="703">
        <v>18</v>
      </c>
      <c r="F21" s="703">
        <v>1</v>
      </c>
      <c r="G21" s="703">
        <v>2567</v>
      </c>
      <c r="H21" s="705">
        <v>1100</v>
      </c>
      <c r="I21" s="703" t="s">
        <v>3860</v>
      </c>
      <c r="J21" s="706" t="s">
        <v>3256</v>
      </c>
      <c r="K21" s="706" t="s">
        <v>3861</v>
      </c>
      <c r="L21" s="688" t="s">
        <v>3932</v>
      </c>
      <c r="M21" s="683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684">
        <v>19</v>
      </c>
      <c r="B22" s="703" t="s">
        <v>3650</v>
      </c>
      <c r="C22" s="703" t="s">
        <v>1739</v>
      </c>
      <c r="D22" s="704" t="s">
        <v>3933</v>
      </c>
      <c r="E22" s="703">
        <v>18</v>
      </c>
      <c r="F22" s="703">
        <v>1</v>
      </c>
      <c r="G22" s="703">
        <v>2567</v>
      </c>
      <c r="H22" s="705">
        <v>1100</v>
      </c>
      <c r="I22" s="703" t="s">
        <v>3860</v>
      </c>
      <c r="J22" s="706" t="s">
        <v>3256</v>
      </c>
      <c r="K22" s="706" t="s">
        <v>3861</v>
      </c>
      <c r="L22" s="688" t="s">
        <v>3932</v>
      </c>
      <c r="M22" s="683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703">
        <v>20</v>
      </c>
      <c r="B23" s="703" t="s">
        <v>3651</v>
      </c>
      <c r="C23" s="703" t="s">
        <v>1739</v>
      </c>
      <c r="D23" s="704" t="s">
        <v>3933</v>
      </c>
      <c r="E23" s="703">
        <v>18</v>
      </c>
      <c r="F23" s="703">
        <v>1</v>
      </c>
      <c r="G23" s="703">
        <v>2567</v>
      </c>
      <c r="H23" s="705">
        <v>1100</v>
      </c>
      <c r="I23" s="703" t="s">
        <v>3860</v>
      </c>
      <c r="J23" s="706" t="s">
        <v>3256</v>
      </c>
      <c r="K23" s="706" t="s">
        <v>3861</v>
      </c>
      <c r="L23" s="688" t="s">
        <v>3932</v>
      </c>
      <c r="M23" s="683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684">
        <v>21</v>
      </c>
      <c r="B24" s="703" t="s">
        <v>3652</v>
      </c>
      <c r="C24" s="703" t="s">
        <v>1739</v>
      </c>
      <c r="D24" s="704" t="s">
        <v>3933</v>
      </c>
      <c r="E24" s="703">
        <v>18</v>
      </c>
      <c r="F24" s="703">
        <v>1</v>
      </c>
      <c r="G24" s="703">
        <v>2567</v>
      </c>
      <c r="H24" s="705">
        <v>1100</v>
      </c>
      <c r="I24" s="703" t="s">
        <v>3860</v>
      </c>
      <c r="J24" s="706" t="s">
        <v>3256</v>
      </c>
      <c r="K24" s="706" t="s">
        <v>3861</v>
      </c>
      <c r="L24" s="688" t="s">
        <v>3932</v>
      </c>
      <c r="M24" s="683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703">
        <v>22</v>
      </c>
      <c r="B25" s="703" t="s">
        <v>3653</v>
      </c>
      <c r="C25" s="703" t="s">
        <v>1739</v>
      </c>
      <c r="D25" s="704" t="s">
        <v>3933</v>
      </c>
      <c r="E25" s="703">
        <v>18</v>
      </c>
      <c r="F25" s="703">
        <v>1</v>
      </c>
      <c r="G25" s="703">
        <v>2567</v>
      </c>
      <c r="H25" s="705">
        <v>1100</v>
      </c>
      <c r="I25" s="703" t="s">
        <v>3860</v>
      </c>
      <c r="J25" s="706" t="s">
        <v>3256</v>
      </c>
      <c r="K25" s="706" t="s">
        <v>3861</v>
      </c>
      <c r="L25" s="688" t="s">
        <v>3932</v>
      </c>
      <c r="M25" s="683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>
      <c r="A26" s="684">
        <v>23</v>
      </c>
      <c r="B26" s="703" t="s">
        <v>3654</v>
      </c>
      <c r="C26" s="703" t="s">
        <v>1739</v>
      </c>
      <c r="D26" s="704" t="s">
        <v>3933</v>
      </c>
      <c r="E26" s="703">
        <v>18</v>
      </c>
      <c r="F26" s="703">
        <v>1</v>
      </c>
      <c r="G26" s="703">
        <v>2567</v>
      </c>
      <c r="H26" s="705">
        <v>1100</v>
      </c>
      <c r="I26" s="703" t="s">
        <v>3860</v>
      </c>
      <c r="J26" s="706" t="s">
        <v>3256</v>
      </c>
      <c r="K26" s="706" t="s">
        <v>3861</v>
      </c>
      <c r="L26" s="688" t="s">
        <v>3932</v>
      </c>
      <c r="M26" s="683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>
      <c r="A27" s="703">
        <v>24</v>
      </c>
      <c r="B27" s="703" t="s">
        <v>3655</v>
      </c>
      <c r="C27" s="703" t="s">
        <v>1739</v>
      </c>
      <c r="D27" s="704" t="s">
        <v>3933</v>
      </c>
      <c r="E27" s="703">
        <v>18</v>
      </c>
      <c r="F27" s="703">
        <v>1</v>
      </c>
      <c r="G27" s="703">
        <v>2567</v>
      </c>
      <c r="H27" s="705">
        <v>1100</v>
      </c>
      <c r="I27" s="703" t="s">
        <v>3860</v>
      </c>
      <c r="J27" s="706" t="s">
        <v>3256</v>
      </c>
      <c r="K27" s="706" t="s">
        <v>3861</v>
      </c>
      <c r="L27" s="688" t="s">
        <v>3932</v>
      </c>
      <c r="M27" s="683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>
      <c r="A28" s="684">
        <v>25</v>
      </c>
      <c r="B28" s="703" t="s">
        <v>3656</v>
      </c>
      <c r="C28" s="703" t="s">
        <v>1739</v>
      </c>
      <c r="D28" s="704" t="s">
        <v>3933</v>
      </c>
      <c r="E28" s="703">
        <v>18</v>
      </c>
      <c r="F28" s="703">
        <v>1</v>
      </c>
      <c r="G28" s="703">
        <v>2567</v>
      </c>
      <c r="H28" s="705">
        <v>1100</v>
      </c>
      <c r="I28" s="703" t="s">
        <v>3860</v>
      </c>
      <c r="J28" s="706" t="s">
        <v>3256</v>
      </c>
      <c r="K28" s="706" t="s">
        <v>3861</v>
      </c>
      <c r="L28" s="688" t="s">
        <v>3932</v>
      </c>
      <c r="M28" s="683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>
      <c r="A29" s="703">
        <v>26</v>
      </c>
      <c r="B29" s="703" t="s">
        <v>3657</v>
      </c>
      <c r="C29" s="703" t="s">
        <v>1739</v>
      </c>
      <c r="D29" s="704" t="s">
        <v>3933</v>
      </c>
      <c r="E29" s="703">
        <v>18</v>
      </c>
      <c r="F29" s="703">
        <v>1</v>
      </c>
      <c r="G29" s="703">
        <v>2567</v>
      </c>
      <c r="H29" s="705">
        <v>1100</v>
      </c>
      <c r="I29" s="703" t="s">
        <v>3860</v>
      </c>
      <c r="J29" s="706" t="s">
        <v>3256</v>
      </c>
      <c r="K29" s="706" t="s">
        <v>3861</v>
      </c>
      <c r="L29" s="688" t="s">
        <v>3932</v>
      </c>
      <c r="M29" s="683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>
      <c r="A30" s="684">
        <v>27</v>
      </c>
      <c r="B30" s="703" t="s">
        <v>3658</v>
      </c>
      <c r="C30" s="703" t="s">
        <v>1739</v>
      </c>
      <c r="D30" s="704" t="s">
        <v>3933</v>
      </c>
      <c r="E30" s="703">
        <v>18</v>
      </c>
      <c r="F30" s="703">
        <v>1</v>
      </c>
      <c r="G30" s="703">
        <v>2567</v>
      </c>
      <c r="H30" s="705">
        <v>1100</v>
      </c>
      <c r="I30" s="703" t="s">
        <v>3860</v>
      </c>
      <c r="J30" s="706" t="s">
        <v>3256</v>
      </c>
      <c r="K30" s="706" t="s">
        <v>3861</v>
      </c>
      <c r="L30" s="688" t="s">
        <v>3932</v>
      </c>
      <c r="M30" s="683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>
      <c r="A31" s="703">
        <v>28</v>
      </c>
      <c r="B31" s="703" t="s">
        <v>3659</v>
      </c>
      <c r="C31" s="703" t="s">
        <v>1739</v>
      </c>
      <c r="D31" s="704" t="s">
        <v>3933</v>
      </c>
      <c r="E31" s="703">
        <v>18</v>
      </c>
      <c r="F31" s="703">
        <v>1</v>
      </c>
      <c r="G31" s="703">
        <v>2567</v>
      </c>
      <c r="H31" s="705">
        <v>1100</v>
      </c>
      <c r="I31" s="703" t="s">
        <v>3860</v>
      </c>
      <c r="J31" s="706" t="s">
        <v>3256</v>
      </c>
      <c r="K31" s="706" t="s">
        <v>3861</v>
      </c>
      <c r="L31" s="688" t="s">
        <v>3932</v>
      </c>
      <c r="M31" s="683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>
      <c r="A32" s="684">
        <v>29</v>
      </c>
      <c r="B32" s="703" t="s">
        <v>3660</v>
      </c>
      <c r="C32" s="703" t="s">
        <v>1739</v>
      </c>
      <c r="D32" s="704" t="s">
        <v>3933</v>
      </c>
      <c r="E32" s="703">
        <v>18</v>
      </c>
      <c r="F32" s="703">
        <v>1</v>
      </c>
      <c r="G32" s="703">
        <v>2567</v>
      </c>
      <c r="H32" s="705">
        <v>1100</v>
      </c>
      <c r="I32" s="703" t="s">
        <v>3860</v>
      </c>
      <c r="J32" s="706" t="s">
        <v>3256</v>
      </c>
      <c r="K32" s="706" t="s">
        <v>3861</v>
      </c>
      <c r="L32" s="688" t="s">
        <v>3932</v>
      </c>
      <c r="M32" s="683"/>
    </row>
    <row r="33" spans="1:26">
      <c r="A33" s="703">
        <v>30</v>
      </c>
      <c r="B33" s="703" t="s">
        <v>3661</v>
      </c>
      <c r="C33" s="703" t="s">
        <v>1739</v>
      </c>
      <c r="D33" s="704" t="s">
        <v>3933</v>
      </c>
      <c r="E33" s="703">
        <v>18</v>
      </c>
      <c r="F33" s="703">
        <v>1</v>
      </c>
      <c r="G33" s="703">
        <v>2567</v>
      </c>
      <c r="H33" s="705">
        <v>1100</v>
      </c>
      <c r="I33" s="703" t="s">
        <v>3860</v>
      </c>
      <c r="J33" s="706" t="s">
        <v>3256</v>
      </c>
      <c r="K33" s="706" t="s">
        <v>3861</v>
      </c>
      <c r="L33" s="688" t="s">
        <v>3932</v>
      </c>
      <c r="M33" s="683"/>
    </row>
    <row r="34" spans="1:26">
      <c r="A34" s="684">
        <v>31</v>
      </c>
      <c r="B34" s="703" t="s">
        <v>3662</v>
      </c>
      <c r="C34" s="703" t="s">
        <v>1739</v>
      </c>
      <c r="D34" s="704" t="s">
        <v>3933</v>
      </c>
      <c r="E34" s="703">
        <v>18</v>
      </c>
      <c r="F34" s="703">
        <v>1</v>
      </c>
      <c r="G34" s="703">
        <v>2567</v>
      </c>
      <c r="H34" s="705">
        <v>1100</v>
      </c>
      <c r="I34" s="703" t="s">
        <v>3860</v>
      </c>
      <c r="J34" s="706" t="s">
        <v>3256</v>
      </c>
      <c r="K34" s="706" t="s">
        <v>3861</v>
      </c>
      <c r="L34" s="688" t="s">
        <v>3932</v>
      </c>
      <c r="M34" s="683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>
      <c r="A35" s="703">
        <v>32</v>
      </c>
      <c r="B35" s="703" t="s">
        <v>3663</v>
      </c>
      <c r="C35" s="703" t="s">
        <v>1739</v>
      </c>
      <c r="D35" s="704" t="s">
        <v>3933</v>
      </c>
      <c r="E35" s="703">
        <v>18</v>
      </c>
      <c r="F35" s="703">
        <v>1</v>
      </c>
      <c r="G35" s="703">
        <v>2567</v>
      </c>
      <c r="H35" s="705">
        <v>1100</v>
      </c>
      <c r="I35" s="703" t="s">
        <v>3860</v>
      </c>
      <c r="J35" s="706" t="s">
        <v>3256</v>
      </c>
      <c r="K35" s="706" t="s">
        <v>3861</v>
      </c>
      <c r="L35" s="688" t="s">
        <v>3932</v>
      </c>
      <c r="M35" s="683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>
      <c r="A36" s="684">
        <v>33</v>
      </c>
      <c r="B36" s="703" t="s">
        <v>3664</v>
      </c>
      <c r="C36" s="703" t="s">
        <v>1739</v>
      </c>
      <c r="D36" s="704" t="s">
        <v>3933</v>
      </c>
      <c r="E36" s="703">
        <v>18</v>
      </c>
      <c r="F36" s="703">
        <v>1</v>
      </c>
      <c r="G36" s="703">
        <v>2567</v>
      </c>
      <c r="H36" s="705">
        <v>1100</v>
      </c>
      <c r="I36" s="703" t="s">
        <v>3860</v>
      </c>
      <c r="J36" s="706" t="s">
        <v>3256</v>
      </c>
      <c r="K36" s="706" t="s">
        <v>3861</v>
      </c>
      <c r="L36" s="688" t="s">
        <v>3932</v>
      </c>
      <c r="M36" s="683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>
      <c r="A37" s="703">
        <v>34</v>
      </c>
      <c r="B37" s="703" t="s">
        <v>3665</v>
      </c>
      <c r="C37" s="703" t="s">
        <v>1739</v>
      </c>
      <c r="D37" s="704" t="s">
        <v>3933</v>
      </c>
      <c r="E37" s="703">
        <v>18</v>
      </c>
      <c r="F37" s="703">
        <v>1</v>
      </c>
      <c r="G37" s="703">
        <v>2567</v>
      </c>
      <c r="H37" s="705">
        <v>1100</v>
      </c>
      <c r="I37" s="703" t="s">
        <v>3860</v>
      </c>
      <c r="J37" s="706" t="s">
        <v>3256</v>
      </c>
      <c r="K37" s="706" t="s">
        <v>3861</v>
      </c>
      <c r="L37" s="688" t="s">
        <v>3932</v>
      </c>
      <c r="M37" s="683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>
      <c r="A38" s="684">
        <v>35</v>
      </c>
      <c r="B38" s="703" t="s">
        <v>3666</v>
      </c>
      <c r="C38" s="703" t="s">
        <v>1739</v>
      </c>
      <c r="D38" s="704" t="s">
        <v>3933</v>
      </c>
      <c r="E38" s="703">
        <v>18</v>
      </c>
      <c r="F38" s="703">
        <v>1</v>
      </c>
      <c r="G38" s="703">
        <v>2567</v>
      </c>
      <c r="H38" s="705">
        <v>1100</v>
      </c>
      <c r="I38" s="703" t="s">
        <v>3860</v>
      </c>
      <c r="J38" s="706" t="s">
        <v>3256</v>
      </c>
      <c r="K38" s="706" t="s">
        <v>3861</v>
      </c>
      <c r="L38" s="688" t="s">
        <v>3932</v>
      </c>
      <c r="M38" s="683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>
      <c r="A39" s="703">
        <v>36</v>
      </c>
      <c r="B39" s="703" t="s">
        <v>3667</v>
      </c>
      <c r="C39" s="703" t="s">
        <v>1739</v>
      </c>
      <c r="D39" s="704" t="s">
        <v>3933</v>
      </c>
      <c r="E39" s="703">
        <v>18</v>
      </c>
      <c r="F39" s="703">
        <v>1</v>
      </c>
      <c r="G39" s="703">
        <v>2567</v>
      </c>
      <c r="H39" s="705">
        <v>1100</v>
      </c>
      <c r="I39" s="703" t="s">
        <v>3860</v>
      </c>
      <c r="J39" s="706" t="s">
        <v>3256</v>
      </c>
      <c r="K39" s="706" t="s">
        <v>3861</v>
      </c>
      <c r="L39" s="688" t="s">
        <v>3932</v>
      </c>
      <c r="M39" s="683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>
      <c r="A40" s="684">
        <v>37</v>
      </c>
      <c r="B40" s="703" t="s">
        <v>3668</v>
      </c>
      <c r="C40" s="703" t="s">
        <v>1739</v>
      </c>
      <c r="D40" s="704" t="s">
        <v>3933</v>
      </c>
      <c r="E40" s="703">
        <v>18</v>
      </c>
      <c r="F40" s="703">
        <v>1</v>
      </c>
      <c r="G40" s="703">
        <v>2567</v>
      </c>
      <c r="H40" s="705">
        <v>1100</v>
      </c>
      <c r="I40" s="703" t="s">
        <v>3860</v>
      </c>
      <c r="J40" s="706" t="s">
        <v>3256</v>
      </c>
      <c r="K40" s="706" t="s">
        <v>3861</v>
      </c>
      <c r="L40" s="688" t="s">
        <v>3932</v>
      </c>
      <c r="M40" s="683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>
      <c r="A41" s="703">
        <v>38</v>
      </c>
      <c r="B41" s="703" t="s">
        <v>3669</v>
      </c>
      <c r="C41" s="703" t="s">
        <v>1739</v>
      </c>
      <c r="D41" s="704" t="s">
        <v>3933</v>
      </c>
      <c r="E41" s="703">
        <v>18</v>
      </c>
      <c r="F41" s="703">
        <v>1</v>
      </c>
      <c r="G41" s="703">
        <v>2567</v>
      </c>
      <c r="H41" s="705">
        <v>1100</v>
      </c>
      <c r="I41" s="703" t="s">
        <v>3860</v>
      </c>
      <c r="J41" s="706" t="s">
        <v>3256</v>
      </c>
      <c r="K41" s="706" t="s">
        <v>3861</v>
      </c>
      <c r="L41" s="688" t="s">
        <v>3932</v>
      </c>
      <c r="M41" s="683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>
      <c r="A42" s="684">
        <v>39</v>
      </c>
      <c r="B42" s="703" t="s">
        <v>3670</v>
      </c>
      <c r="C42" s="703" t="s">
        <v>1739</v>
      </c>
      <c r="D42" s="704" t="s">
        <v>3933</v>
      </c>
      <c r="E42" s="703">
        <v>18</v>
      </c>
      <c r="F42" s="703">
        <v>1</v>
      </c>
      <c r="G42" s="703">
        <v>2567</v>
      </c>
      <c r="H42" s="705">
        <v>1100</v>
      </c>
      <c r="I42" s="703" t="s">
        <v>3860</v>
      </c>
      <c r="J42" s="706" t="s">
        <v>3256</v>
      </c>
      <c r="K42" s="706" t="s">
        <v>3861</v>
      </c>
      <c r="L42" s="688" t="s">
        <v>3932</v>
      </c>
      <c r="M42" s="683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>
      <c r="A43" s="703">
        <v>40</v>
      </c>
      <c r="B43" s="703" t="s">
        <v>3671</v>
      </c>
      <c r="C43" s="703" t="s">
        <v>1739</v>
      </c>
      <c r="D43" s="704" t="s">
        <v>3933</v>
      </c>
      <c r="E43" s="703">
        <v>18</v>
      </c>
      <c r="F43" s="703">
        <v>1</v>
      </c>
      <c r="G43" s="703">
        <v>2567</v>
      </c>
      <c r="H43" s="705">
        <v>1100</v>
      </c>
      <c r="I43" s="703" t="s">
        <v>3860</v>
      </c>
      <c r="J43" s="706" t="s">
        <v>3256</v>
      </c>
      <c r="K43" s="706" t="s">
        <v>3861</v>
      </c>
      <c r="L43" s="688" t="s">
        <v>3932</v>
      </c>
      <c r="M43" s="683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>
      <c r="A44" s="684">
        <v>41</v>
      </c>
      <c r="B44" s="703" t="s">
        <v>3672</v>
      </c>
      <c r="C44" s="703" t="s">
        <v>1739</v>
      </c>
      <c r="D44" s="704" t="s">
        <v>3933</v>
      </c>
      <c r="E44" s="703">
        <v>18</v>
      </c>
      <c r="F44" s="703">
        <v>1</v>
      </c>
      <c r="G44" s="703">
        <v>2567</v>
      </c>
      <c r="H44" s="705">
        <v>1100</v>
      </c>
      <c r="I44" s="703" t="s">
        <v>3860</v>
      </c>
      <c r="J44" s="706" t="s">
        <v>3256</v>
      </c>
      <c r="K44" s="706" t="s">
        <v>3861</v>
      </c>
      <c r="L44" s="688" t="s">
        <v>3932</v>
      </c>
      <c r="M44" s="683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>
      <c r="A45" s="703">
        <v>42</v>
      </c>
      <c r="B45" s="703" t="s">
        <v>3673</v>
      </c>
      <c r="C45" s="703" t="s">
        <v>1739</v>
      </c>
      <c r="D45" s="704" t="s">
        <v>3933</v>
      </c>
      <c r="E45" s="703">
        <v>18</v>
      </c>
      <c r="F45" s="703">
        <v>1</v>
      </c>
      <c r="G45" s="703">
        <v>2567</v>
      </c>
      <c r="H45" s="705">
        <v>1100</v>
      </c>
      <c r="I45" s="703" t="s">
        <v>3860</v>
      </c>
      <c r="J45" s="706" t="s">
        <v>3256</v>
      </c>
      <c r="K45" s="706" t="s">
        <v>3861</v>
      </c>
      <c r="L45" s="688" t="s">
        <v>3932</v>
      </c>
      <c r="M45" s="683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>
      <c r="A46" s="684">
        <v>43</v>
      </c>
      <c r="B46" s="703" t="s">
        <v>3674</v>
      </c>
      <c r="C46" s="703" t="s">
        <v>1739</v>
      </c>
      <c r="D46" s="704" t="s">
        <v>3933</v>
      </c>
      <c r="E46" s="703">
        <v>18</v>
      </c>
      <c r="F46" s="703">
        <v>1</v>
      </c>
      <c r="G46" s="703">
        <v>2567</v>
      </c>
      <c r="H46" s="705">
        <v>1100</v>
      </c>
      <c r="I46" s="703" t="s">
        <v>3860</v>
      </c>
      <c r="J46" s="706" t="s">
        <v>3256</v>
      </c>
      <c r="K46" s="706" t="s">
        <v>3861</v>
      </c>
      <c r="L46" s="688" t="s">
        <v>3932</v>
      </c>
      <c r="M46" s="683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>
      <c r="A47" s="703">
        <v>44</v>
      </c>
      <c r="B47" s="703" t="s">
        <v>3675</v>
      </c>
      <c r="C47" s="703" t="s">
        <v>1739</v>
      </c>
      <c r="D47" s="704" t="s">
        <v>3933</v>
      </c>
      <c r="E47" s="703">
        <v>18</v>
      </c>
      <c r="F47" s="703">
        <v>1</v>
      </c>
      <c r="G47" s="703">
        <v>2567</v>
      </c>
      <c r="H47" s="705">
        <v>1100</v>
      </c>
      <c r="I47" s="703" t="s">
        <v>3860</v>
      </c>
      <c r="J47" s="706" t="s">
        <v>3256</v>
      </c>
      <c r="K47" s="706" t="s">
        <v>3861</v>
      </c>
      <c r="L47" s="688" t="s">
        <v>3932</v>
      </c>
      <c r="M47" s="683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>
      <c r="A48" s="684">
        <v>45</v>
      </c>
      <c r="B48" s="703" t="s">
        <v>3676</v>
      </c>
      <c r="C48" s="703" t="s">
        <v>1739</v>
      </c>
      <c r="D48" s="704" t="s">
        <v>3933</v>
      </c>
      <c r="E48" s="703">
        <v>18</v>
      </c>
      <c r="F48" s="703">
        <v>1</v>
      </c>
      <c r="G48" s="703">
        <v>2567</v>
      </c>
      <c r="H48" s="705">
        <v>1100</v>
      </c>
      <c r="I48" s="703" t="s">
        <v>3860</v>
      </c>
      <c r="J48" s="706" t="s">
        <v>3256</v>
      </c>
      <c r="K48" s="706" t="s">
        <v>3861</v>
      </c>
      <c r="L48" s="688" t="s">
        <v>3932</v>
      </c>
      <c r="M48" s="683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>
      <c r="A49" s="703">
        <v>46</v>
      </c>
      <c r="B49" s="703" t="s">
        <v>3677</v>
      </c>
      <c r="C49" s="703" t="s">
        <v>1739</v>
      </c>
      <c r="D49" s="704" t="s">
        <v>3933</v>
      </c>
      <c r="E49" s="703">
        <v>18</v>
      </c>
      <c r="F49" s="703">
        <v>1</v>
      </c>
      <c r="G49" s="703">
        <v>2567</v>
      </c>
      <c r="H49" s="705">
        <v>1100</v>
      </c>
      <c r="I49" s="703" t="s">
        <v>3860</v>
      </c>
      <c r="J49" s="706" t="s">
        <v>3256</v>
      </c>
      <c r="K49" s="706" t="s">
        <v>3861</v>
      </c>
      <c r="L49" s="688" t="s">
        <v>3932</v>
      </c>
      <c r="M49" s="683"/>
    </row>
    <row r="50" spans="1:26">
      <c r="A50" s="684">
        <v>47</v>
      </c>
      <c r="B50" s="703" t="s">
        <v>3678</v>
      </c>
      <c r="C50" s="703" t="s">
        <v>1739</v>
      </c>
      <c r="D50" s="704" t="s">
        <v>3933</v>
      </c>
      <c r="E50" s="703">
        <v>18</v>
      </c>
      <c r="F50" s="703">
        <v>1</v>
      </c>
      <c r="G50" s="703">
        <v>2567</v>
      </c>
      <c r="H50" s="705">
        <v>1100</v>
      </c>
      <c r="I50" s="703" t="s">
        <v>3860</v>
      </c>
      <c r="J50" s="706" t="s">
        <v>3256</v>
      </c>
      <c r="K50" s="706" t="s">
        <v>3861</v>
      </c>
      <c r="L50" s="688" t="s">
        <v>3932</v>
      </c>
      <c r="M50" s="683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>
      <c r="A51" s="703">
        <v>48</v>
      </c>
      <c r="B51" s="703" t="s">
        <v>3679</v>
      </c>
      <c r="C51" s="703" t="s">
        <v>1739</v>
      </c>
      <c r="D51" s="704" t="s">
        <v>3933</v>
      </c>
      <c r="E51" s="703">
        <v>18</v>
      </c>
      <c r="F51" s="703">
        <v>1</v>
      </c>
      <c r="G51" s="703">
        <v>2567</v>
      </c>
      <c r="H51" s="705">
        <v>1100</v>
      </c>
      <c r="I51" s="703" t="s">
        <v>3860</v>
      </c>
      <c r="J51" s="706" t="s">
        <v>3256</v>
      </c>
      <c r="K51" s="706" t="s">
        <v>3861</v>
      </c>
      <c r="L51" s="688" t="s">
        <v>3932</v>
      </c>
      <c r="M51" s="683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>
      <c r="A52" s="684">
        <v>49</v>
      </c>
      <c r="B52" s="703" t="s">
        <v>3680</v>
      </c>
      <c r="C52" s="703" t="s">
        <v>1739</v>
      </c>
      <c r="D52" s="704" t="s">
        <v>3933</v>
      </c>
      <c r="E52" s="703">
        <v>18</v>
      </c>
      <c r="F52" s="703">
        <v>1</v>
      </c>
      <c r="G52" s="703">
        <v>2567</v>
      </c>
      <c r="H52" s="705">
        <v>1100</v>
      </c>
      <c r="I52" s="703" t="s">
        <v>3860</v>
      </c>
      <c r="J52" s="706" t="s">
        <v>3256</v>
      </c>
      <c r="K52" s="706" t="s">
        <v>3861</v>
      </c>
      <c r="L52" s="688" t="s">
        <v>3932</v>
      </c>
      <c r="M52" s="683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>
      <c r="A53" s="703">
        <v>50</v>
      </c>
      <c r="B53" s="703" t="s">
        <v>3681</v>
      </c>
      <c r="C53" s="703" t="s">
        <v>1739</v>
      </c>
      <c r="D53" s="704" t="s">
        <v>3933</v>
      </c>
      <c r="E53" s="703">
        <v>18</v>
      </c>
      <c r="F53" s="703">
        <v>1</v>
      </c>
      <c r="G53" s="703">
        <v>2567</v>
      </c>
      <c r="H53" s="705">
        <v>1100</v>
      </c>
      <c r="I53" s="703" t="s">
        <v>3860</v>
      </c>
      <c r="J53" s="706" t="s">
        <v>3256</v>
      </c>
      <c r="K53" s="706" t="s">
        <v>3861</v>
      </c>
      <c r="L53" s="688" t="s">
        <v>3932</v>
      </c>
      <c r="M53" s="683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>
      <c r="A54" s="684">
        <v>51</v>
      </c>
      <c r="B54" s="703" t="s">
        <v>3682</v>
      </c>
      <c r="C54" s="703" t="s">
        <v>1739</v>
      </c>
      <c r="D54" s="704" t="s">
        <v>3933</v>
      </c>
      <c r="E54" s="703">
        <v>18</v>
      </c>
      <c r="F54" s="703">
        <v>1</v>
      </c>
      <c r="G54" s="703">
        <v>2567</v>
      </c>
      <c r="H54" s="705">
        <v>1100</v>
      </c>
      <c r="I54" s="703" t="s">
        <v>3860</v>
      </c>
      <c r="J54" s="706" t="s">
        <v>3256</v>
      </c>
      <c r="K54" s="706" t="s">
        <v>3861</v>
      </c>
      <c r="L54" s="688" t="s">
        <v>3932</v>
      </c>
      <c r="M54" s="683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>
      <c r="A55" s="703">
        <v>52</v>
      </c>
      <c r="B55" s="703" t="s">
        <v>3683</v>
      </c>
      <c r="C55" s="703" t="s">
        <v>1739</v>
      </c>
      <c r="D55" s="704" t="s">
        <v>3933</v>
      </c>
      <c r="E55" s="703">
        <v>18</v>
      </c>
      <c r="F55" s="703">
        <v>1</v>
      </c>
      <c r="G55" s="703">
        <v>2567</v>
      </c>
      <c r="H55" s="705">
        <v>1100</v>
      </c>
      <c r="I55" s="703" t="s">
        <v>3860</v>
      </c>
      <c r="J55" s="706" t="s">
        <v>3256</v>
      </c>
      <c r="K55" s="706" t="s">
        <v>3861</v>
      </c>
      <c r="L55" s="688" t="s">
        <v>3932</v>
      </c>
      <c r="M55" s="683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>
      <c r="A56" s="684">
        <v>53</v>
      </c>
      <c r="B56" s="703" t="s">
        <v>3684</v>
      </c>
      <c r="C56" s="703" t="s">
        <v>1739</v>
      </c>
      <c r="D56" s="704" t="s">
        <v>3933</v>
      </c>
      <c r="E56" s="703">
        <v>18</v>
      </c>
      <c r="F56" s="703">
        <v>1</v>
      </c>
      <c r="G56" s="703">
        <v>2567</v>
      </c>
      <c r="H56" s="705">
        <v>1100</v>
      </c>
      <c r="I56" s="703" t="s">
        <v>3860</v>
      </c>
      <c r="J56" s="706" t="s">
        <v>3256</v>
      </c>
      <c r="K56" s="706" t="s">
        <v>3861</v>
      </c>
      <c r="L56" s="688" t="s">
        <v>3932</v>
      </c>
      <c r="M56" s="683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>
      <c r="A57" s="703">
        <v>54</v>
      </c>
      <c r="B57" s="703" t="s">
        <v>3685</v>
      </c>
      <c r="C57" s="703" t="s">
        <v>1739</v>
      </c>
      <c r="D57" s="704" t="s">
        <v>3933</v>
      </c>
      <c r="E57" s="703">
        <v>18</v>
      </c>
      <c r="F57" s="703">
        <v>1</v>
      </c>
      <c r="G57" s="703">
        <v>2567</v>
      </c>
      <c r="H57" s="705">
        <v>1100</v>
      </c>
      <c r="I57" s="703" t="s">
        <v>3860</v>
      </c>
      <c r="J57" s="706" t="s">
        <v>3256</v>
      </c>
      <c r="K57" s="706" t="s">
        <v>3861</v>
      </c>
      <c r="L57" s="688" t="s">
        <v>3932</v>
      </c>
      <c r="M57" s="683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>
      <c r="A58" s="684">
        <v>55</v>
      </c>
      <c r="B58" s="703" t="s">
        <v>3686</v>
      </c>
      <c r="C58" s="703" t="s">
        <v>1739</v>
      </c>
      <c r="D58" s="704" t="s">
        <v>3933</v>
      </c>
      <c r="E58" s="703">
        <v>18</v>
      </c>
      <c r="F58" s="703">
        <v>1</v>
      </c>
      <c r="G58" s="703">
        <v>2567</v>
      </c>
      <c r="H58" s="705">
        <v>1100</v>
      </c>
      <c r="I58" s="703" t="s">
        <v>3860</v>
      </c>
      <c r="J58" s="706" t="s">
        <v>3256</v>
      </c>
      <c r="K58" s="706" t="s">
        <v>3861</v>
      </c>
      <c r="L58" s="688" t="s">
        <v>3932</v>
      </c>
      <c r="M58" s="683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>
      <c r="A59" s="703">
        <v>56</v>
      </c>
      <c r="B59" s="703" t="s">
        <v>3687</v>
      </c>
      <c r="C59" s="703" t="s">
        <v>1739</v>
      </c>
      <c r="D59" s="704" t="s">
        <v>3933</v>
      </c>
      <c r="E59" s="703">
        <v>18</v>
      </c>
      <c r="F59" s="703">
        <v>1</v>
      </c>
      <c r="G59" s="703">
        <v>2567</v>
      </c>
      <c r="H59" s="705">
        <v>1100</v>
      </c>
      <c r="I59" s="703" t="s">
        <v>3860</v>
      </c>
      <c r="J59" s="706" t="s">
        <v>3256</v>
      </c>
      <c r="K59" s="706" t="s">
        <v>3861</v>
      </c>
      <c r="L59" s="688" t="s">
        <v>3932</v>
      </c>
      <c r="M59" s="683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>
      <c r="A60" s="684">
        <v>57</v>
      </c>
      <c r="B60" s="703" t="s">
        <v>3688</v>
      </c>
      <c r="C60" s="703" t="s">
        <v>1739</v>
      </c>
      <c r="D60" s="704" t="s">
        <v>3933</v>
      </c>
      <c r="E60" s="703">
        <v>18</v>
      </c>
      <c r="F60" s="703">
        <v>1</v>
      </c>
      <c r="G60" s="703">
        <v>2567</v>
      </c>
      <c r="H60" s="705">
        <v>1100</v>
      </c>
      <c r="I60" s="703" t="s">
        <v>3860</v>
      </c>
      <c r="J60" s="706" t="s">
        <v>3256</v>
      </c>
      <c r="K60" s="706" t="s">
        <v>3861</v>
      </c>
      <c r="L60" s="688" t="s">
        <v>3932</v>
      </c>
      <c r="M60" s="683"/>
    </row>
    <row r="61" spans="1:26">
      <c r="A61" s="703">
        <v>58</v>
      </c>
      <c r="B61" s="703" t="s">
        <v>3689</v>
      </c>
      <c r="C61" s="703" t="s">
        <v>1739</v>
      </c>
      <c r="D61" s="704" t="s">
        <v>3933</v>
      </c>
      <c r="E61" s="703">
        <v>18</v>
      </c>
      <c r="F61" s="703">
        <v>1</v>
      </c>
      <c r="G61" s="703">
        <v>2567</v>
      </c>
      <c r="H61" s="705">
        <v>1100</v>
      </c>
      <c r="I61" s="703" t="s">
        <v>3860</v>
      </c>
      <c r="J61" s="706" t="s">
        <v>3256</v>
      </c>
      <c r="K61" s="706" t="s">
        <v>3861</v>
      </c>
      <c r="L61" s="688" t="s">
        <v>3932</v>
      </c>
      <c r="M61" s="683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>
      <c r="A62" s="684">
        <v>59</v>
      </c>
      <c r="B62" s="703" t="s">
        <v>3690</v>
      </c>
      <c r="C62" s="703" t="s">
        <v>1739</v>
      </c>
      <c r="D62" s="704" t="s">
        <v>3933</v>
      </c>
      <c r="E62" s="703">
        <v>18</v>
      </c>
      <c r="F62" s="703">
        <v>1</v>
      </c>
      <c r="G62" s="703">
        <v>2567</v>
      </c>
      <c r="H62" s="705">
        <v>1100</v>
      </c>
      <c r="I62" s="703" t="s">
        <v>3860</v>
      </c>
      <c r="J62" s="706" t="s">
        <v>3256</v>
      </c>
      <c r="K62" s="706" t="s">
        <v>3861</v>
      </c>
      <c r="L62" s="688" t="s">
        <v>3932</v>
      </c>
      <c r="M62" s="683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>
      <c r="A63" s="703">
        <v>60</v>
      </c>
      <c r="B63" s="703" t="s">
        <v>3691</v>
      </c>
      <c r="C63" s="703" t="s">
        <v>1739</v>
      </c>
      <c r="D63" s="704" t="s">
        <v>3933</v>
      </c>
      <c r="E63" s="703">
        <v>18</v>
      </c>
      <c r="F63" s="703">
        <v>1</v>
      </c>
      <c r="G63" s="703">
        <v>2567</v>
      </c>
      <c r="H63" s="705">
        <v>1100</v>
      </c>
      <c r="I63" s="703" t="s">
        <v>3860</v>
      </c>
      <c r="J63" s="706" t="s">
        <v>3256</v>
      </c>
      <c r="K63" s="706" t="s">
        <v>3861</v>
      </c>
      <c r="L63" s="688" t="s">
        <v>3932</v>
      </c>
      <c r="M63" s="683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>
      <c r="A64" s="684">
        <v>61</v>
      </c>
      <c r="B64" s="703" t="s">
        <v>3692</v>
      </c>
      <c r="C64" s="703" t="s">
        <v>1739</v>
      </c>
      <c r="D64" s="704" t="s">
        <v>3933</v>
      </c>
      <c r="E64" s="703">
        <v>18</v>
      </c>
      <c r="F64" s="703">
        <v>1</v>
      </c>
      <c r="G64" s="703">
        <v>2567</v>
      </c>
      <c r="H64" s="705">
        <v>1100</v>
      </c>
      <c r="I64" s="703" t="s">
        <v>3860</v>
      </c>
      <c r="J64" s="706" t="s">
        <v>3256</v>
      </c>
      <c r="K64" s="706" t="s">
        <v>3861</v>
      </c>
      <c r="L64" s="688" t="s">
        <v>3932</v>
      </c>
      <c r="M64" s="683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>
      <c r="A65" s="703">
        <v>62</v>
      </c>
      <c r="B65" s="703" t="s">
        <v>3693</v>
      </c>
      <c r="C65" s="703" t="s">
        <v>1739</v>
      </c>
      <c r="D65" s="704" t="s">
        <v>3933</v>
      </c>
      <c r="E65" s="703">
        <v>18</v>
      </c>
      <c r="F65" s="703">
        <v>1</v>
      </c>
      <c r="G65" s="703">
        <v>2567</v>
      </c>
      <c r="H65" s="705">
        <v>1100</v>
      </c>
      <c r="I65" s="703" t="s">
        <v>3860</v>
      </c>
      <c r="J65" s="706" t="s">
        <v>3256</v>
      </c>
      <c r="K65" s="706" t="s">
        <v>3861</v>
      </c>
      <c r="L65" s="688" t="s">
        <v>3932</v>
      </c>
      <c r="M65" s="683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>
      <c r="A66" s="684">
        <v>63</v>
      </c>
      <c r="B66" s="703" t="s">
        <v>3694</v>
      </c>
      <c r="C66" s="703" t="s">
        <v>1739</v>
      </c>
      <c r="D66" s="704" t="s">
        <v>3933</v>
      </c>
      <c r="E66" s="703">
        <v>18</v>
      </c>
      <c r="F66" s="703">
        <v>1</v>
      </c>
      <c r="G66" s="703">
        <v>2567</v>
      </c>
      <c r="H66" s="705">
        <v>1100</v>
      </c>
      <c r="I66" s="703" t="s">
        <v>3860</v>
      </c>
      <c r="J66" s="706" t="s">
        <v>3256</v>
      </c>
      <c r="K66" s="706" t="s">
        <v>3861</v>
      </c>
      <c r="L66" s="688" t="s">
        <v>3932</v>
      </c>
      <c r="M66" s="683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>
      <c r="A67" s="703">
        <v>64</v>
      </c>
      <c r="B67" s="703" t="s">
        <v>3695</v>
      </c>
      <c r="C67" s="703" t="s">
        <v>1739</v>
      </c>
      <c r="D67" s="704" t="s">
        <v>3933</v>
      </c>
      <c r="E67" s="703">
        <v>18</v>
      </c>
      <c r="F67" s="703">
        <v>1</v>
      </c>
      <c r="G67" s="703">
        <v>2567</v>
      </c>
      <c r="H67" s="705">
        <v>1100</v>
      </c>
      <c r="I67" s="703" t="s">
        <v>3860</v>
      </c>
      <c r="J67" s="706" t="s">
        <v>3256</v>
      </c>
      <c r="K67" s="706" t="s">
        <v>3861</v>
      </c>
      <c r="L67" s="688" t="s">
        <v>3932</v>
      </c>
      <c r="M67" s="683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>
      <c r="A68" s="684">
        <v>65</v>
      </c>
      <c r="B68" s="703" t="s">
        <v>3696</v>
      </c>
      <c r="C68" s="703" t="s">
        <v>1739</v>
      </c>
      <c r="D68" s="704" t="s">
        <v>3933</v>
      </c>
      <c r="E68" s="703">
        <v>18</v>
      </c>
      <c r="F68" s="703">
        <v>1</v>
      </c>
      <c r="G68" s="703">
        <v>2567</v>
      </c>
      <c r="H68" s="705">
        <v>1100</v>
      </c>
      <c r="I68" s="703" t="s">
        <v>3860</v>
      </c>
      <c r="J68" s="706" t="s">
        <v>3256</v>
      </c>
      <c r="K68" s="706" t="s">
        <v>3861</v>
      </c>
      <c r="L68" s="688" t="s">
        <v>3932</v>
      </c>
      <c r="M68" s="683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>
      <c r="A69" s="703">
        <v>66</v>
      </c>
      <c r="B69" s="703" t="s">
        <v>3697</v>
      </c>
      <c r="C69" s="703" t="s">
        <v>1739</v>
      </c>
      <c r="D69" s="704" t="s">
        <v>3933</v>
      </c>
      <c r="E69" s="703">
        <v>18</v>
      </c>
      <c r="F69" s="703">
        <v>1</v>
      </c>
      <c r="G69" s="703">
        <v>2567</v>
      </c>
      <c r="H69" s="705">
        <v>1100</v>
      </c>
      <c r="I69" s="703" t="s">
        <v>3860</v>
      </c>
      <c r="J69" s="706" t="s">
        <v>3256</v>
      </c>
      <c r="K69" s="706" t="s">
        <v>3861</v>
      </c>
      <c r="L69" s="688" t="s">
        <v>3932</v>
      </c>
      <c r="M69" s="683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>
      <c r="A70" s="684">
        <v>67</v>
      </c>
      <c r="B70" s="703" t="s">
        <v>3698</v>
      </c>
      <c r="C70" s="703" t="s">
        <v>1739</v>
      </c>
      <c r="D70" s="704" t="s">
        <v>3933</v>
      </c>
      <c r="E70" s="703">
        <v>18</v>
      </c>
      <c r="F70" s="703">
        <v>1</v>
      </c>
      <c r="G70" s="703">
        <v>2567</v>
      </c>
      <c r="H70" s="705">
        <v>1100</v>
      </c>
      <c r="I70" s="703" t="s">
        <v>3860</v>
      </c>
      <c r="J70" s="706" t="s">
        <v>3256</v>
      </c>
      <c r="K70" s="706" t="s">
        <v>3861</v>
      </c>
      <c r="L70" s="688" t="s">
        <v>3932</v>
      </c>
      <c r="M70" s="683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>
      <c r="A71" s="703">
        <v>68</v>
      </c>
      <c r="B71" s="703" t="s">
        <v>3699</v>
      </c>
      <c r="C71" s="703" t="s">
        <v>1739</v>
      </c>
      <c r="D71" s="704" t="s">
        <v>3933</v>
      </c>
      <c r="E71" s="703">
        <v>18</v>
      </c>
      <c r="F71" s="703">
        <v>1</v>
      </c>
      <c r="G71" s="703">
        <v>2567</v>
      </c>
      <c r="H71" s="705">
        <v>1100</v>
      </c>
      <c r="I71" s="703" t="s">
        <v>3860</v>
      </c>
      <c r="J71" s="706" t="s">
        <v>3256</v>
      </c>
      <c r="K71" s="706" t="s">
        <v>3861</v>
      </c>
      <c r="L71" s="688" t="s">
        <v>3932</v>
      </c>
      <c r="M71" s="683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>
      <c r="A72" s="684">
        <v>69</v>
      </c>
      <c r="B72" s="703" t="s">
        <v>3700</v>
      </c>
      <c r="C72" s="703" t="s">
        <v>1739</v>
      </c>
      <c r="D72" s="704" t="s">
        <v>3933</v>
      </c>
      <c r="E72" s="703">
        <v>18</v>
      </c>
      <c r="F72" s="703">
        <v>1</v>
      </c>
      <c r="G72" s="703">
        <v>2567</v>
      </c>
      <c r="H72" s="705">
        <v>1100</v>
      </c>
      <c r="I72" s="703" t="s">
        <v>3860</v>
      </c>
      <c r="J72" s="706" t="s">
        <v>3256</v>
      </c>
      <c r="K72" s="706" t="s">
        <v>3861</v>
      </c>
      <c r="L72" s="688" t="s">
        <v>3932</v>
      </c>
      <c r="M72" s="683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>
      <c r="A73" s="703">
        <v>70</v>
      </c>
      <c r="B73" s="703" t="s">
        <v>3701</v>
      </c>
      <c r="C73" s="703" t="s">
        <v>1739</v>
      </c>
      <c r="D73" s="704" t="s">
        <v>3933</v>
      </c>
      <c r="E73" s="703">
        <v>18</v>
      </c>
      <c r="F73" s="703">
        <v>1</v>
      </c>
      <c r="G73" s="703">
        <v>2567</v>
      </c>
      <c r="H73" s="705">
        <v>1100</v>
      </c>
      <c r="I73" s="703" t="s">
        <v>3860</v>
      </c>
      <c r="J73" s="706" t="s">
        <v>3256</v>
      </c>
      <c r="K73" s="706" t="s">
        <v>3861</v>
      </c>
      <c r="L73" s="688" t="s">
        <v>3932</v>
      </c>
      <c r="M73" s="683"/>
    </row>
    <row r="74" spans="1:26">
      <c r="A74" s="684">
        <v>71</v>
      </c>
      <c r="B74" s="703" t="s">
        <v>3702</v>
      </c>
      <c r="C74" s="703" t="s">
        <v>1739</v>
      </c>
      <c r="D74" s="704" t="s">
        <v>3933</v>
      </c>
      <c r="E74" s="703">
        <v>18</v>
      </c>
      <c r="F74" s="703">
        <v>1</v>
      </c>
      <c r="G74" s="703">
        <v>2567</v>
      </c>
      <c r="H74" s="705">
        <v>1100</v>
      </c>
      <c r="I74" s="703" t="s">
        <v>3860</v>
      </c>
      <c r="J74" s="706" t="s">
        <v>3256</v>
      </c>
      <c r="K74" s="706" t="s">
        <v>3861</v>
      </c>
      <c r="L74" s="688" t="s">
        <v>3932</v>
      </c>
      <c r="M74" s="683"/>
    </row>
    <row r="75" spans="1:26">
      <c r="A75" s="703">
        <v>72</v>
      </c>
      <c r="B75" s="703" t="s">
        <v>3703</v>
      </c>
      <c r="C75" s="703" t="s">
        <v>1739</v>
      </c>
      <c r="D75" s="704" t="s">
        <v>3933</v>
      </c>
      <c r="E75" s="703">
        <v>18</v>
      </c>
      <c r="F75" s="703">
        <v>1</v>
      </c>
      <c r="G75" s="703">
        <v>2567</v>
      </c>
      <c r="H75" s="705">
        <v>1100</v>
      </c>
      <c r="I75" s="703" t="s">
        <v>3860</v>
      </c>
      <c r="J75" s="706" t="s">
        <v>3256</v>
      </c>
      <c r="K75" s="706" t="s">
        <v>3861</v>
      </c>
      <c r="L75" s="688" t="s">
        <v>3932</v>
      </c>
      <c r="M75" s="683"/>
    </row>
    <row r="76" spans="1:26">
      <c r="A76" s="684">
        <v>73</v>
      </c>
      <c r="B76" s="703" t="s">
        <v>3704</v>
      </c>
      <c r="C76" s="703" t="s">
        <v>1739</v>
      </c>
      <c r="D76" s="704" t="s">
        <v>3933</v>
      </c>
      <c r="E76" s="703">
        <v>18</v>
      </c>
      <c r="F76" s="703">
        <v>1</v>
      </c>
      <c r="G76" s="703">
        <v>2567</v>
      </c>
      <c r="H76" s="705">
        <v>1100</v>
      </c>
      <c r="I76" s="703" t="s">
        <v>3860</v>
      </c>
      <c r="J76" s="706" t="s">
        <v>3256</v>
      </c>
      <c r="K76" s="706" t="s">
        <v>3861</v>
      </c>
      <c r="L76" s="688" t="s">
        <v>3932</v>
      </c>
      <c r="M76" s="683"/>
    </row>
    <row r="77" spans="1:26">
      <c r="A77" s="703">
        <v>74</v>
      </c>
      <c r="B77" s="703" t="s">
        <v>3705</v>
      </c>
      <c r="C77" s="703" t="s">
        <v>1739</v>
      </c>
      <c r="D77" s="704" t="s">
        <v>3933</v>
      </c>
      <c r="E77" s="703">
        <v>18</v>
      </c>
      <c r="F77" s="703">
        <v>1</v>
      </c>
      <c r="G77" s="703">
        <v>2567</v>
      </c>
      <c r="H77" s="705">
        <v>1100</v>
      </c>
      <c r="I77" s="703" t="s">
        <v>3860</v>
      </c>
      <c r="J77" s="706" t="s">
        <v>3256</v>
      </c>
      <c r="K77" s="706" t="s">
        <v>3861</v>
      </c>
      <c r="L77" s="688" t="s">
        <v>3932</v>
      </c>
      <c r="M77" s="683"/>
    </row>
    <row r="78" spans="1:26">
      <c r="A78" s="684">
        <v>75</v>
      </c>
      <c r="B78" s="703" t="s">
        <v>3706</v>
      </c>
      <c r="C78" s="703" t="s">
        <v>1739</v>
      </c>
      <c r="D78" s="704" t="s">
        <v>3933</v>
      </c>
      <c r="E78" s="703">
        <v>18</v>
      </c>
      <c r="F78" s="703">
        <v>1</v>
      </c>
      <c r="G78" s="703">
        <v>2567</v>
      </c>
      <c r="H78" s="705">
        <v>1100</v>
      </c>
      <c r="I78" s="703" t="s">
        <v>3860</v>
      </c>
      <c r="J78" s="706" t="s">
        <v>3256</v>
      </c>
      <c r="K78" s="706" t="s">
        <v>3861</v>
      </c>
      <c r="L78" s="688" t="s">
        <v>3932</v>
      </c>
      <c r="M78" s="683"/>
    </row>
    <row r="79" spans="1:26">
      <c r="A79" s="703">
        <v>76</v>
      </c>
      <c r="B79" s="703" t="s">
        <v>3707</v>
      </c>
      <c r="C79" s="703" t="s">
        <v>1739</v>
      </c>
      <c r="D79" s="704" t="s">
        <v>3933</v>
      </c>
      <c r="E79" s="703">
        <v>18</v>
      </c>
      <c r="F79" s="703">
        <v>1</v>
      </c>
      <c r="G79" s="703">
        <v>2567</v>
      </c>
      <c r="H79" s="705">
        <v>1100</v>
      </c>
      <c r="I79" s="703" t="s">
        <v>3860</v>
      </c>
      <c r="J79" s="706" t="s">
        <v>3256</v>
      </c>
      <c r="K79" s="706" t="s">
        <v>3861</v>
      </c>
      <c r="L79" s="688" t="s">
        <v>3932</v>
      </c>
      <c r="M79" s="683"/>
    </row>
    <row r="80" spans="1:26">
      <c r="A80" s="684">
        <v>77</v>
      </c>
      <c r="B80" s="703" t="s">
        <v>3708</v>
      </c>
      <c r="C80" s="703" t="s">
        <v>1739</v>
      </c>
      <c r="D80" s="704" t="s">
        <v>3933</v>
      </c>
      <c r="E80" s="703">
        <v>18</v>
      </c>
      <c r="F80" s="703">
        <v>1</v>
      </c>
      <c r="G80" s="703">
        <v>2567</v>
      </c>
      <c r="H80" s="705">
        <v>1100</v>
      </c>
      <c r="I80" s="703" t="s">
        <v>3860</v>
      </c>
      <c r="J80" s="706" t="s">
        <v>3256</v>
      </c>
      <c r="K80" s="706" t="s">
        <v>3861</v>
      </c>
      <c r="L80" s="688" t="s">
        <v>3932</v>
      </c>
      <c r="M80" s="683"/>
    </row>
    <row r="81" spans="1:13">
      <c r="A81" s="703">
        <v>78</v>
      </c>
      <c r="B81" s="703" t="s">
        <v>3709</v>
      </c>
      <c r="C81" s="703" t="s">
        <v>1739</v>
      </c>
      <c r="D81" s="704" t="s">
        <v>3933</v>
      </c>
      <c r="E81" s="703">
        <v>18</v>
      </c>
      <c r="F81" s="703">
        <v>1</v>
      </c>
      <c r="G81" s="703">
        <v>2567</v>
      </c>
      <c r="H81" s="705">
        <v>1100</v>
      </c>
      <c r="I81" s="703" t="s">
        <v>3860</v>
      </c>
      <c r="J81" s="706" t="s">
        <v>3256</v>
      </c>
      <c r="K81" s="706" t="s">
        <v>3861</v>
      </c>
      <c r="L81" s="688" t="s">
        <v>3932</v>
      </c>
      <c r="M81" s="683"/>
    </row>
    <row r="82" spans="1:13">
      <c r="A82" s="684">
        <v>79</v>
      </c>
      <c r="B82" s="703" t="s">
        <v>3710</v>
      </c>
      <c r="C82" s="703" t="s">
        <v>1739</v>
      </c>
      <c r="D82" s="704" t="s">
        <v>3933</v>
      </c>
      <c r="E82" s="703">
        <v>18</v>
      </c>
      <c r="F82" s="703">
        <v>1</v>
      </c>
      <c r="G82" s="703">
        <v>2567</v>
      </c>
      <c r="H82" s="705">
        <v>1100</v>
      </c>
      <c r="I82" s="703" t="s">
        <v>3860</v>
      </c>
      <c r="J82" s="706" t="s">
        <v>3256</v>
      </c>
      <c r="K82" s="706" t="s">
        <v>3861</v>
      </c>
      <c r="L82" s="688" t="s">
        <v>3932</v>
      </c>
      <c r="M82" s="683"/>
    </row>
    <row r="83" spans="1:13">
      <c r="A83" s="703">
        <v>80</v>
      </c>
      <c r="B83" s="703" t="s">
        <v>3711</v>
      </c>
      <c r="C83" s="703" t="s">
        <v>1739</v>
      </c>
      <c r="D83" s="704" t="s">
        <v>3933</v>
      </c>
      <c r="E83" s="703">
        <v>18</v>
      </c>
      <c r="F83" s="703">
        <v>1</v>
      </c>
      <c r="G83" s="703">
        <v>2567</v>
      </c>
      <c r="H83" s="705">
        <v>1100</v>
      </c>
      <c r="I83" s="703" t="s">
        <v>3860</v>
      </c>
      <c r="J83" s="706" t="s">
        <v>3256</v>
      </c>
      <c r="K83" s="706" t="s">
        <v>3861</v>
      </c>
      <c r="L83" s="688" t="s">
        <v>3932</v>
      </c>
      <c r="M83" s="683"/>
    </row>
    <row r="84" spans="1:13">
      <c r="A84" s="684">
        <v>81</v>
      </c>
      <c r="B84" s="703" t="s">
        <v>3712</v>
      </c>
      <c r="C84" s="703" t="s">
        <v>1739</v>
      </c>
      <c r="D84" s="704" t="s">
        <v>3933</v>
      </c>
      <c r="E84" s="703">
        <v>18</v>
      </c>
      <c r="F84" s="703">
        <v>1</v>
      </c>
      <c r="G84" s="703">
        <v>2567</v>
      </c>
      <c r="H84" s="705">
        <v>1100</v>
      </c>
      <c r="I84" s="703" t="s">
        <v>3860</v>
      </c>
      <c r="J84" s="706" t="s">
        <v>3256</v>
      </c>
      <c r="K84" s="706" t="s">
        <v>3861</v>
      </c>
      <c r="L84" s="688" t="s">
        <v>3932</v>
      </c>
      <c r="M84" s="683"/>
    </row>
    <row r="85" spans="1:13">
      <c r="A85" s="703">
        <v>82</v>
      </c>
      <c r="B85" s="703" t="s">
        <v>3713</v>
      </c>
      <c r="C85" s="703" t="s">
        <v>1739</v>
      </c>
      <c r="D85" s="704" t="s">
        <v>3933</v>
      </c>
      <c r="E85" s="703">
        <v>18</v>
      </c>
      <c r="F85" s="703">
        <v>1</v>
      </c>
      <c r="G85" s="703">
        <v>2567</v>
      </c>
      <c r="H85" s="705">
        <v>1100</v>
      </c>
      <c r="I85" s="703" t="s">
        <v>3860</v>
      </c>
      <c r="J85" s="706" t="s">
        <v>3256</v>
      </c>
      <c r="K85" s="706" t="s">
        <v>3861</v>
      </c>
      <c r="L85" s="688" t="s">
        <v>3932</v>
      </c>
      <c r="M85" s="683"/>
    </row>
    <row r="86" spans="1:13">
      <c r="A86" s="684">
        <v>83</v>
      </c>
      <c r="B86" s="703" t="s">
        <v>3714</v>
      </c>
      <c r="C86" s="703" t="s">
        <v>1739</v>
      </c>
      <c r="D86" s="704" t="s">
        <v>3933</v>
      </c>
      <c r="E86" s="703">
        <v>18</v>
      </c>
      <c r="F86" s="703">
        <v>1</v>
      </c>
      <c r="G86" s="703">
        <v>2567</v>
      </c>
      <c r="H86" s="705">
        <v>1100</v>
      </c>
      <c r="I86" s="703" t="s">
        <v>3860</v>
      </c>
      <c r="J86" s="706" t="s">
        <v>3256</v>
      </c>
      <c r="K86" s="706" t="s">
        <v>3861</v>
      </c>
      <c r="L86" s="688" t="s">
        <v>3932</v>
      </c>
      <c r="M86" s="683"/>
    </row>
    <row r="87" spans="1:13">
      <c r="A87" s="703">
        <v>84</v>
      </c>
      <c r="B87" s="703" t="s">
        <v>3715</v>
      </c>
      <c r="C87" s="703" t="s">
        <v>1739</v>
      </c>
      <c r="D87" s="704" t="s">
        <v>3933</v>
      </c>
      <c r="E87" s="703">
        <v>18</v>
      </c>
      <c r="F87" s="703">
        <v>1</v>
      </c>
      <c r="G87" s="703">
        <v>2567</v>
      </c>
      <c r="H87" s="705">
        <v>1100</v>
      </c>
      <c r="I87" s="703" t="s">
        <v>3860</v>
      </c>
      <c r="J87" s="706" t="s">
        <v>3256</v>
      </c>
      <c r="K87" s="706" t="s">
        <v>3861</v>
      </c>
      <c r="L87" s="688" t="s">
        <v>3932</v>
      </c>
      <c r="M87" s="683"/>
    </row>
    <row r="88" spans="1:13">
      <c r="A88" s="684">
        <v>85</v>
      </c>
      <c r="B88" s="703" t="s">
        <v>3716</v>
      </c>
      <c r="C88" s="703" t="s">
        <v>1739</v>
      </c>
      <c r="D88" s="704" t="s">
        <v>3933</v>
      </c>
      <c r="E88" s="703">
        <v>18</v>
      </c>
      <c r="F88" s="703">
        <v>1</v>
      </c>
      <c r="G88" s="703">
        <v>2567</v>
      </c>
      <c r="H88" s="705">
        <v>1100</v>
      </c>
      <c r="I88" s="703" t="s">
        <v>3860</v>
      </c>
      <c r="J88" s="706" t="s">
        <v>3256</v>
      </c>
      <c r="K88" s="706" t="s">
        <v>3861</v>
      </c>
      <c r="L88" s="688" t="s">
        <v>3932</v>
      </c>
      <c r="M88" s="683"/>
    </row>
    <row r="89" spans="1:13">
      <c r="A89" s="703">
        <v>86</v>
      </c>
      <c r="B89" s="703" t="s">
        <v>3717</v>
      </c>
      <c r="C89" s="703" t="s">
        <v>1739</v>
      </c>
      <c r="D89" s="704" t="s">
        <v>3933</v>
      </c>
      <c r="E89" s="703">
        <v>18</v>
      </c>
      <c r="F89" s="703">
        <v>1</v>
      </c>
      <c r="G89" s="703">
        <v>2567</v>
      </c>
      <c r="H89" s="705">
        <v>1100</v>
      </c>
      <c r="I89" s="703" t="s">
        <v>3860</v>
      </c>
      <c r="J89" s="706" t="s">
        <v>3256</v>
      </c>
      <c r="K89" s="706" t="s">
        <v>3861</v>
      </c>
      <c r="L89" s="688" t="s">
        <v>3932</v>
      </c>
      <c r="M89" s="683"/>
    </row>
    <row r="90" spans="1:13">
      <c r="A90" s="684">
        <v>87</v>
      </c>
      <c r="B90" s="703" t="s">
        <v>3718</v>
      </c>
      <c r="C90" s="703" t="s">
        <v>1739</v>
      </c>
      <c r="D90" s="704" t="s">
        <v>3933</v>
      </c>
      <c r="E90" s="703">
        <v>18</v>
      </c>
      <c r="F90" s="703">
        <v>1</v>
      </c>
      <c r="G90" s="703">
        <v>2567</v>
      </c>
      <c r="H90" s="705">
        <v>1100</v>
      </c>
      <c r="I90" s="703" t="s">
        <v>3860</v>
      </c>
      <c r="J90" s="706" t="s">
        <v>3256</v>
      </c>
      <c r="K90" s="706" t="s">
        <v>3861</v>
      </c>
      <c r="L90" s="688" t="s">
        <v>3932</v>
      </c>
      <c r="M90" s="683"/>
    </row>
    <row r="91" spans="1:13">
      <c r="A91" s="703">
        <v>88</v>
      </c>
      <c r="B91" s="703" t="s">
        <v>3719</v>
      </c>
      <c r="C91" s="703" t="s">
        <v>1739</v>
      </c>
      <c r="D91" s="704" t="s">
        <v>3933</v>
      </c>
      <c r="E91" s="703">
        <v>18</v>
      </c>
      <c r="F91" s="703">
        <v>1</v>
      </c>
      <c r="G91" s="703">
        <v>2567</v>
      </c>
      <c r="H91" s="705">
        <v>1100</v>
      </c>
      <c r="I91" s="703" t="s">
        <v>3860</v>
      </c>
      <c r="J91" s="706" t="s">
        <v>3256</v>
      </c>
      <c r="K91" s="706" t="s">
        <v>3861</v>
      </c>
      <c r="L91" s="688" t="s">
        <v>3932</v>
      </c>
      <c r="M91" s="683"/>
    </row>
    <row r="92" spans="1:13">
      <c r="A92" s="684">
        <v>89</v>
      </c>
      <c r="B92" s="703" t="s">
        <v>3720</v>
      </c>
      <c r="C92" s="703" t="s">
        <v>1739</v>
      </c>
      <c r="D92" s="704" t="s">
        <v>3933</v>
      </c>
      <c r="E92" s="703">
        <v>18</v>
      </c>
      <c r="F92" s="703">
        <v>1</v>
      </c>
      <c r="G92" s="703">
        <v>2567</v>
      </c>
      <c r="H92" s="705">
        <v>1100</v>
      </c>
      <c r="I92" s="703" t="s">
        <v>3860</v>
      </c>
      <c r="J92" s="706" t="s">
        <v>3256</v>
      </c>
      <c r="K92" s="706" t="s">
        <v>3861</v>
      </c>
      <c r="L92" s="688" t="s">
        <v>3932</v>
      </c>
      <c r="M92" s="683"/>
    </row>
    <row r="93" spans="1:13">
      <c r="A93" s="703">
        <v>90</v>
      </c>
      <c r="B93" s="703" t="s">
        <v>3721</v>
      </c>
      <c r="C93" s="703" t="s">
        <v>1739</v>
      </c>
      <c r="D93" s="704" t="s">
        <v>3933</v>
      </c>
      <c r="E93" s="703">
        <v>18</v>
      </c>
      <c r="F93" s="703">
        <v>1</v>
      </c>
      <c r="G93" s="703">
        <v>2567</v>
      </c>
      <c r="H93" s="705">
        <v>1100</v>
      </c>
      <c r="I93" s="703" t="s">
        <v>3860</v>
      </c>
      <c r="J93" s="706" t="s">
        <v>3256</v>
      </c>
      <c r="K93" s="706" t="s">
        <v>3861</v>
      </c>
      <c r="L93" s="688" t="s">
        <v>3932</v>
      </c>
      <c r="M93" s="683"/>
    </row>
    <row r="94" spans="1:13">
      <c r="A94" s="684">
        <v>91</v>
      </c>
      <c r="B94" s="703" t="s">
        <v>3722</v>
      </c>
      <c r="C94" s="703" t="s">
        <v>1739</v>
      </c>
      <c r="D94" s="704" t="s">
        <v>3933</v>
      </c>
      <c r="E94" s="703">
        <v>18</v>
      </c>
      <c r="F94" s="703">
        <v>1</v>
      </c>
      <c r="G94" s="703">
        <v>2567</v>
      </c>
      <c r="H94" s="705">
        <v>1100</v>
      </c>
      <c r="I94" s="703" t="s">
        <v>3860</v>
      </c>
      <c r="J94" s="706" t="s">
        <v>3256</v>
      </c>
      <c r="K94" s="706" t="s">
        <v>3861</v>
      </c>
      <c r="L94" s="688" t="s">
        <v>3932</v>
      </c>
      <c r="M94" s="683"/>
    </row>
    <row r="95" spans="1:13">
      <c r="A95" s="703">
        <v>92</v>
      </c>
      <c r="B95" s="703" t="s">
        <v>3723</v>
      </c>
      <c r="C95" s="703" t="s">
        <v>1739</v>
      </c>
      <c r="D95" s="704" t="s">
        <v>3933</v>
      </c>
      <c r="E95" s="703">
        <v>18</v>
      </c>
      <c r="F95" s="703">
        <v>1</v>
      </c>
      <c r="G95" s="703">
        <v>2567</v>
      </c>
      <c r="H95" s="705">
        <v>1100</v>
      </c>
      <c r="I95" s="703" t="s">
        <v>3860</v>
      </c>
      <c r="J95" s="706" t="s">
        <v>3256</v>
      </c>
      <c r="K95" s="706" t="s">
        <v>3861</v>
      </c>
      <c r="L95" s="688" t="s">
        <v>3932</v>
      </c>
      <c r="M95" s="683"/>
    </row>
    <row r="96" spans="1:13">
      <c r="A96" s="684">
        <v>93</v>
      </c>
      <c r="B96" s="703" t="s">
        <v>3724</v>
      </c>
      <c r="C96" s="703" t="s">
        <v>1739</v>
      </c>
      <c r="D96" s="704" t="s">
        <v>3933</v>
      </c>
      <c r="E96" s="703">
        <v>18</v>
      </c>
      <c r="F96" s="703">
        <v>1</v>
      </c>
      <c r="G96" s="703">
        <v>2567</v>
      </c>
      <c r="H96" s="705">
        <v>1100</v>
      </c>
      <c r="I96" s="703" t="s">
        <v>3860</v>
      </c>
      <c r="J96" s="706" t="s">
        <v>3256</v>
      </c>
      <c r="K96" s="706" t="s">
        <v>3861</v>
      </c>
      <c r="L96" s="688" t="s">
        <v>3932</v>
      </c>
      <c r="M96" s="683"/>
    </row>
    <row r="97" spans="1:13">
      <c r="A97" s="703">
        <v>94</v>
      </c>
      <c r="B97" s="703" t="s">
        <v>3725</v>
      </c>
      <c r="C97" s="703" t="s">
        <v>1739</v>
      </c>
      <c r="D97" s="704" t="s">
        <v>3933</v>
      </c>
      <c r="E97" s="703">
        <v>18</v>
      </c>
      <c r="F97" s="703">
        <v>1</v>
      </c>
      <c r="G97" s="703">
        <v>2567</v>
      </c>
      <c r="H97" s="705">
        <v>1100</v>
      </c>
      <c r="I97" s="703" t="s">
        <v>3860</v>
      </c>
      <c r="J97" s="706" t="s">
        <v>3256</v>
      </c>
      <c r="K97" s="706" t="s">
        <v>3861</v>
      </c>
      <c r="L97" s="688" t="s">
        <v>3932</v>
      </c>
      <c r="M97" s="683"/>
    </row>
    <row r="98" spans="1:13">
      <c r="A98" s="684">
        <v>95</v>
      </c>
      <c r="B98" s="703" t="s">
        <v>3726</v>
      </c>
      <c r="C98" s="703" t="s">
        <v>1739</v>
      </c>
      <c r="D98" s="704" t="s">
        <v>3933</v>
      </c>
      <c r="E98" s="703">
        <v>18</v>
      </c>
      <c r="F98" s="703">
        <v>1</v>
      </c>
      <c r="G98" s="703">
        <v>2567</v>
      </c>
      <c r="H98" s="705">
        <v>1100</v>
      </c>
      <c r="I98" s="703" t="s">
        <v>3860</v>
      </c>
      <c r="J98" s="706" t="s">
        <v>3256</v>
      </c>
      <c r="K98" s="706" t="s">
        <v>3861</v>
      </c>
      <c r="L98" s="688" t="s">
        <v>3932</v>
      </c>
      <c r="M98" s="683"/>
    </row>
    <row r="99" spans="1:13">
      <c r="A99" s="703">
        <v>96</v>
      </c>
      <c r="B99" s="703" t="s">
        <v>3727</v>
      </c>
      <c r="C99" s="703" t="s">
        <v>1739</v>
      </c>
      <c r="D99" s="704" t="s">
        <v>3933</v>
      </c>
      <c r="E99" s="703">
        <v>18</v>
      </c>
      <c r="F99" s="703">
        <v>1</v>
      </c>
      <c r="G99" s="703">
        <v>2567</v>
      </c>
      <c r="H99" s="705">
        <v>1100</v>
      </c>
      <c r="I99" s="703" t="s">
        <v>3860</v>
      </c>
      <c r="J99" s="706" t="s">
        <v>3256</v>
      </c>
      <c r="K99" s="706" t="s">
        <v>3861</v>
      </c>
      <c r="L99" s="688" t="s">
        <v>3932</v>
      </c>
      <c r="M99" s="683"/>
    </row>
    <row r="100" spans="1:13">
      <c r="A100" s="684">
        <v>97</v>
      </c>
      <c r="B100" s="703" t="s">
        <v>3728</v>
      </c>
      <c r="C100" s="703" t="s">
        <v>1739</v>
      </c>
      <c r="D100" s="704" t="s">
        <v>3933</v>
      </c>
      <c r="E100" s="703">
        <v>18</v>
      </c>
      <c r="F100" s="703">
        <v>1</v>
      </c>
      <c r="G100" s="703">
        <v>2567</v>
      </c>
      <c r="H100" s="705">
        <v>1100</v>
      </c>
      <c r="I100" s="703" t="s">
        <v>3860</v>
      </c>
      <c r="J100" s="706" t="s">
        <v>3256</v>
      </c>
      <c r="K100" s="706" t="s">
        <v>3861</v>
      </c>
      <c r="L100" s="688" t="s">
        <v>3932</v>
      </c>
      <c r="M100" s="683"/>
    </row>
    <row r="101" spans="1:13">
      <c r="A101" s="703">
        <v>98</v>
      </c>
      <c r="B101" s="703" t="s">
        <v>3729</v>
      </c>
      <c r="C101" s="703" t="s">
        <v>1739</v>
      </c>
      <c r="D101" s="704" t="s">
        <v>3933</v>
      </c>
      <c r="E101" s="703">
        <v>18</v>
      </c>
      <c r="F101" s="703">
        <v>1</v>
      </c>
      <c r="G101" s="703">
        <v>2567</v>
      </c>
      <c r="H101" s="705">
        <v>1100</v>
      </c>
      <c r="I101" s="703" t="s">
        <v>3860</v>
      </c>
      <c r="J101" s="706" t="s">
        <v>3256</v>
      </c>
      <c r="K101" s="706" t="s">
        <v>3861</v>
      </c>
      <c r="L101" s="688" t="s">
        <v>3932</v>
      </c>
      <c r="M101" s="683"/>
    </row>
    <row r="102" spans="1:13">
      <c r="A102" s="684">
        <v>99</v>
      </c>
      <c r="B102" s="703" t="s">
        <v>3730</v>
      </c>
      <c r="C102" s="703" t="s">
        <v>1739</v>
      </c>
      <c r="D102" s="704" t="s">
        <v>3933</v>
      </c>
      <c r="E102" s="703">
        <v>18</v>
      </c>
      <c r="F102" s="703">
        <v>1</v>
      </c>
      <c r="G102" s="703">
        <v>2567</v>
      </c>
      <c r="H102" s="705">
        <v>1100</v>
      </c>
      <c r="I102" s="703" t="s">
        <v>3860</v>
      </c>
      <c r="J102" s="706" t="s">
        <v>3256</v>
      </c>
      <c r="K102" s="706" t="s">
        <v>3861</v>
      </c>
      <c r="L102" s="688" t="s">
        <v>3932</v>
      </c>
      <c r="M102" s="683"/>
    </row>
    <row r="103" spans="1:13">
      <c r="A103" s="703">
        <v>100</v>
      </c>
      <c r="B103" s="703" t="s">
        <v>3731</v>
      </c>
      <c r="C103" s="703" t="s">
        <v>1739</v>
      </c>
      <c r="D103" s="704" t="s">
        <v>3933</v>
      </c>
      <c r="E103" s="703">
        <v>18</v>
      </c>
      <c r="F103" s="703">
        <v>1</v>
      </c>
      <c r="G103" s="703">
        <v>2567</v>
      </c>
      <c r="H103" s="705">
        <v>1100</v>
      </c>
      <c r="I103" s="703" t="s">
        <v>3860</v>
      </c>
      <c r="J103" s="706" t="s">
        <v>3256</v>
      </c>
      <c r="K103" s="706" t="s">
        <v>3861</v>
      </c>
      <c r="L103" s="688" t="s">
        <v>3932</v>
      </c>
      <c r="M103" s="683"/>
    </row>
    <row r="104" spans="1:13">
      <c r="A104" s="684">
        <v>101</v>
      </c>
      <c r="B104" s="703" t="s">
        <v>3732</v>
      </c>
      <c r="C104" s="703" t="s">
        <v>1739</v>
      </c>
      <c r="D104" s="704" t="s">
        <v>3933</v>
      </c>
      <c r="E104" s="703">
        <v>18</v>
      </c>
      <c r="F104" s="703">
        <v>1</v>
      </c>
      <c r="G104" s="703">
        <v>2567</v>
      </c>
      <c r="H104" s="705">
        <v>1100</v>
      </c>
      <c r="I104" s="703" t="s">
        <v>3860</v>
      </c>
      <c r="J104" s="706" t="s">
        <v>3256</v>
      </c>
      <c r="K104" s="706" t="s">
        <v>3861</v>
      </c>
      <c r="L104" s="688" t="s">
        <v>3932</v>
      </c>
      <c r="M104" s="683"/>
    </row>
    <row r="105" spans="1:13">
      <c r="A105" s="703">
        <v>102</v>
      </c>
      <c r="B105" s="802" t="s">
        <v>3734</v>
      </c>
      <c r="C105" s="802" t="s">
        <v>1739</v>
      </c>
      <c r="D105" s="803" t="s">
        <v>3934</v>
      </c>
      <c r="E105" s="802">
        <v>26</v>
      </c>
      <c r="F105" s="802">
        <v>7</v>
      </c>
      <c r="G105" s="802">
        <v>2567</v>
      </c>
      <c r="H105" s="804">
        <v>3500</v>
      </c>
      <c r="I105" s="802" t="s">
        <v>3860</v>
      </c>
      <c r="J105" s="805" t="s">
        <v>3806</v>
      </c>
      <c r="K105" s="805" t="s">
        <v>3861</v>
      </c>
      <c r="L105" s="806" t="s">
        <v>3935</v>
      </c>
      <c r="M105" s="683"/>
    </row>
    <row r="106" spans="1:13" ht="15" thickBot="1">
      <c r="A106" s="689"/>
      <c r="B106" s="690"/>
      <c r="C106" s="690"/>
      <c r="D106" s="691"/>
      <c r="E106" s="690"/>
      <c r="F106" s="690"/>
      <c r="G106" s="690"/>
      <c r="H106" s="692"/>
      <c r="I106" s="690"/>
      <c r="J106" s="708">
        <v>119000</v>
      </c>
      <c r="K106" s="694"/>
      <c r="L106" s="695"/>
      <c r="M106" s="683"/>
    </row>
    <row r="107" spans="1:13" ht="15.75" thickTop="1">
      <c r="A107" s="678"/>
      <c r="B107" s="679"/>
      <c r="C107" s="1228" t="s">
        <v>1199</v>
      </c>
      <c r="D107" s="1228"/>
      <c r="E107" s="679"/>
      <c r="F107" s="679"/>
      <c r="G107" s="679"/>
      <c r="H107" s="680"/>
      <c r="I107" s="679"/>
      <c r="J107" s="696"/>
      <c r="K107" s="681"/>
      <c r="L107" s="682"/>
      <c r="M107" s="683"/>
    </row>
    <row r="108" spans="1:13" ht="38.25">
      <c r="A108" s="703">
        <v>1</v>
      </c>
      <c r="B108" s="703" t="s">
        <v>3936</v>
      </c>
      <c r="C108" s="703" t="s">
        <v>1739</v>
      </c>
      <c r="D108" s="704" t="s">
        <v>3937</v>
      </c>
      <c r="E108" s="703">
        <v>23</v>
      </c>
      <c r="F108" s="703">
        <v>4</v>
      </c>
      <c r="G108" s="703">
        <v>2567</v>
      </c>
      <c r="H108" s="705">
        <v>4200</v>
      </c>
      <c r="I108" s="703" t="s">
        <v>3860</v>
      </c>
      <c r="J108" s="706" t="s">
        <v>3806</v>
      </c>
      <c r="K108" s="807" t="s">
        <v>3836</v>
      </c>
      <c r="L108" s="707"/>
      <c r="M108" s="683"/>
    </row>
    <row r="109" spans="1:13" ht="38.25">
      <c r="A109" s="703">
        <v>2</v>
      </c>
      <c r="B109" s="703" t="s">
        <v>3938</v>
      </c>
      <c r="C109" s="703" t="s">
        <v>1739</v>
      </c>
      <c r="D109" s="704" t="s">
        <v>3939</v>
      </c>
      <c r="E109" s="703">
        <v>23</v>
      </c>
      <c r="F109" s="703">
        <v>4</v>
      </c>
      <c r="G109" s="703">
        <v>2567</v>
      </c>
      <c r="H109" s="705">
        <v>6000</v>
      </c>
      <c r="I109" s="703" t="s">
        <v>3860</v>
      </c>
      <c r="J109" s="706" t="s">
        <v>3806</v>
      </c>
      <c r="K109" s="807" t="s">
        <v>3836</v>
      </c>
      <c r="L109" s="707"/>
      <c r="M109" s="683"/>
    </row>
    <row r="110" spans="1:13" ht="71.25">
      <c r="A110" s="703">
        <v>3</v>
      </c>
      <c r="B110" s="714" t="s">
        <v>3940</v>
      </c>
      <c r="C110" s="714" t="s">
        <v>1739</v>
      </c>
      <c r="D110" s="715" t="s">
        <v>3941</v>
      </c>
      <c r="E110" s="714">
        <v>15</v>
      </c>
      <c r="F110" s="714">
        <v>11</v>
      </c>
      <c r="G110" s="714">
        <v>2566</v>
      </c>
      <c r="H110" s="716">
        <v>5882</v>
      </c>
      <c r="I110" s="714" t="s">
        <v>3860</v>
      </c>
      <c r="J110" s="808" t="s">
        <v>3942</v>
      </c>
      <c r="K110" s="717" t="s">
        <v>3861</v>
      </c>
      <c r="L110" s="718"/>
      <c r="M110" s="719"/>
    </row>
    <row r="111" spans="1:13" ht="71.25">
      <c r="A111" s="703">
        <v>4</v>
      </c>
      <c r="B111" s="714" t="s">
        <v>3943</v>
      </c>
      <c r="C111" s="714" t="s">
        <v>1739</v>
      </c>
      <c r="D111" s="715" t="s">
        <v>3941</v>
      </c>
      <c r="E111" s="714">
        <v>15</v>
      </c>
      <c r="F111" s="714">
        <v>11</v>
      </c>
      <c r="G111" s="714">
        <v>2566</v>
      </c>
      <c r="H111" s="716">
        <v>5885</v>
      </c>
      <c r="I111" s="714" t="s">
        <v>3860</v>
      </c>
      <c r="J111" s="809" t="s">
        <v>3942</v>
      </c>
      <c r="K111" s="717" t="s">
        <v>3861</v>
      </c>
      <c r="L111" s="718"/>
      <c r="M111" s="719"/>
    </row>
    <row r="112" spans="1:13" ht="71.25">
      <c r="A112" s="703">
        <v>5</v>
      </c>
      <c r="B112" s="714" t="s">
        <v>3944</v>
      </c>
      <c r="C112" s="714" t="s">
        <v>1739</v>
      </c>
      <c r="D112" s="715" t="s">
        <v>3941</v>
      </c>
      <c r="E112" s="714">
        <v>15</v>
      </c>
      <c r="F112" s="714">
        <v>11</v>
      </c>
      <c r="G112" s="714">
        <v>2566</v>
      </c>
      <c r="H112" s="716">
        <v>5885</v>
      </c>
      <c r="I112" s="714" t="s">
        <v>3860</v>
      </c>
      <c r="J112" s="809" t="s">
        <v>3942</v>
      </c>
      <c r="K112" s="717" t="s">
        <v>3861</v>
      </c>
      <c r="L112" s="718"/>
      <c r="M112" s="719"/>
    </row>
    <row r="113" spans="1:13" ht="71.25">
      <c r="A113" s="703">
        <v>6</v>
      </c>
      <c r="B113" s="714" t="s">
        <v>3945</v>
      </c>
      <c r="C113" s="714" t="s">
        <v>1739</v>
      </c>
      <c r="D113" s="715" t="s">
        <v>3941</v>
      </c>
      <c r="E113" s="714">
        <v>15</v>
      </c>
      <c r="F113" s="714">
        <v>11</v>
      </c>
      <c r="G113" s="714">
        <v>2566</v>
      </c>
      <c r="H113" s="716">
        <v>5885</v>
      </c>
      <c r="I113" s="714" t="s">
        <v>3860</v>
      </c>
      <c r="J113" s="809" t="s">
        <v>3942</v>
      </c>
      <c r="K113" s="717" t="s">
        <v>3861</v>
      </c>
      <c r="L113" s="718"/>
      <c r="M113" s="719"/>
    </row>
    <row r="114" spans="1:13" ht="71.25">
      <c r="A114" s="703">
        <v>7</v>
      </c>
      <c r="B114" s="714" t="s">
        <v>3946</v>
      </c>
      <c r="C114" s="714" t="s">
        <v>1739</v>
      </c>
      <c r="D114" s="715" t="s">
        <v>3947</v>
      </c>
      <c r="E114" s="714">
        <v>15</v>
      </c>
      <c r="F114" s="714">
        <v>11</v>
      </c>
      <c r="G114" s="714">
        <v>2566</v>
      </c>
      <c r="H114" s="716">
        <v>5885</v>
      </c>
      <c r="I114" s="714" t="s">
        <v>3860</v>
      </c>
      <c r="J114" s="809" t="s">
        <v>3942</v>
      </c>
      <c r="K114" s="717" t="s">
        <v>3861</v>
      </c>
      <c r="L114" s="718"/>
      <c r="M114" s="719"/>
    </row>
    <row r="115" spans="1:13" ht="71.25">
      <c r="A115" s="703">
        <v>8</v>
      </c>
      <c r="B115" s="714" t="s">
        <v>3948</v>
      </c>
      <c r="C115" s="714" t="s">
        <v>1739</v>
      </c>
      <c r="D115" s="715" t="s">
        <v>3941</v>
      </c>
      <c r="E115" s="714">
        <v>15</v>
      </c>
      <c r="F115" s="714">
        <v>11</v>
      </c>
      <c r="G115" s="714">
        <v>2566</v>
      </c>
      <c r="H115" s="716">
        <v>5885</v>
      </c>
      <c r="I115" s="714" t="s">
        <v>3860</v>
      </c>
      <c r="J115" s="809" t="s">
        <v>3942</v>
      </c>
      <c r="K115" s="717" t="s">
        <v>3861</v>
      </c>
      <c r="L115" s="718"/>
      <c r="M115" s="719"/>
    </row>
    <row r="116" spans="1:13" ht="71.25">
      <c r="A116" s="703">
        <v>9</v>
      </c>
      <c r="B116" s="714" t="s">
        <v>3949</v>
      </c>
      <c r="C116" s="714" t="s">
        <v>1739</v>
      </c>
      <c r="D116" s="715" t="s">
        <v>3941</v>
      </c>
      <c r="E116" s="714">
        <v>15</v>
      </c>
      <c r="F116" s="714">
        <v>11</v>
      </c>
      <c r="G116" s="714">
        <v>2566</v>
      </c>
      <c r="H116" s="716">
        <v>5885</v>
      </c>
      <c r="I116" s="714" t="s">
        <v>3860</v>
      </c>
      <c r="J116" s="809" t="s">
        <v>3942</v>
      </c>
      <c r="K116" s="717" t="s">
        <v>3861</v>
      </c>
      <c r="L116" s="718"/>
      <c r="M116" s="719"/>
    </row>
    <row r="117" spans="1:13" ht="71.25">
      <c r="A117" s="703">
        <v>10</v>
      </c>
      <c r="B117" s="714" t="s">
        <v>3950</v>
      </c>
      <c r="C117" s="714" t="s">
        <v>1739</v>
      </c>
      <c r="D117" s="715" t="s">
        <v>3941</v>
      </c>
      <c r="E117" s="714">
        <v>15</v>
      </c>
      <c r="F117" s="714">
        <v>11</v>
      </c>
      <c r="G117" s="714">
        <v>2566</v>
      </c>
      <c r="H117" s="716">
        <v>5885</v>
      </c>
      <c r="I117" s="714" t="s">
        <v>3860</v>
      </c>
      <c r="J117" s="809" t="s">
        <v>3942</v>
      </c>
      <c r="K117" s="717" t="s">
        <v>3861</v>
      </c>
      <c r="L117" s="718"/>
      <c r="M117" s="719"/>
    </row>
    <row r="118" spans="1:13" ht="71.25">
      <c r="A118" s="703">
        <v>11</v>
      </c>
      <c r="B118" s="714" t="s">
        <v>3951</v>
      </c>
      <c r="C118" s="714" t="s">
        <v>1739</v>
      </c>
      <c r="D118" s="715" t="s">
        <v>3941</v>
      </c>
      <c r="E118" s="714">
        <v>15</v>
      </c>
      <c r="F118" s="714">
        <v>11</v>
      </c>
      <c r="G118" s="714">
        <v>2566</v>
      </c>
      <c r="H118" s="716">
        <v>5885</v>
      </c>
      <c r="I118" s="714" t="s">
        <v>3860</v>
      </c>
      <c r="J118" s="809" t="s">
        <v>3942</v>
      </c>
      <c r="K118" s="717" t="s">
        <v>3861</v>
      </c>
      <c r="L118" s="718"/>
      <c r="M118" s="719"/>
    </row>
    <row r="119" spans="1:13" ht="71.25">
      <c r="A119" s="703">
        <v>12</v>
      </c>
      <c r="B119" s="714" t="s">
        <v>3952</v>
      </c>
      <c r="C119" s="714" t="s">
        <v>1739</v>
      </c>
      <c r="D119" s="715" t="s">
        <v>3941</v>
      </c>
      <c r="E119" s="714">
        <v>15</v>
      </c>
      <c r="F119" s="714">
        <v>11</v>
      </c>
      <c r="G119" s="714">
        <v>2566</v>
      </c>
      <c r="H119" s="716">
        <v>5885</v>
      </c>
      <c r="I119" s="714" t="s">
        <v>3860</v>
      </c>
      <c r="J119" s="809" t="s">
        <v>3942</v>
      </c>
      <c r="K119" s="717" t="s">
        <v>3861</v>
      </c>
      <c r="L119" s="718"/>
      <c r="M119" s="719"/>
    </row>
    <row r="120" spans="1:13" ht="71.25">
      <c r="A120" s="703">
        <v>13</v>
      </c>
      <c r="B120" s="714" t="s">
        <v>3953</v>
      </c>
      <c r="C120" s="714" t="s">
        <v>1739</v>
      </c>
      <c r="D120" s="715" t="s">
        <v>3941</v>
      </c>
      <c r="E120" s="714">
        <v>15</v>
      </c>
      <c r="F120" s="714">
        <v>11</v>
      </c>
      <c r="G120" s="714">
        <v>2566</v>
      </c>
      <c r="H120" s="716">
        <v>5885</v>
      </c>
      <c r="I120" s="714" t="s">
        <v>3860</v>
      </c>
      <c r="J120" s="809" t="s">
        <v>3942</v>
      </c>
      <c r="K120" s="717" t="s">
        <v>3861</v>
      </c>
      <c r="L120" s="718"/>
      <c r="M120" s="719"/>
    </row>
    <row r="121" spans="1:13" ht="71.25">
      <c r="A121" s="703">
        <v>14</v>
      </c>
      <c r="B121" s="714" t="s">
        <v>3954</v>
      </c>
      <c r="C121" s="714" t="s">
        <v>1739</v>
      </c>
      <c r="D121" s="715" t="s">
        <v>3941</v>
      </c>
      <c r="E121" s="714">
        <v>15</v>
      </c>
      <c r="F121" s="714">
        <v>11</v>
      </c>
      <c r="G121" s="714">
        <v>2566</v>
      </c>
      <c r="H121" s="716">
        <v>5885</v>
      </c>
      <c r="I121" s="714" t="s">
        <v>3860</v>
      </c>
      <c r="J121" s="809" t="s">
        <v>3942</v>
      </c>
      <c r="K121" s="717" t="s">
        <v>3861</v>
      </c>
      <c r="L121" s="718"/>
      <c r="M121" s="719"/>
    </row>
    <row r="122" spans="1:13" ht="71.25">
      <c r="A122" s="703">
        <v>15</v>
      </c>
      <c r="B122" s="714" t="s">
        <v>3955</v>
      </c>
      <c r="C122" s="714" t="s">
        <v>1739</v>
      </c>
      <c r="D122" s="715" t="s">
        <v>3941</v>
      </c>
      <c r="E122" s="714">
        <v>15</v>
      </c>
      <c r="F122" s="714">
        <v>11</v>
      </c>
      <c r="G122" s="714">
        <v>2566</v>
      </c>
      <c r="H122" s="716">
        <v>5885</v>
      </c>
      <c r="I122" s="714" t="s">
        <v>3860</v>
      </c>
      <c r="J122" s="809" t="s">
        <v>3942</v>
      </c>
      <c r="K122" s="717" t="s">
        <v>3861</v>
      </c>
      <c r="L122" s="718"/>
      <c r="M122" s="719"/>
    </row>
    <row r="123" spans="1:13" ht="71.25">
      <c r="A123" s="703">
        <v>16</v>
      </c>
      <c r="B123" s="714" t="s">
        <v>3956</v>
      </c>
      <c r="C123" s="714" t="s">
        <v>1739</v>
      </c>
      <c r="D123" s="715" t="s">
        <v>3941</v>
      </c>
      <c r="E123" s="714">
        <v>15</v>
      </c>
      <c r="F123" s="714">
        <v>11</v>
      </c>
      <c r="G123" s="714">
        <v>2566</v>
      </c>
      <c r="H123" s="716">
        <v>5885</v>
      </c>
      <c r="I123" s="714" t="s">
        <v>3860</v>
      </c>
      <c r="J123" s="809" t="s">
        <v>3942</v>
      </c>
      <c r="K123" s="717" t="s">
        <v>3861</v>
      </c>
      <c r="L123" s="718"/>
      <c r="M123" s="719"/>
    </row>
    <row r="124" spans="1:13" ht="71.25">
      <c r="A124" s="703">
        <v>17</v>
      </c>
      <c r="B124" s="714" t="s">
        <v>3957</v>
      </c>
      <c r="C124" s="714" t="s">
        <v>1739</v>
      </c>
      <c r="D124" s="715" t="s">
        <v>3941</v>
      </c>
      <c r="E124" s="714">
        <v>15</v>
      </c>
      <c r="F124" s="714">
        <v>11</v>
      </c>
      <c r="G124" s="714">
        <v>2566</v>
      </c>
      <c r="H124" s="716">
        <v>5885</v>
      </c>
      <c r="I124" s="714" t="s">
        <v>3860</v>
      </c>
      <c r="J124" s="809" t="s">
        <v>3942</v>
      </c>
      <c r="K124" s="717" t="s">
        <v>3861</v>
      </c>
      <c r="L124" s="718"/>
      <c r="M124" s="719"/>
    </row>
    <row r="125" spans="1:13" ht="71.25">
      <c r="A125" s="703">
        <v>18</v>
      </c>
      <c r="B125" s="714" t="s">
        <v>3958</v>
      </c>
      <c r="C125" s="714" t="s">
        <v>1739</v>
      </c>
      <c r="D125" s="715" t="s">
        <v>3941</v>
      </c>
      <c r="E125" s="714">
        <v>15</v>
      </c>
      <c r="F125" s="714">
        <v>11</v>
      </c>
      <c r="G125" s="714">
        <v>2566</v>
      </c>
      <c r="H125" s="716">
        <v>5885</v>
      </c>
      <c r="I125" s="714" t="s">
        <v>3860</v>
      </c>
      <c r="J125" s="809" t="s">
        <v>3942</v>
      </c>
      <c r="K125" s="717" t="s">
        <v>3861</v>
      </c>
      <c r="L125" s="718"/>
      <c r="M125" s="719"/>
    </row>
    <row r="126" spans="1:13">
      <c r="A126" s="703">
        <v>19</v>
      </c>
      <c r="B126" s="703" t="s">
        <v>3737</v>
      </c>
      <c r="C126" s="703" t="s">
        <v>1739</v>
      </c>
      <c r="D126" s="704" t="s">
        <v>3959</v>
      </c>
      <c r="E126" s="703">
        <v>18</v>
      </c>
      <c r="F126" s="703">
        <v>1</v>
      </c>
      <c r="G126" s="703">
        <v>2567</v>
      </c>
      <c r="H126" s="705">
        <v>8000</v>
      </c>
      <c r="I126" s="703" t="s">
        <v>3860</v>
      </c>
      <c r="J126" s="706" t="s">
        <v>3256</v>
      </c>
      <c r="K126" s="706" t="s">
        <v>3861</v>
      </c>
      <c r="L126" s="688" t="s">
        <v>3932</v>
      </c>
      <c r="M126" s="683"/>
    </row>
    <row r="127" spans="1:13">
      <c r="A127" s="703">
        <v>20</v>
      </c>
      <c r="B127" s="703" t="s">
        <v>3738</v>
      </c>
      <c r="C127" s="703" t="s">
        <v>1739</v>
      </c>
      <c r="D127" s="704" t="s">
        <v>3960</v>
      </c>
      <c r="E127" s="703">
        <v>18</v>
      </c>
      <c r="F127" s="703">
        <v>1</v>
      </c>
      <c r="G127" s="703">
        <v>2567</v>
      </c>
      <c r="H127" s="705">
        <v>5000</v>
      </c>
      <c r="I127" s="703" t="s">
        <v>3860</v>
      </c>
      <c r="J127" s="706" t="s">
        <v>3256</v>
      </c>
      <c r="K127" s="706" t="s">
        <v>3861</v>
      </c>
      <c r="L127" s="688" t="s">
        <v>3932</v>
      </c>
      <c r="M127" s="683"/>
    </row>
    <row r="128" spans="1:13" ht="15" thickBot="1">
      <c r="A128" s="689"/>
      <c r="B128" s="690"/>
      <c r="C128" s="690"/>
      <c r="D128" s="691"/>
      <c r="E128" s="690"/>
      <c r="F128" s="690"/>
      <c r="G128" s="690"/>
      <c r="H128" s="692"/>
      <c r="I128" s="690"/>
      <c r="J128" s="810">
        <v>117357</v>
      </c>
      <c r="K128" s="694"/>
      <c r="L128" s="695"/>
      <c r="M128" s="683"/>
    </row>
    <row r="129" spans="1:13" ht="15.75" thickTop="1">
      <c r="A129" s="678"/>
      <c r="B129" s="679"/>
      <c r="C129" s="1228" t="s">
        <v>65</v>
      </c>
      <c r="D129" s="1228"/>
      <c r="E129" s="679"/>
      <c r="F129" s="679"/>
      <c r="G129" s="679"/>
      <c r="H129" s="680"/>
      <c r="I129" s="679"/>
      <c r="J129" s="696"/>
      <c r="K129" s="681"/>
      <c r="L129" s="682"/>
      <c r="M129" s="683"/>
    </row>
    <row r="130" spans="1:13">
      <c r="A130" s="703">
        <v>1</v>
      </c>
      <c r="B130" s="703" t="s">
        <v>3961</v>
      </c>
      <c r="C130" s="703" t="s">
        <v>1739</v>
      </c>
      <c r="D130" s="704" t="s">
        <v>3962</v>
      </c>
      <c r="E130" s="703">
        <v>10</v>
      </c>
      <c r="F130" s="703">
        <v>11</v>
      </c>
      <c r="G130" s="703">
        <v>2566</v>
      </c>
      <c r="H130" s="705">
        <v>8500</v>
      </c>
      <c r="I130" s="703" t="s">
        <v>3860</v>
      </c>
      <c r="J130" s="706" t="s">
        <v>3806</v>
      </c>
      <c r="K130" s="706" t="s">
        <v>3861</v>
      </c>
      <c r="L130" s="707" t="s">
        <v>3963</v>
      </c>
      <c r="M130" s="683"/>
    </row>
    <row r="131" spans="1:13" ht="28.5">
      <c r="A131" s="703">
        <v>2</v>
      </c>
      <c r="B131" s="703" t="s">
        <v>3628</v>
      </c>
      <c r="C131" s="703" t="s">
        <v>1739</v>
      </c>
      <c r="D131" s="704" t="s">
        <v>3964</v>
      </c>
      <c r="E131" s="703">
        <v>18</v>
      </c>
      <c r="F131" s="703">
        <v>1</v>
      </c>
      <c r="G131" s="703">
        <v>2567</v>
      </c>
      <c r="H131" s="705">
        <v>8500</v>
      </c>
      <c r="I131" s="703" t="s">
        <v>3860</v>
      </c>
      <c r="J131" s="706" t="s">
        <v>3256</v>
      </c>
      <c r="K131" s="706" t="s">
        <v>3861</v>
      </c>
      <c r="L131" s="688" t="s">
        <v>3932</v>
      </c>
      <c r="M131" s="683"/>
    </row>
    <row r="132" spans="1:13">
      <c r="A132" s="703">
        <v>3</v>
      </c>
      <c r="B132" s="703" t="s">
        <v>3631</v>
      </c>
      <c r="C132" s="703" t="s">
        <v>1739</v>
      </c>
      <c r="D132" s="704" t="s">
        <v>3965</v>
      </c>
      <c r="E132" s="703">
        <v>26</v>
      </c>
      <c r="F132" s="703">
        <v>7</v>
      </c>
      <c r="G132" s="703">
        <v>2567</v>
      </c>
      <c r="H132" s="705">
        <v>7300</v>
      </c>
      <c r="I132" s="703" t="s">
        <v>3860</v>
      </c>
      <c r="J132" s="706" t="s">
        <v>3806</v>
      </c>
      <c r="K132" s="706" t="s">
        <v>3861</v>
      </c>
      <c r="L132" s="707" t="s">
        <v>3935</v>
      </c>
      <c r="M132" s="683"/>
    </row>
    <row r="133" spans="1:13" ht="15" thickBot="1">
      <c r="A133" s="689"/>
      <c r="B133" s="690"/>
      <c r="C133" s="690"/>
      <c r="D133" s="691"/>
      <c r="E133" s="690"/>
      <c r="F133" s="690"/>
      <c r="G133" s="690"/>
      <c r="H133" s="692"/>
      <c r="I133" s="690"/>
      <c r="J133" s="810">
        <v>24300</v>
      </c>
      <c r="K133" s="694"/>
      <c r="L133" s="695"/>
      <c r="M133" s="683"/>
    </row>
    <row r="134" spans="1:13" ht="15.75" thickTop="1" thickBot="1">
      <c r="A134" s="731"/>
      <c r="B134" s="732"/>
      <c r="C134" s="732"/>
      <c r="D134" s="733"/>
      <c r="E134" s="732"/>
      <c r="F134" s="732"/>
      <c r="G134" s="732"/>
      <c r="H134" s="734"/>
      <c r="I134" s="732"/>
      <c r="J134" s="811">
        <f>SUM(J4:J133)</f>
        <v>260657</v>
      </c>
      <c r="K134" s="736"/>
      <c r="L134" s="737"/>
      <c r="M134" s="719"/>
    </row>
    <row r="135" spans="1:13" ht="15" thickTop="1">
      <c r="A135" s="779"/>
      <c r="B135" s="780"/>
      <c r="C135" s="788" t="s">
        <v>1735</v>
      </c>
      <c r="D135" s="782"/>
      <c r="E135" s="780"/>
      <c r="F135" s="780"/>
      <c r="G135" s="780"/>
      <c r="H135" s="783"/>
      <c r="I135" s="780"/>
      <c r="J135" s="784"/>
      <c r="K135" s="785"/>
      <c r="L135" s="786"/>
      <c r="M135" s="719"/>
    </row>
    <row r="136" spans="1:13" ht="15">
      <c r="A136" s="678"/>
      <c r="B136" s="679"/>
      <c r="C136" s="812" t="s">
        <v>1658</v>
      </c>
      <c r="D136" s="765"/>
      <c r="E136" s="679"/>
      <c r="F136" s="679"/>
      <c r="G136" s="679"/>
      <c r="H136" s="680"/>
      <c r="I136" s="679"/>
      <c r="J136" s="681"/>
      <c r="K136" s="681"/>
      <c r="L136" s="682"/>
      <c r="M136" s="683"/>
    </row>
    <row r="137" spans="1:13" ht="28.5">
      <c r="A137" s="684">
        <v>1</v>
      </c>
      <c r="B137" s="684" t="s">
        <v>3966</v>
      </c>
      <c r="C137" s="684" t="s">
        <v>1735</v>
      </c>
      <c r="D137" s="685" t="s">
        <v>3967</v>
      </c>
      <c r="E137" s="684">
        <v>6</v>
      </c>
      <c r="F137" s="684">
        <v>2</v>
      </c>
      <c r="G137" s="684">
        <v>2567</v>
      </c>
      <c r="H137" s="686">
        <v>9000</v>
      </c>
      <c r="I137" s="684" t="s">
        <v>3860</v>
      </c>
      <c r="J137" s="687" t="s">
        <v>3806</v>
      </c>
      <c r="K137" s="687" t="s">
        <v>3861</v>
      </c>
      <c r="L137" s="688" t="s">
        <v>3968</v>
      </c>
      <c r="M137" s="683"/>
    </row>
    <row r="138" spans="1:13" ht="15" thickBot="1">
      <c r="A138" s="772"/>
      <c r="B138" s="773"/>
      <c r="C138" s="773"/>
      <c r="D138" s="774"/>
      <c r="E138" s="773"/>
      <c r="F138" s="773"/>
      <c r="G138" s="773"/>
      <c r="H138" s="775"/>
      <c r="I138" s="773"/>
      <c r="J138" s="787">
        <v>9000</v>
      </c>
      <c r="K138" s="777"/>
      <c r="L138" s="778"/>
      <c r="M138" s="719"/>
    </row>
    <row r="139" spans="1:13" ht="15" thickTop="1">
      <c r="A139" s="779"/>
      <c r="B139" s="780"/>
      <c r="C139" s="788" t="s">
        <v>1950</v>
      </c>
      <c r="D139" s="782"/>
      <c r="E139" s="780"/>
      <c r="F139" s="780"/>
      <c r="G139" s="780"/>
      <c r="H139" s="783"/>
      <c r="I139" s="780"/>
      <c r="J139" s="784"/>
      <c r="K139" s="785"/>
      <c r="L139" s="786"/>
      <c r="M139" s="719"/>
    </row>
    <row r="140" spans="1:13" ht="15">
      <c r="A140" s="678"/>
      <c r="B140" s="679"/>
      <c r="C140" s="764" t="s">
        <v>3901</v>
      </c>
      <c r="D140" s="765"/>
      <c r="E140" s="679"/>
      <c r="F140" s="679"/>
      <c r="G140" s="679"/>
      <c r="H140" s="680"/>
      <c r="I140" s="679"/>
      <c r="J140" s="681"/>
      <c r="K140" s="681"/>
      <c r="L140" s="682"/>
      <c r="M140" s="683"/>
    </row>
    <row r="141" spans="1:13">
      <c r="A141" s="697">
        <v>1</v>
      </c>
      <c r="B141" s="697" t="s">
        <v>3969</v>
      </c>
      <c r="C141" s="697" t="s">
        <v>1950</v>
      </c>
      <c r="D141" s="698" t="s">
        <v>2654</v>
      </c>
      <c r="E141" s="697">
        <v>15</v>
      </c>
      <c r="F141" s="697">
        <v>11</v>
      </c>
      <c r="G141" s="697">
        <v>2566</v>
      </c>
      <c r="H141" s="699">
        <v>6900</v>
      </c>
      <c r="I141" s="697" t="s">
        <v>3860</v>
      </c>
      <c r="J141" s="700" t="s">
        <v>3256</v>
      </c>
      <c r="K141" s="700" t="s">
        <v>3861</v>
      </c>
      <c r="L141" s="701"/>
      <c r="M141" s="702" t="s">
        <v>3970</v>
      </c>
    </row>
    <row r="142" spans="1:13">
      <c r="A142" s="697">
        <v>2</v>
      </c>
      <c r="B142" s="697" t="s">
        <v>3971</v>
      </c>
      <c r="C142" s="697" t="s">
        <v>1950</v>
      </c>
      <c r="D142" s="698" t="s">
        <v>2654</v>
      </c>
      <c r="E142" s="697">
        <v>15</v>
      </c>
      <c r="F142" s="697">
        <v>11</v>
      </c>
      <c r="G142" s="697">
        <v>2566</v>
      </c>
      <c r="H142" s="699">
        <v>6900</v>
      </c>
      <c r="I142" s="697" t="s">
        <v>3860</v>
      </c>
      <c r="J142" s="700" t="s">
        <v>3256</v>
      </c>
      <c r="K142" s="700" t="s">
        <v>3861</v>
      </c>
      <c r="L142" s="701"/>
      <c r="M142" s="702" t="s">
        <v>3972</v>
      </c>
    </row>
    <row r="143" spans="1:13">
      <c r="A143" s="697">
        <v>3</v>
      </c>
      <c r="B143" s="813" t="s">
        <v>3973</v>
      </c>
      <c r="C143" s="813" t="s">
        <v>1950</v>
      </c>
      <c r="D143" s="814" t="s">
        <v>2654</v>
      </c>
      <c r="E143" s="813">
        <v>15</v>
      </c>
      <c r="F143" s="813">
        <v>11</v>
      </c>
      <c r="G143" s="813">
        <v>2566</v>
      </c>
      <c r="H143" s="815">
        <v>6900</v>
      </c>
      <c r="I143" s="813" t="s">
        <v>3860</v>
      </c>
      <c r="J143" s="816" t="s">
        <v>3256</v>
      </c>
      <c r="K143" s="816" t="s">
        <v>3861</v>
      </c>
      <c r="L143" s="817"/>
      <c r="M143" s="702" t="s">
        <v>3974</v>
      </c>
    </row>
    <row r="144" spans="1:13" ht="28.5">
      <c r="A144" s="697">
        <v>4</v>
      </c>
      <c r="B144" s="697" t="s">
        <v>3975</v>
      </c>
      <c r="C144" s="697" t="s">
        <v>1950</v>
      </c>
      <c r="D144" s="698" t="s">
        <v>3976</v>
      </c>
      <c r="E144" s="697">
        <v>15</v>
      </c>
      <c r="F144" s="697">
        <v>11</v>
      </c>
      <c r="G144" s="697">
        <v>2566</v>
      </c>
      <c r="H144" s="699">
        <v>6900</v>
      </c>
      <c r="I144" s="697" t="s">
        <v>3860</v>
      </c>
      <c r="J144" s="700" t="s">
        <v>3256</v>
      </c>
      <c r="K144" s="700" t="s">
        <v>3977</v>
      </c>
      <c r="L144" s="701" t="s">
        <v>3913</v>
      </c>
      <c r="M144" s="702" t="s">
        <v>3978</v>
      </c>
    </row>
    <row r="145" spans="1:13" ht="15" thickBot="1">
      <c r="A145" s="689"/>
      <c r="B145" s="690"/>
      <c r="C145" s="690"/>
      <c r="D145" s="691"/>
      <c r="E145" s="690"/>
      <c r="F145" s="690"/>
      <c r="G145" s="690"/>
      <c r="H145" s="692"/>
      <c r="I145" s="690"/>
      <c r="J145" s="708">
        <v>27600</v>
      </c>
      <c r="K145" s="694"/>
      <c r="L145" s="695"/>
      <c r="M145" s="683"/>
    </row>
    <row r="146" spans="1:13" ht="15" thickTop="1">
      <c r="A146" s="678"/>
      <c r="B146" s="679"/>
      <c r="C146" s="747" t="s">
        <v>3979</v>
      </c>
      <c r="D146" s="765"/>
      <c r="E146" s="679"/>
      <c r="F146" s="679"/>
      <c r="G146" s="679"/>
      <c r="H146" s="680"/>
      <c r="I146" s="679"/>
      <c r="J146" s="696"/>
      <c r="K146" s="681"/>
      <c r="L146" s="682"/>
      <c r="M146" s="683"/>
    </row>
    <row r="147" spans="1:13">
      <c r="A147" s="818">
        <v>1</v>
      </c>
      <c r="B147" s="818" t="s">
        <v>3980</v>
      </c>
      <c r="C147" s="818" t="s">
        <v>1950</v>
      </c>
      <c r="D147" s="819" t="s">
        <v>3981</v>
      </c>
      <c r="E147" s="818">
        <v>15</v>
      </c>
      <c r="F147" s="818">
        <v>11</v>
      </c>
      <c r="G147" s="818">
        <v>2566</v>
      </c>
      <c r="H147" s="820">
        <v>1790</v>
      </c>
      <c r="I147" s="818" t="s">
        <v>3860</v>
      </c>
      <c r="J147" s="821" t="s">
        <v>3256</v>
      </c>
      <c r="K147" s="821" t="s">
        <v>3861</v>
      </c>
      <c r="L147" s="822"/>
      <c r="M147" s="702" t="s">
        <v>3982</v>
      </c>
    </row>
    <row r="148" spans="1:13">
      <c r="A148" s="697">
        <v>2</v>
      </c>
      <c r="B148" s="697" t="s">
        <v>3983</v>
      </c>
      <c r="C148" s="697" t="s">
        <v>1950</v>
      </c>
      <c r="D148" s="698" t="s">
        <v>3981</v>
      </c>
      <c r="E148" s="697">
        <v>15</v>
      </c>
      <c r="F148" s="697">
        <v>11</v>
      </c>
      <c r="G148" s="697">
        <v>2566</v>
      </c>
      <c r="H148" s="699">
        <v>1790</v>
      </c>
      <c r="I148" s="697" t="s">
        <v>3860</v>
      </c>
      <c r="J148" s="700" t="s">
        <v>3256</v>
      </c>
      <c r="K148" s="700" t="s">
        <v>3861</v>
      </c>
      <c r="L148" s="701"/>
      <c r="M148" s="702" t="s">
        <v>3984</v>
      </c>
    </row>
    <row r="149" spans="1:13">
      <c r="A149" s="697">
        <v>3</v>
      </c>
      <c r="B149" s="697" t="s">
        <v>3985</v>
      </c>
      <c r="C149" s="697" t="s">
        <v>1950</v>
      </c>
      <c r="D149" s="698" t="s">
        <v>3986</v>
      </c>
      <c r="E149" s="697">
        <v>15</v>
      </c>
      <c r="F149" s="697">
        <v>11</v>
      </c>
      <c r="G149" s="697">
        <v>2566</v>
      </c>
      <c r="H149" s="699">
        <v>1790</v>
      </c>
      <c r="I149" s="697" t="s">
        <v>3860</v>
      </c>
      <c r="J149" s="700" t="s">
        <v>3256</v>
      </c>
      <c r="K149" s="700" t="s">
        <v>3861</v>
      </c>
      <c r="L149" s="701" t="s">
        <v>3913</v>
      </c>
      <c r="M149" s="702" t="s">
        <v>3987</v>
      </c>
    </row>
    <row r="150" spans="1:13">
      <c r="A150" s="697">
        <v>4</v>
      </c>
      <c r="B150" s="697" t="s">
        <v>3988</v>
      </c>
      <c r="C150" s="697" t="s">
        <v>1950</v>
      </c>
      <c r="D150" s="698" t="s">
        <v>3986</v>
      </c>
      <c r="E150" s="697">
        <v>15</v>
      </c>
      <c r="F150" s="697">
        <v>11</v>
      </c>
      <c r="G150" s="697">
        <v>2566</v>
      </c>
      <c r="H150" s="699">
        <v>1790</v>
      </c>
      <c r="I150" s="697" t="s">
        <v>3860</v>
      </c>
      <c r="J150" s="700" t="s">
        <v>3256</v>
      </c>
      <c r="K150" s="700" t="s">
        <v>3861</v>
      </c>
      <c r="L150" s="701" t="s">
        <v>3913</v>
      </c>
      <c r="M150" s="702" t="s">
        <v>3989</v>
      </c>
    </row>
    <row r="151" spans="1:13">
      <c r="A151" s="697">
        <v>5</v>
      </c>
      <c r="B151" s="697" t="s">
        <v>3990</v>
      </c>
      <c r="C151" s="697" t="s">
        <v>1950</v>
      </c>
      <c r="D151" s="698" t="s">
        <v>3986</v>
      </c>
      <c r="E151" s="697">
        <v>15</v>
      </c>
      <c r="F151" s="697">
        <v>11</v>
      </c>
      <c r="G151" s="697">
        <v>2566</v>
      </c>
      <c r="H151" s="699">
        <v>1790</v>
      </c>
      <c r="I151" s="697" t="s">
        <v>3860</v>
      </c>
      <c r="J151" s="700" t="s">
        <v>3256</v>
      </c>
      <c r="K151" s="700" t="s">
        <v>3861</v>
      </c>
      <c r="L151" s="701" t="s">
        <v>3913</v>
      </c>
      <c r="M151" s="702" t="s">
        <v>3991</v>
      </c>
    </row>
    <row r="152" spans="1:13" ht="15" thickBot="1">
      <c r="A152" s="689"/>
      <c r="B152" s="690"/>
      <c r="C152" s="690"/>
      <c r="D152" s="691"/>
      <c r="E152" s="690"/>
      <c r="F152" s="690"/>
      <c r="G152" s="690"/>
      <c r="H152" s="692"/>
      <c r="I152" s="690"/>
      <c r="J152" s="708">
        <f>SUM(H147:H151)</f>
        <v>8950</v>
      </c>
      <c r="K152" s="694"/>
      <c r="L152" s="695"/>
      <c r="M152" s="683"/>
    </row>
    <row r="153" spans="1:13" ht="15" thickTop="1">
      <c r="A153" s="678"/>
      <c r="B153" s="679"/>
      <c r="C153" s="747" t="s">
        <v>3440</v>
      </c>
      <c r="D153" s="765"/>
      <c r="E153" s="679"/>
      <c r="F153" s="679"/>
      <c r="G153" s="679"/>
      <c r="H153" s="680"/>
      <c r="I153" s="679"/>
      <c r="J153" s="696"/>
      <c r="K153" s="681"/>
      <c r="L153" s="682"/>
      <c r="M153" s="683"/>
    </row>
    <row r="154" spans="1:13" ht="28.5">
      <c r="A154" s="697">
        <v>1</v>
      </c>
      <c r="B154" s="697" t="s">
        <v>3992</v>
      </c>
      <c r="C154" s="697" t="s">
        <v>1950</v>
      </c>
      <c r="D154" s="698" t="s">
        <v>3993</v>
      </c>
      <c r="E154" s="697">
        <v>15</v>
      </c>
      <c r="F154" s="697">
        <v>11</v>
      </c>
      <c r="G154" s="697">
        <v>2566</v>
      </c>
      <c r="H154" s="699">
        <v>8200</v>
      </c>
      <c r="I154" s="697" t="s">
        <v>3860</v>
      </c>
      <c r="J154" s="700" t="s">
        <v>3256</v>
      </c>
      <c r="K154" s="700" t="s">
        <v>3861</v>
      </c>
      <c r="L154" s="701"/>
      <c r="M154" s="702" t="s">
        <v>3994</v>
      </c>
    </row>
    <row r="155" spans="1:13" ht="15" thickBot="1">
      <c r="A155" s="689"/>
      <c r="B155" s="690"/>
      <c r="C155" s="690"/>
      <c r="D155" s="691"/>
      <c r="E155" s="690"/>
      <c r="F155" s="690"/>
      <c r="G155" s="690"/>
      <c r="H155" s="692"/>
      <c r="I155" s="690"/>
      <c r="J155" s="708">
        <v>8200</v>
      </c>
      <c r="K155" s="694"/>
      <c r="L155" s="695"/>
      <c r="M155" s="683"/>
    </row>
    <row r="156" spans="1:13" ht="15.75" thickTop="1" thickBot="1">
      <c r="A156" s="823"/>
      <c r="B156" s="824"/>
      <c r="C156" s="824"/>
      <c r="D156" s="825"/>
      <c r="E156" s="824"/>
      <c r="F156" s="824"/>
      <c r="G156" s="824"/>
      <c r="H156" s="826"/>
      <c r="I156" s="824"/>
      <c r="J156" s="811">
        <f>SUM(J141:J155)</f>
        <v>44750</v>
      </c>
      <c r="K156" s="827"/>
      <c r="L156" s="828"/>
      <c r="M156" s="683"/>
    </row>
    <row r="157" spans="1:13" ht="15.75" thickTop="1" thickBot="1">
      <c r="A157" s="792"/>
      <c r="B157" s="793"/>
      <c r="C157" s="793"/>
      <c r="D157" s="829" t="s">
        <v>3995</v>
      </c>
      <c r="E157" s="793"/>
      <c r="F157" s="793"/>
      <c r="G157" s="793"/>
      <c r="H157" s="795">
        <f>SUM(H4:H156)</f>
        <v>314407</v>
      </c>
      <c r="I157" s="793"/>
      <c r="J157" s="796"/>
      <c r="K157" s="797"/>
      <c r="L157" s="798"/>
      <c r="M157" s="719"/>
    </row>
    <row r="158" spans="1:13" ht="15" thickTop="1"/>
  </sheetData>
  <mergeCells count="3">
    <mergeCell ref="E1:G1"/>
    <mergeCell ref="C107:D107"/>
    <mergeCell ref="C129:D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35B0-72E4-4EDF-81FB-6EE865959C83}">
  <sheetPr>
    <tabColor rgb="FFFF0000"/>
  </sheetPr>
  <dimension ref="A1:Z1017"/>
  <sheetViews>
    <sheetView workbookViewId="0">
      <selection activeCell="B4" sqref="B4"/>
    </sheetView>
  </sheetViews>
  <sheetFormatPr defaultColWidth="12.625" defaultRowHeight="14.25"/>
  <sheetData>
    <row r="1" spans="1:26" ht="15.75" customHeight="1">
      <c r="A1" s="1247" t="s">
        <v>3441</v>
      </c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9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.75" customHeight="1">
      <c r="A2" s="1244"/>
      <c r="B2" s="1245"/>
      <c r="C2" s="1245"/>
      <c r="D2" s="1245"/>
      <c r="E2" s="1245"/>
      <c r="F2" s="1245"/>
      <c r="G2" s="1245"/>
      <c r="H2" s="1245"/>
      <c r="I2" s="1245"/>
      <c r="J2" s="1245"/>
      <c r="K2" s="1245"/>
      <c r="L2" s="124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>
      <c r="A3" s="97" t="s">
        <v>3420</v>
      </c>
      <c r="B3" s="98" t="s">
        <v>3421</v>
      </c>
      <c r="C3" s="98" t="s">
        <v>0</v>
      </c>
      <c r="D3" s="99" t="s">
        <v>3422</v>
      </c>
      <c r="E3" s="98" t="s">
        <v>1</v>
      </c>
      <c r="F3" s="98" t="s">
        <v>3423</v>
      </c>
      <c r="G3" s="98" t="s">
        <v>3424</v>
      </c>
      <c r="H3" s="98" t="s">
        <v>3425</v>
      </c>
      <c r="I3" s="100" t="s">
        <v>2</v>
      </c>
      <c r="J3" s="98" t="s">
        <v>3426</v>
      </c>
      <c r="K3" s="98" t="s">
        <v>3427</v>
      </c>
      <c r="L3" s="98" t="s">
        <v>3428</v>
      </c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.75" customHeight="1">
      <c r="A4" s="101"/>
      <c r="B4" s="102" t="s">
        <v>3846</v>
      </c>
      <c r="C4" s="102" t="s">
        <v>3843</v>
      </c>
      <c r="D4" s="102" t="s">
        <v>3847</v>
      </c>
      <c r="E4" s="103" t="s">
        <v>3844</v>
      </c>
      <c r="F4" s="103"/>
      <c r="G4" s="103"/>
      <c r="H4" s="103"/>
      <c r="I4" s="104">
        <v>3002864</v>
      </c>
      <c r="J4" s="105" t="s">
        <v>3848</v>
      </c>
      <c r="K4" s="105" t="s">
        <v>3744</v>
      </c>
      <c r="L4" s="102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.75" customHeight="1">
      <c r="A5" s="101"/>
      <c r="B5" s="102"/>
      <c r="C5" s="105"/>
      <c r="D5" s="102"/>
      <c r="E5" s="103"/>
      <c r="F5" s="103"/>
      <c r="G5" s="103"/>
      <c r="H5" s="103"/>
      <c r="I5" s="104"/>
      <c r="J5" s="105"/>
      <c r="K5" s="105"/>
      <c r="L5" s="102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>
      <c r="A6" s="101"/>
      <c r="B6" s="102"/>
      <c r="C6" s="105"/>
      <c r="D6" s="102"/>
      <c r="E6" s="103"/>
      <c r="F6" s="103"/>
      <c r="G6" s="103"/>
      <c r="H6" s="103"/>
      <c r="I6" s="104"/>
      <c r="J6" s="105"/>
      <c r="K6" s="105"/>
      <c r="L6" s="102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5.75" customHeight="1">
      <c r="A7" s="101"/>
      <c r="B7" s="102"/>
      <c r="C7" s="105"/>
      <c r="D7" s="102"/>
      <c r="E7" s="103"/>
      <c r="F7" s="103"/>
      <c r="G7" s="103"/>
      <c r="H7" s="103"/>
      <c r="I7" s="104"/>
      <c r="J7" s="105"/>
      <c r="K7" s="105"/>
      <c r="L7" s="102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.75" customHeight="1">
      <c r="A8" s="101"/>
      <c r="B8" s="102"/>
      <c r="C8" s="102"/>
      <c r="D8" s="102"/>
      <c r="E8" s="103"/>
      <c r="F8" s="103"/>
      <c r="G8" s="103"/>
      <c r="H8" s="103"/>
      <c r="I8" s="104"/>
      <c r="J8" s="107"/>
      <c r="K8" s="107"/>
      <c r="L8" s="102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15.75" customHeight="1">
      <c r="A9" s="101"/>
      <c r="B9" s="107"/>
      <c r="C9" s="102"/>
      <c r="D9" s="107"/>
      <c r="E9" s="103"/>
      <c r="F9" s="103"/>
      <c r="G9" s="103"/>
      <c r="H9" s="103"/>
      <c r="I9" s="104"/>
      <c r="J9" s="107"/>
      <c r="K9" s="107"/>
      <c r="L9" s="107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customHeight="1">
      <c r="A10" s="101"/>
      <c r="B10" s="102"/>
      <c r="C10" s="102"/>
      <c r="D10" s="102"/>
      <c r="E10" s="103"/>
      <c r="F10" s="103"/>
      <c r="G10" s="103"/>
      <c r="H10" s="103"/>
      <c r="I10" s="104"/>
      <c r="J10" s="102"/>
      <c r="K10" s="107"/>
      <c r="L10" s="107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106"/>
      <c r="B11" s="107"/>
      <c r="C11" s="107"/>
      <c r="D11" s="107"/>
      <c r="E11" s="107"/>
      <c r="F11" s="107"/>
      <c r="G11" s="107"/>
      <c r="H11" s="107"/>
      <c r="I11" s="108"/>
      <c r="J11" s="107"/>
      <c r="K11" s="107"/>
      <c r="L11" s="107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106"/>
      <c r="B12" s="107"/>
      <c r="C12" s="107"/>
      <c r="D12" s="107"/>
      <c r="E12" s="107"/>
      <c r="F12" s="107"/>
      <c r="G12" s="107"/>
      <c r="H12" s="107"/>
      <c r="I12" s="108"/>
      <c r="J12" s="107"/>
      <c r="K12" s="107"/>
      <c r="L12" s="107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>
      <c r="A13" s="106"/>
      <c r="B13" s="107"/>
      <c r="C13" s="107"/>
      <c r="D13" s="107"/>
      <c r="E13" s="107"/>
      <c r="F13" s="107"/>
      <c r="G13" s="107"/>
      <c r="H13" s="107"/>
      <c r="I13" s="108"/>
      <c r="J13" s="107"/>
      <c r="K13" s="107"/>
      <c r="L13" s="107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106"/>
      <c r="B14" s="107"/>
      <c r="C14" s="107"/>
      <c r="D14" s="107"/>
      <c r="E14" s="107"/>
      <c r="F14" s="107"/>
      <c r="G14" s="107"/>
      <c r="H14" s="107"/>
      <c r="I14" s="108"/>
      <c r="J14" s="107"/>
      <c r="K14" s="107"/>
      <c r="L14" s="107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106"/>
      <c r="B15" s="107"/>
      <c r="C15" s="107"/>
      <c r="D15" s="107"/>
      <c r="E15" s="107"/>
      <c r="F15" s="107"/>
      <c r="G15" s="107"/>
      <c r="H15" s="107"/>
      <c r="I15" s="108"/>
      <c r="J15" s="107"/>
      <c r="K15" s="107"/>
      <c r="L15" s="107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106"/>
      <c r="B16" s="107"/>
      <c r="C16" s="107"/>
      <c r="D16" s="107"/>
      <c r="E16" s="107"/>
      <c r="F16" s="107"/>
      <c r="G16" s="107"/>
      <c r="H16" s="107"/>
      <c r="I16" s="108"/>
      <c r="J16" s="107"/>
      <c r="K16" s="107"/>
      <c r="L16" s="107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106"/>
      <c r="B17" s="107"/>
      <c r="C17" s="107"/>
      <c r="D17" s="107"/>
      <c r="E17" s="107"/>
      <c r="F17" s="107"/>
      <c r="G17" s="107"/>
      <c r="H17" s="107"/>
      <c r="I17" s="108"/>
      <c r="J17" s="107"/>
      <c r="K17" s="107"/>
      <c r="L17" s="107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106"/>
      <c r="B18" s="107"/>
      <c r="C18" s="107"/>
      <c r="D18" s="107"/>
      <c r="E18" s="107"/>
      <c r="F18" s="107"/>
      <c r="G18" s="107"/>
      <c r="H18" s="107"/>
      <c r="I18" s="108"/>
      <c r="J18" s="107"/>
      <c r="K18" s="107"/>
      <c r="L18" s="107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106"/>
      <c r="B19" s="107"/>
      <c r="C19" s="107"/>
      <c r="D19" s="107"/>
      <c r="E19" s="107"/>
      <c r="F19" s="107"/>
      <c r="G19" s="107"/>
      <c r="H19" s="107"/>
      <c r="I19" s="108"/>
      <c r="J19" s="107"/>
      <c r="K19" s="107"/>
      <c r="L19" s="107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106"/>
      <c r="B20" s="107"/>
      <c r="C20" s="107"/>
      <c r="D20" s="107"/>
      <c r="E20" s="107"/>
      <c r="F20" s="107"/>
      <c r="G20" s="107"/>
      <c r="H20" s="107"/>
      <c r="I20" s="108"/>
      <c r="J20" s="107"/>
      <c r="K20" s="107"/>
      <c r="L20" s="107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106"/>
      <c r="B21" s="107"/>
      <c r="C21" s="107"/>
      <c r="D21" s="107"/>
      <c r="E21" s="107"/>
      <c r="F21" s="107"/>
      <c r="G21" s="107"/>
      <c r="H21" s="107"/>
      <c r="I21" s="108"/>
      <c r="J21" s="107"/>
      <c r="K21" s="107"/>
      <c r="L21" s="107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106"/>
      <c r="B22" s="107"/>
      <c r="C22" s="107"/>
      <c r="D22" s="107"/>
      <c r="E22" s="107"/>
      <c r="F22" s="107"/>
      <c r="G22" s="107"/>
      <c r="H22" s="107"/>
      <c r="I22" s="108"/>
      <c r="J22" s="107"/>
      <c r="K22" s="107"/>
      <c r="L22" s="107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106"/>
      <c r="B23" s="107"/>
      <c r="C23" s="107"/>
      <c r="D23" s="107"/>
      <c r="E23" s="107"/>
      <c r="F23" s="107"/>
      <c r="G23" s="107"/>
      <c r="H23" s="107"/>
      <c r="I23" s="108"/>
      <c r="J23" s="107"/>
      <c r="K23" s="107"/>
      <c r="L23" s="107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106"/>
      <c r="B24" s="107"/>
      <c r="C24" s="107"/>
      <c r="D24" s="107"/>
      <c r="E24" s="107"/>
      <c r="F24" s="107"/>
      <c r="G24" s="107"/>
      <c r="H24" s="107"/>
      <c r="I24" s="108"/>
      <c r="J24" s="107"/>
      <c r="K24" s="107"/>
      <c r="L24" s="107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106"/>
      <c r="B25" s="107"/>
      <c r="C25" s="107"/>
      <c r="D25" s="107"/>
      <c r="E25" s="107"/>
      <c r="F25" s="107"/>
      <c r="G25" s="107"/>
      <c r="H25" s="107"/>
      <c r="I25" s="108"/>
      <c r="J25" s="107"/>
      <c r="K25" s="107"/>
      <c r="L25" s="107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>
      <c r="A26" s="106"/>
      <c r="B26" s="107"/>
      <c r="C26" s="107"/>
      <c r="D26" s="107"/>
      <c r="E26" s="107"/>
      <c r="F26" s="107"/>
      <c r="G26" s="107"/>
      <c r="H26" s="107"/>
      <c r="I26" s="108"/>
      <c r="J26" s="107"/>
      <c r="K26" s="107"/>
      <c r="L26" s="107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>
      <c r="A27" s="106"/>
      <c r="B27" s="107"/>
      <c r="C27" s="107"/>
      <c r="D27" s="107"/>
      <c r="E27" s="107"/>
      <c r="F27" s="107"/>
      <c r="G27" s="107"/>
      <c r="H27" s="107"/>
      <c r="I27" s="108"/>
      <c r="J27" s="107"/>
      <c r="K27" s="107"/>
      <c r="L27" s="107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>
      <c r="A28" s="106"/>
      <c r="B28" s="107"/>
      <c r="C28" s="107"/>
      <c r="D28" s="107"/>
      <c r="E28" s="107"/>
      <c r="F28" s="107"/>
      <c r="G28" s="107"/>
      <c r="H28" s="107"/>
      <c r="I28" s="108"/>
      <c r="J28" s="107"/>
      <c r="K28" s="107"/>
      <c r="L28" s="107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>
      <c r="A29" s="106"/>
      <c r="B29" s="107"/>
      <c r="C29" s="107"/>
      <c r="D29" s="107"/>
      <c r="E29" s="107"/>
      <c r="F29" s="107"/>
      <c r="G29" s="107"/>
      <c r="H29" s="107"/>
      <c r="I29" s="108"/>
      <c r="J29" s="107"/>
      <c r="K29" s="107"/>
      <c r="L29" s="107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>
      <c r="A30" s="106"/>
      <c r="B30" s="107"/>
      <c r="C30" s="107"/>
      <c r="D30" s="107"/>
      <c r="E30" s="107"/>
      <c r="F30" s="107"/>
      <c r="G30" s="107"/>
      <c r="H30" s="107"/>
      <c r="I30" s="108"/>
      <c r="J30" s="107"/>
      <c r="K30" s="107"/>
      <c r="L30" s="107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>
      <c r="A31" s="106"/>
      <c r="B31" s="107"/>
      <c r="C31" s="107"/>
      <c r="D31" s="107"/>
      <c r="E31" s="107"/>
      <c r="F31" s="107"/>
      <c r="G31" s="107"/>
      <c r="H31" s="107"/>
      <c r="I31" s="108"/>
      <c r="J31" s="107"/>
      <c r="K31" s="107"/>
      <c r="L31" s="107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>
      <c r="A32" s="106"/>
      <c r="B32" s="107"/>
      <c r="C32" s="107"/>
      <c r="D32" s="107"/>
      <c r="E32" s="107"/>
      <c r="F32" s="107"/>
      <c r="G32" s="107"/>
      <c r="H32" s="107"/>
      <c r="I32" s="108"/>
      <c r="J32" s="107"/>
      <c r="K32" s="107"/>
      <c r="L32" s="107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>
      <c r="A33" s="106"/>
      <c r="B33" s="107"/>
      <c r="C33" s="107"/>
      <c r="D33" s="107"/>
      <c r="E33" s="107"/>
      <c r="F33" s="107"/>
      <c r="G33" s="107"/>
      <c r="H33" s="107"/>
      <c r="I33" s="108"/>
      <c r="J33" s="107"/>
      <c r="K33" s="107"/>
      <c r="L33" s="107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>
      <c r="A34" s="106"/>
      <c r="B34" s="107"/>
      <c r="C34" s="107"/>
      <c r="D34" s="107"/>
      <c r="E34" s="107"/>
      <c r="F34" s="107"/>
      <c r="G34" s="107"/>
      <c r="H34" s="107"/>
      <c r="I34" s="108"/>
      <c r="J34" s="107"/>
      <c r="K34" s="107"/>
      <c r="L34" s="107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" thickBot="1">
      <c r="A35" s="96"/>
      <c r="B35" s="96"/>
      <c r="C35" s="96"/>
      <c r="D35" s="96"/>
      <c r="E35" s="96"/>
      <c r="F35" s="96"/>
      <c r="G35" s="96"/>
      <c r="H35" s="109"/>
      <c r="I35" s="129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" thickTop="1">
      <c r="A36" s="96"/>
      <c r="B36" s="96"/>
      <c r="C36" s="96"/>
      <c r="D36" s="96"/>
      <c r="E36" s="96"/>
      <c r="F36" s="96"/>
      <c r="G36" s="96"/>
      <c r="H36" s="96"/>
      <c r="I36" s="111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>
      <c r="A37" s="112"/>
      <c r="B37" s="112"/>
      <c r="C37" s="112"/>
      <c r="D37" s="112"/>
      <c r="E37" s="112"/>
      <c r="F37" s="112"/>
      <c r="G37" s="112"/>
      <c r="H37" s="112"/>
      <c r="I37" s="113"/>
      <c r="J37" s="112"/>
      <c r="K37" s="112"/>
      <c r="L37" s="112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>
      <c r="A38" s="1242" t="s">
        <v>3442</v>
      </c>
      <c r="B38" s="1241"/>
      <c r="C38" s="1241"/>
      <c r="D38" s="1241"/>
      <c r="E38" s="1241"/>
      <c r="F38" s="1241"/>
      <c r="G38" s="1241"/>
      <c r="H38" s="1241"/>
      <c r="I38" s="1241"/>
      <c r="J38" s="1241"/>
      <c r="K38" s="1241"/>
      <c r="L38" s="1243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>
      <c r="A39" s="1244"/>
      <c r="B39" s="1245"/>
      <c r="C39" s="1245"/>
      <c r="D39" s="1245"/>
      <c r="E39" s="1245"/>
      <c r="F39" s="1245"/>
      <c r="G39" s="1245"/>
      <c r="H39" s="1245"/>
      <c r="I39" s="1245"/>
      <c r="J39" s="1245"/>
      <c r="K39" s="1245"/>
      <c r="L39" s="124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>
      <c r="A40" s="97" t="s">
        <v>3420</v>
      </c>
      <c r="B40" s="98" t="s">
        <v>3421</v>
      </c>
      <c r="C40" s="98" t="s">
        <v>0</v>
      </c>
      <c r="D40" s="98" t="s">
        <v>3422</v>
      </c>
      <c r="E40" s="98" t="s">
        <v>1</v>
      </c>
      <c r="F40" s="98" t="s">
        <v>3423</v>
      </c>
      <c r="G40" s="98" t="s">
        <v>3424</v>
      </c>
      <c r="H40" s="98" t="s">
        <v>3425</v>
      </c>
      <c r="I40" s="114" t="s">
        <v>2</v>
      </c>
      <c r="J40" s="98" t="s">
        <v>3426</v>
      </c>
      <c r="K40" s="98" t="s">
        <v>3436</v>
      </c>
      <c r="L40" s="98" t="s">
        <v>3428</v>
      </c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>
      <c r="A41" s="101"/>
      <c r="B41" s="102"/>
      <c r="C41" s="105"/>
      <c r="D41" s="107"/>
      <c r="E41" s="103"/>
      <c r="F41" s="103"/>
      <c r="G41" s="103"/>
      <c r="H41" s="103"/>
      <c r="I41" s="104"/>
      <c r="J41" s="102"/>
      <c r="K41" s="102"/>
      <c r="L41" s="102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>
      <c r="A42" s="101"/>
      <c r="B42" s="102"/>
      <c r="C42" s="102"/>
      <c r="D42" s="102"/>
      <c r="E42" s="103"/>
      <c r="F42" s="103"/>
      <c r="G42" s="103"/>
      <c r="H42" s="103"/>
      <c r="I42" s="104"/>
      <c r="J42" s="107"/>
      <c r="K42" s="102"/>
      <c r="L42" s="102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>
      <c r="A43" s="101"/>
      <c r="B43" s="102"/>
      <c r="C43" s="102"/>
      <c r="D43" s="102"/>
      <c r="E43" s="103"/>
      <c r="F43" s="103"/>
      <c r="G43" s="103"/>
      <c r="H43" s="103"/>
      <c r="I43" s="104"/>
      <c r="J43" s="107"/>
      <c r="K43" s="102"/>
      <c r="L43" s="102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>
      <c r="A44" s="101"/>
      <c r="B44" s="102"/>
      <c r="C44" s="102"/>
      <c r="D44" s="102"/>
      <c r="E44" s="103"/>
      <c r="F44" s="103"/>
      <c r="G44" s="103"/>
      <c r="H44" s="103"/>
      <c r="I44" s="104"/>
      <c r="J44" s="107"/>
      <c r="K44" s="102"/>
      <c r="L44" s="102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>
      <c r="A45" s="101"/>
      <c r="B45" s="102"/>
      <c r="C45" s="102"/>
      <c r="D45" s="102"/>
      <c r="E45" s="103"/>
      <c r="F45" s="103"/>
      <c r="G45" s="103"/>
      <c r="H45" s="103"/>
      <c r="I45" s="104"/>
      <c r="J45" s="107"/>
      <c r="K45" s="107"/>
      <c r="L45" s="102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>
      <c r="A46" s="101"/>
      <c r="B46" s="102"/>
      <c r="C46" s="102"/>
      <c r="D46" s="102"/>
      <c r="E46" s="103"/>
      <c r="F46" s="103"/>
      <c r="G46" s="103"/>
      <c r="H46" s="103"/>
      <c r="I46" s="104"/>
      <c r="J46" s="107"/>
      <c r="K46" s="107"/>
      <c r="L46" s="102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>
      <c r="A47" s="101"/>
      <c r="B47" s="102"/>
      <c r="C47" s="102"/>
      <c r="D47" s="102"/>
      <c r="E47" s="103"/>
      <c r="F47" s="103"/>
      <c r="G47" s="103"/>
      <c r="H47" s="103"/>
      <c r="I47" s="104"/>
      <c r="J47" s="107"/>
      <c r="K47" s="102"/>
      <c r="L47" s="102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>
      <c r="A48" s="101"/>
      <c r="B48" s="107"/>
      <c r="C48" s="102"/>
      <c r="D48" s="107"/>
      <c r="E48" s="103"/>
      <c r="F48" s="103"/>
      <c r="G48" s="103"/>
      <c r="H48" s="103"/>
      <c r="I48" s="104"/>
      <c r="J48" s="107"/>
      <c r="K48" s="107"/>
      <c r="L48" s="107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>
      <c r="A49" s="101"/>
      <c r="B49" s="102"/>
      <c r="C49" s="102"/>
      <c r="D49" s="107"/>
      <c r="E49" s="103"/>
      <c r="F49" s="103"/>
      <c r="G49" s="103"/>
      <c r="H49" s="103"/>
      <c r="I49" s="104"/>
      <c r="J49" s="107"/>
      <c r="K49" s="107"/>
      <c r="L49" s="107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>
      <c r="A50" s="101"/>
      <c r="B50" s="102"/>
      <c r="C50" s="102"/>
      <c r="D50" s="107"/>
      <c r="E50" s="103"/>
      <c r="F50" s="103"/>
      <c r="G50" s="103"/>
      <c r="H50" s="103"/>
      <c r="I50" s="104"/>
      <c r="J50" s="107"/>
      <c r="K50" s="107"/>
      <c r="L50" s="107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>
      <c r="A51" s="101"/>
      <c r="B51" s="102"/>
      <c r="C51" s="102"/>
      <c r="D51" s="107"/>
      <c r="E51" s="103"/>
      <c r="F51" s="103"/>
      <c r="G51" s="103"/>
      <c r="H51" s="103"/>
      <c r="I51" s="104"/>
      <c r="J51" s="107"/>
      <c r="K51" s="107"/>
      <c r="L51" s="107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>
      <c r="A52" s="101"/>
      <c r="B52" s="102"/>
      <c r="C52" s="102"/>
      <c r="D52" s="107"/>
      <c r="E52" s="103"/>
      <c r="F52" s="103"/>
      <c r="G52" s="103"/>
      <c r="H52" s="103"/>
      <c r="I52" s="104"/>
      <c r="J52" s="107"/>
      <c r="K52" s="107"/>
      <c r="L52" s="107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>
      <c r="A53" s="106"/>
      <c r="B53" s="107"/>
      <c r="C53" s="102"/>
      <c r="D53" s="107"/>
      <c r="E53" s="107"/>
      <c r="F53" s="107"/>
      <c r="G53" s="107"/>
      <c r="H53" s="107"/>
      <c r="I53" s="108"/>
      <c r="J53" s="107"/>
      <c r="K53" s="107"/>
      <c r="L53" s="107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>
      <c r="A54" s="106"/>
      <c r="B54" s="107"/>
      <c r="C54" s="107"/>
      <c r="D54" s="107"/>
      <c r="E54" s="107"/>
      <c r="F54" s="107"/>
      <c r="G54" s="107"/>
      <c r="H54" s="107"/>
      <c r="I54" s="108"/>
      <c r="J54" s="107"/>
      <c r="K54" s="107"/>
      <c r="L54" s="107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" thickBot="1">
      <c r="A55" s="96"/>
      <c r="B55" s="96"/>
      <c r="C55" s="96"/>
      <c r="D55" s="96"/>
      <c r="E55" s="96"/>
      <c r="F55" s="96"/>
      <c r="G55" s="96"/>
      <c r="H55" s="109"/>
      <c r="I55" s="129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" thickTop="1">
      <c r="A56" s="96"/>
      <c r="B56" s="96"/>
      <c r="C56" s="96"/>
      <c r="D56" s="96"/>
      <c r="E56" s="96"/>
      <c r="F56" s="96"/>
      <c r="G56" s="96"/>
      <c r="H56" s="96"/>
      <c r="I56" s="111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>
      <c r="A57" s="96"/>
      <c r="B57" s="96"/>
      <c r="C57" s="96"/>
      <c r="D57" s="96"/>
      <c r="E57" s="96"/>
      <c r="F57" s="96"/>
      <c r="G57" s="96"/>
      <c r="H57" s="96"/>
      <c r="I57" s="111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>
      <c r="A58" s="1241"/>
      <c r="B58" s="1241"/>
      <c r="C58" s="1241"/>
      <c r="D58" s="1241"/>
      <c r="E58" s="1241"/>
      <c r="F58" s="1241"/>
      <c r="G58" s="1241"/>
      <c r="H58" s="1241"/>
      <c r="I58" s="1241"/>
      <c r="J58" s="1241"/>
      <c r="K58" s="1241"/>
      <c r="L58" s="1241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>
      <c r="A59" s="1241"/>
      <c r="B59" s="1241"/>
      <c r="C59" s="1241"/>
      <c r="D59" s="1241"/>
      <c r="E59" s="1241"/>
      <c r="F59" s="1241"/>
      <c r="G59" s="1241"/>
      <c r="H59" s="1241"/>
      <c r="I59" s="1241"/>
      <c r="J59" s="1241"/>
      <c r="K59" s="1241"/>
      <c r="L59" s="1241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>
      <c r="A60" s="96"/>
      <c r="B60" s="96"/>
      <c r="C60" s="96"/>
      <c r="D60" s="96"/>
      <c r="E60" s="96"/>
      <c r="F60" s="96"/>
      <c r="G60" s="96"/>
      <c r="H60" s="96"/>
      <c r="I60" s="111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>
      <c r="A61" s="96"/>
      <c r="B61" s="96"/>
      <c r="C61" s="96"/>
      <c r="D61" s="96"/>
      <c r="E61" s="96"/>
      <c r="F61" s="96"/>
      <c r="G61" s="96"/>
      <c r="H61" s="96"/>
      <c r="I61" s="111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>
      <c r="A62" s="96"/>
      <c r="B62" s="96"/>
      <c r="C62" s="96"/>
      <c r="D62" s="96"/>
      <c r="E62" s="96"/>
      <c r="F62" s="96"/>
      <c r="G62" s="96"/>
      <c r="H62" s="96"/>
      <c r="I62" s="111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>
      <c r="A63" s="96"/>
      <c r="B63" s="96"/>
      <c r="C63" s="96"/>
      <c r="D63" s="96"/>
      <c r="E63" s="96"/>
      <c r="F63" s="96"/>
      <c r="G63" s="96"/>
      <c r="H63" s="96"/>
      <c r="I63" s="111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>
      <c r="A64" s="96"/>
      <c r="B64" s="96"/>
      <c r="C64" s="96"/>
      <c r="D64" s="96"/>
      <c r="E64" s="96"/>
      <c r="F64" s="96"/>
      <c r="G64" s="96"/>
      <c r="H64" s="96"/>
      <c r="I64" s="111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>
      <c r="A65" s="96"/>
      <c r="B65" s="96"/>
      <c r="C65" s="96"/>
      <c r="D65" s="96"/>
      <c r="E65" s="96"/>
      <c r="F65" s="96"/>
      <c r="G65" s="96"/>
      <c r="H65" s="96"/>
      <c r="I65" s="111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>
      <c r="A66" s="96"/>
      <c r="B66" s="96"/>
      <c r="C66" s="96"/>
      <c r="D66" s="96"/>
      <c r="E66" s="96"/>
      <c r="F66" s="96"/>
      <c r="G66" s="96"/>
      <c r="H66" s="96"/>
      <c r="I66" s="111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>
      <c r="A67" s="96"/>
      <c r="B67" s="96"/>
      <c r="C67" s="96"/>
      <c r="D67" s="96"/>
      <c r="E67" s="96"/>
      <c r="F67" s="96"/>
      <c r="G67" s="96"/>
      <c r="H67" s="96"/>
      <c r="I67" s="111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>
      <c r="A68" s="96"/>
      <c r="B68" s="96"/>
      <c r="C68" s="96"/>
      <c r="D68" s="96"/>
      <c r="E68" s="96"/>
      <c r="F68" s="96"/>
      <c r="G68" s="96"/>
      <c r="H68" s="96"/>
      <c r="I68" s="111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>
      <c r="A69" s="96"/>
      <c r="B69" s="96"/>
      <c r="C69" s="96"/>
      <c r="D69" s="96"/>
      <c r="E69" s="96"/>
      <c r="F69" s="96"/>
      <c r="G69" s="96"/>
      <c r="H69" s="96"/>
      <c r="I69" s="111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>
      <c r="A70" s="96"/>
      <c r="B70" s="96"/>
      <c r="C70" s="96"/>
      <c r="D70" s="96"/>
      <c r="E70" s="96"/>
      <c r="F70" s="96"/>
      <c r="G70" s="96"/>
      <c r="H70" s="96"/>
      <c r="I70" s="111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>
      <c r="A71" s="96"/>
      <c r="B71" s="96"/>
      <c r="C71" s="96"/>
      <c r="D71" s="96"/>
      <c r="E71" s="96"/>
      <c r="F71" s="96"/>
      <c r="G71" s="96"/>
      <c r="H71" s="96"/>
      <c r="I71" s="111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>
      <c r="A72" s="96"/>
      <c r="B72" s="96"/>
      <c r="C72" s="96"/>
      <c r="D72" s="96"/>
      <c r="E72" s="96"/>
      <c r="F72" s="96"/>
      <c r="G72" s="96"/>
      <c r="H72" s="96"/>
      <c r="I72" s="111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>
      <c r="A73" s="96"/>
      <c r="B73" s="96"/>
      <c r="C73" s="96"/>
      <c r="D73" s="96"/>
      <c r="E73" s="96"/>
      <c r="F73" s="96"/>
      <c r="G73" s="96"/>
      <c r="H73" s="96"/>
      <c r="I73" s="111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>
      <c r="A74" s="96"/>
      <c r="B74" s="96"/>
      <c r="C74" s="96"/>
      <c r="D74" s="96"/>
      <c r="E74" s="96"/>
      <c r="F74" s="96"/>
      <c r="G74" s="96"/>
      <c r="H74" s="96"/>
      <c r="I74" s="111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>
      <c r="A75" s="96"/>
      <c r="B75" s="96"/>
      <c r="C75" s="96"/>
      <c r="D75" s="96"/>
      <c r="E75" s="96"/>
      <c r="F75" s="96"/>
      <c r="G75" s="96"/>
      <c r="H75" s="96"/>
      <c r="I75" s="130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>
      <c r="A76" s="96"/>
      <c r="B76" s="96"/>
      <c r="C76" s="96"/>
      <c r="D76" s="96"/>
      <c r="E76" s="96"/>
      <c r="F76" s="96"/>
      <c r="G76" s="96"/>
      <c r="H76" s="96"/>
      <c r="I76" s="111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>
      <c r="A77" s="96"/>
      <c r="B77" s="96"/>
      <c r="C77" s="96"/>
      <c r="D77" s="96"/>
      <c r="E77" s="96"/>
      <c r="F77" s="96"/>
      <c r="G77" s="96"/>
      <c r="H77" s="96"/>
      <c r="I77" s="111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>
      <c r="A78" s="1241"/>
      <c r="B78" s="1241"/>
      <c r="C78" s="1241"/>
      <c r="D78" s="1241"/>
      <c r="E78" s="1241"/>
      <c r="F78" s="1241"/>
      <c r="G78" s="1241"/>
      <c r="H78" s="1241"/>
      <c r="I78" s="1241"/>
      <c r="J78" s="1241"/>
      <c r="K78" s="1241"/>
      <c r="L78" s="1241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>
      <c r="A79" s="1241"/>
      <c r="B79" s="1241"/>
      <c r="C79" s="1241"/>
      <c r="D79" s="1241"/>
      <c r="E79" s="1241"/>
      <c r="F79" s="1241"/>
      <c r="G79" s="1241"/>
      <c r="H79" s="1241"/>
      <c r="I79" s="1241"/>
      <c r="J79" s="1241"/>
      <c r="K79" s="1241"/>
      <c r="L79" s="1241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>
      <c r="A80" s="96"/>
      <c r="B80" s="96"/>
      <c r="C80" s="96"/>
      <c r="D80" s="96"/>
      <c r="E80" s="96"/>
      <c r="F80" s="96"/>
      <c r="G80" s="96"/>
      <c r="H80" s="96"/>
      <c r="I80" s="111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>
      <c r="A81" s="96"/>
      <c r="B81" s="96"/>
      <c r="C81" s="96"/>
      <c r="D81" s="96"/>
      <c r="E81" s="96"/>
      <c r="F81" s="96"/>
      <c r="G81" s="96"/>
      <c r="H81" s="96"/>
      <c r="I81" s="111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>
      <c r="A82" s="96"/>
      <c r="B82" s="96"/>
      <c r="C82" s="96"/>
      <c r="D82" s="96"/>
      <c r="E82" s="96"/>
      <c r="F82" s="96"/>
      <c r="G82" s="96"/>
      <c r="H82" s="96"/>
      <c r="I82" s="111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>
      <c r="A83" s="96"/>
      <c r="B83" s="96"/>
      <c r="C83" s="96"/>
      <c r="D83" s="96"/>
      <c r="E83" s="96"/>
      <c r="F83" s="96"/>
      <c r="G83" s="96"/>
      <c r="H83" s="96"/>
      <c r="I83" s="111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>
      <c r="A84" s="96"/>
      <c r="B84" s="96"/>
      <c r="C84" s="96"/>
      <c r="D84" s="96"/>
      <c r="E84" s="96"/>
      <c r="F84" s="96"/>
      <c r="G84" s="96"/>
      <c r="H84" s="96"/>
      <c r="I84" s="111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>
      <c r="A85" s="96"/>
      <c r="B85" s="96"/>
      <c r="C85" s="96"/>
      <c r="D85" s="96"/>
      <c r="E85" s="96"/>
      <c r="F85" s="96"/>
      <c r="G85" s="96"/>
      <c r="H85" s="96"/>
      <c r="I85" s="111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>
      <c r="A86" s="96"/>
      <c r="B86" s="96"/>
      <c r="C86" s="96"/>
      <c r="D86" s="96"/>
      <c r="E86" s="96"/>
      <c r="F86" s="96"/>
      <c r="G86" s="96"/>
      <c r="H86" s="96"/>
      <c r="I86" s="111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>
      <c r="A87" s="96"/>
      <c r="B87" s="96"/>
      <c r="C87" s="96"/>
      <c r="D87" s="96"/>
      <c r="E87" s="96"/>
      <c r="F87" s="96"/>
      <c r="G87" s="96"/>
      <c r="H87" s="96"/>
      <c r="I87" s="111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>
      <c r="A88" s="96"/>
      <c r="B88" s="96"/>
      <c r="C88" s="96"/>
      <c r="D88" s="96"/>
      <c r="E88" s="96"/>
      <c r="F88" s="96"/>
      <c r="G88" s="96"/>
      <c r="H88" s="96"/>
      <c r="I88" s="111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>
      <c r="A89" s="96"/>
      <c r="B89" s="96"/>
      <c r="C89" s="96"/>
      <c r="D89" s="96"/>
      <c r="E89" s="96"/>
      <c r="F89" s="96"/>
      <c r="G89" s="96"/>
      <c r="H89" s="96"/>
      <c r="I89" s="111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>
      <c r="A90" s="96"/>
      <c r="B90" s="96"/>
      <c r="C90" s="96"/>
      <c r="D90" s="96"/>
      <c r="E90" s="96"/>
      <c r="F90" s="96"/>
      <c r="G90" s="96"/>
      <c r="H90" s="96"/>
      <c r="I90" s="111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>
      <c r="A91" s="96"/>
      <c r="B91" s="96"/>
      <c r="C91" s="96"/>
      <c r="D91" s="96"/>
      <c r="E91" s="96"/>
      <c r="F91" s="96"/>
      <c r="G91" s="96"/>
      <c r="H91" s="96"/>
      <c r="I91" s="111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>
      <c r="A92" s="96"/>
      <c r="B92" s="96"/>
      <c r="C92" s="96"/>
      <c r="D92" s="96"/>
      <c r="E92" s="96"/>
      <c r="F92" s="96"/>
      <c r="G92" s="96"/>
      <c r="H92" s="96"/>
      <c r="I92" s="111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>
      <c r="A93" s="96"/>
      <c r="B93" s="96"/>
      <c r="C93" s="96"/>
      <c r="D93" s="96"/>
      <c r="E93" s="96"/>
      <c r="F93" s="96"/>
      <c r="G93" s="96"/>
      <c r="H93" s="96"/>
      <c r="I93" s="111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>
      <c r="A94" s="96"/>
      <c r="B94" s="96"/>
      <c r="C94" s="96"/>
      <c r="D94" s="96"/>
      <c r="E94" s="96"/>
      <c r="F94" s="96"/>
      <c r="G94" s="96"/>
      <c r="H94" s="96"/>
      <c r="I94" s="111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>
      <c r="A95" s="96"/>
      <c r="B95" s="96"/>
      <c r="C95" s="96"/>
      <c r="D95" s="96"/>
      <c r="E95" s="96"/>
      <c r="F95" s="96"/>
      <c r="G95" s="96"/>
      <c r="H95" s="96"/>
      <c r="I95" s="130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>
      <c r="A96" s="96"/>
      <c r="B96" s="96"/>
      <c r="C96" s="96"/>
      <c r="D96" s="96"/>
      <c r="E96" s="96"/>
      <c r="F96" s="96"/>
      <c r="G96" s="96"/>
      <c r="H96" s="96"/>
      <c r="I96" s="111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>
      <c r="A97" s="96"/>
      <c r="B97" s="96"/>
      <c r="C97" s="96"/>
      <c r="D97" s="96"/>
      <c r="E97" s="96"/>
      <c r="F97" s="96"/>
      <c r="G97" s="96"/>
      <c r="H97" s="96"/>
      <c r="I97" s="111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>
      <c r="A98" s="96"/>
      <c r="B98" s="96"/>
      <c r="C98" s="96"/>
      <c r="D98" s="96"/>
      <c r="E98" s="96"/>
      <c r="F98" s="96"/>
      <c r="G98" s="96"/>
      <c r="H98" s="96"/>
      <c r="I98" s="111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>
      <c r="A99" s="96"/>
      <c r="B99" s="96"/>
      <c r="C99" s="96"/>
      <c r="D99" s="96"/>
      <c r="E99" s="96"/>
      <c r="F99" s="96"/>
      <c r="G99" s="96"/>
      <c r="H99" s="96"/>
      <c r="I99" s="111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>
      <c r="A100" s="96"/>
      <c r="B100" s="96"/>
      <c r="C100" s="96"/>
      <c r="D100" s="96"/>
      <c r="E100" s="96"/>
      <c r="F100" s="96"/>
      <c r="G100" s="96"/>
      <c r="H100" s="96"/>
      <c r="I100" s="111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>
      <c r="A101" s="96"/>
      <c r="B101" s="96"/>
      <c r="C101" s="96"/>
      <c r="D101" s="96"/>
      <c r="E101" s="96"/>
      <c r="F101" s="96"/>
      <c r="G101" s="96"/>
      <c r="H101" s="96"/>
      <c r="I101" s="111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>
      <c r="A102" s="96"/>
      <c r="B102" s="96"/>
      <c r="C102" s="96"/>
      <c r="D102" s="96"/>
      <c r="E102" s="96"/>
      <c r="F102" s="96"/>
      <c r="G102" s="96"/>
      <c r="H102" s="96"/>
      <c r="I102" s="111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>
      <c r="A103" s="96"/>
      <c r="B103" s="96"/>
      <c r="C103" s="96"/>
      <c r="D103" s="96"/>
      <c r="E103" s="96"/>
      <c r="F103" s="96"/>
      <c r="G103" s="96"/>
      <c r="H103" s="96"/>
      <c r="I103" s="111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>
      <c r="A104" s="96"/>
      <c r="B104" s="96"/>
      <c r="C104" s="96"/>
      <c r="D104" s="96"/>
      <c r="E104" s="96"/>
      <c r="F104" s="96"/>
      <c r="G104" s="96"/>
      <c r="H104" s="96"/>
      <c r="I104" s="111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>
      <c r="A105" s="96"/>
      <c r="B105" s="96"/>
      <c r="C105" s="96"/>
      <c r="D105" s="96"/>
      <c r="E105" s="96"/>
      <c r="F105" s="96"/>
      <c r="G105" s="96"/>
      <c r="H105" s="96"/>
      <c r="I105" s="111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>
      <c r="A106" s="96"/>
      <c r="B106" s="96"/>
      <c r="C106" s="96"/>
      <c r="D106" s="96"/>
      <c r="E106" s="96"/>
      <c r="F106" s="96"/>
      <c r="G106" s="96"/>
      <c r="H106" s="96"/>
      <c r="I106" s="111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>
      <c r="A107" s="96"/>
      <c r="B107" s="96"/>
      <c r="C107" s="96"/>
      <c r="D107" s="96"/>
      <c r="E107" s="96"/>
      <c r="F107" s="96"/>
      <c r="G107" s="96"/>
      <c r="H107" s="96"/>
      <c r="I107" s="111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>
      <c r="A108" s="96"/>
      <c r="B108" s="96"/>
      <c r="C108" s="96"/>
      <c r="D108" s="96"/>
      <c r="E108" s="96"/>
      <c r="F108" s="96"/>
      <c r="G108" s="96"/>
      <c r="H108" s="96"/>
      <c r="I108" s="111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>
      <c r="A109" s="96"/>
      <c r="B109" s="96"/>
      <c r="C109" s="96"/>
      <c r="D109" s="96"/>
      <c r="E109" s="96"/>
      <c r="F109" s="96"/>
      <c r="G109" s="96"/>
      <c r="H109" s="96"/>
      <c r="I109" s="111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>
      <c r="A110" s="96"/>
      <c r="B110" s="96"/>
      <c r="C110" s="96"/>
      <c r="D110" s="96"/>
      <c r="E110" s="96"/>
      <c r="F110" s="96"/>
      <c r="G110" s="96"/>
      <c r="H110" s="96"/>
      <c r="I110" s="111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>
      <c r="A111" s="96"/>
      <c r="B111" s="96"/>
      <c r="C111" s="96"/>
      <c r="D111" s="96"/>
      <c r="E111" s="96"/>
      <c r="F111" s="96"/>
      <c r="G111" s="96"/>
      <c r="H111" s="96"/>
      <c r="I111" s="111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>
      <c r="A112" s="96"/>
      <c r="B112" s="96"/>
      <c r="C112" s="96"/>
      <c r="D112" s="96"/>
      <c r="E112" s="96"/>
      <c r="F112" s="96"/>
      <c r="G112" s="96"/>
      <c r="H112" s="96"/>
      <c r="I112" s="111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>
      <c r="A113" s="96"/>
      <c r="B113" s="96"/>
      <c r="C113" s="96"/>
      <c r="D113" s="96"/>
      <c r="E113" s="96"/>
      <c r="F113" s="96"/>
      <c r="G113" s="96"/>
      <c r="H113" s="96"/>
      <c r="I113" s="111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>
      <c r="A114" s="96"/>
      <c r="B114" s="96"/>
      <c r="C114" s="96"/>
      <c r="D114" s="96"/>
      <c r="E114" s="96"/>
      <c r="F114" s="96"/>
      <c r="G114" s="96"/>
      <c r="H114" s="96"/>
      <c r="I114" s="111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>
      <c r="A115" s="96"/>
      <c r="B115" s="96"/>
      <c r="C115" s="96"/>
      <c r="D115" s="96"/>
      <c r="E115" s="96"/>
      <c r="F115" s="96"/>
      <c r="G115" s="96"/>
      <c r="H115" s="96"/>
      <c r="I115" s="111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>
      <c r="A116" s="96"/>
      <c r="B116" s="96"/>
      <c r="C116" s="96"/>
      <c r="D116" s="96"/>
      <c r="E116" s="96"/>
      <c r="F116" s="96"/>
      <c r="G116" s="96"/>
      <c r="H116" s="96"/>
      <c r="I116" s="111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>
      <c r="A117" s="96"/>
      <c r="B117" s="96"/>
      <c r="C117" s="96"/>
      <c r="D117" s="96"/>
      <c r="E117" s="96"/>
      <c r="F117" s="96"/>
      <c r="G117" s="96"/>
      <c r="H117" s="96"/>
      <c r="I117" s="111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>
      <c r="A118" s="96"/>
      <c r="B118" s="96"/>
      <c r="C118" s="96"/>
      <c r="D118" s="96"/>
      <c r="E118" s="96"/>
      <c r="F118" s="96"/>
      <c r="G118" s="96"/>
      <c r="H118" s="96"/>
      <c r="I118" s="111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>
      <c r="A119" s="96"/>
      <c r="B119" s="96"/>
      <c r="C119" s="96"/>
      <c r="D119" s="96"/>
      <c r="E119" s="96"/>
      <c r="F119" s="96"/>
      <c r="G119" s="96"/>
      <c r="H119" s="96"/>
      <c r="I119" s="111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>
      <c r="A120" s="96"/>
      <c r="B120" s="96"/>
      <c r="C120" s="96"/>
      <c r="D120" s="96"/>
      <c r="E120" s="96"/>
      <c r="F120" s="96"/>
      <c r="G120" s="96"/>
      <c r="H120" s="96"/>
      <c r="I120" s="111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>
      <c r="A121" s="96"/>
      <c r="B121" s="96"/>
      <c r="C121" s="96"/>
      <c r="D121" s="96"/>
      <c r="E121" s="96"/>
      <c r="F121" s="96"/>
      <c r="G121" s="96"/>
      <c r="H121" s="96"/>
      <c r="I121" s="111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>
      <c r="A122" s="96"/>
      <c r="B122" s="96"/>
      <c r="C122" s="96"/>
      <c r="D122" s="96"/>
      <c r="E122" s="96"/>
      <c r="F122" s="96"/>
      <c r="G122" s="96"/>
      <c r="H122" s="96"/>
      <c r="I122" s="111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>
      <c r="A123" s="96"/>
      <c r="B123" s="96"/>
      <c r="C123" s="96"/>
      <c r="D123" s="96"/>
      <c r="E123" s="96"/>
      <c r="F123" s="96"/>
      <c r="G123" s="96"/>
      <c r="H123" s="96"/>
      <c r="I123" s="111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>
      <c r="A124" s="96"/>
      <c r="B124" s="96"/>
      <c r="C124" s="96"/>
      <c r="D124" s="96"/>
      <c r="E124" s="96"/>
      <c r="F124" s="96"/>
      <c r="G124" s="96"/>
      <c r="H124" s="96"/>
      <c r="I124" s="111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>
      <c r="A125" s="96"/>
      <c r="B125" s="96"/>
      <c r="C125" s="96"/>
      <c r="D125" s="96"/>
      <c r="E125" s="96"/>
      <c r="F125" s="96"/>
      <c r="G125" s="96"/>
      <c r="H125" s="96"/>
      <c r="I125" s="111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>
      <c r="A126" s="96"/>
      <c r="B126" s="96"/>
      <c r="C126" s="96"/>
      <c r="D126" s="96"/>
      <c r="E126" s="96"/>
      <c r="F126" s="96"/>
      <c r="G126" s="96"/>
      <c r="H126" s="96"/>
      <c r="I126" s="111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>
      <c r="A127" s="96"/>
      <c r="B127" s="96"/>
      <c r="C127" s="96"/>
      <c r="D127" s="96"/>
      <c r="E127" s="96"/>
      <c r="F127" s="96"/>
      <c r="G127" s="96"/>
      <c r="H127" s="96"/>
      <c r="I127" s="111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>
      <c r="A128" s="96"/>
      <c r="B128" s="96"/>
      <c r="C128" s="96"/>
      <c r="D128" s="96"/>
      <c r="E128" s="96"/>
      <c r="F128" s="96"/>
      <c r="G128" s="96"/>
      <c r="H128" s="96"/>
      <c r="I128" s="111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>
      <c r="A129" s="96"/>
      <c r="B129" s="96"/>
      <c r="C129" s="96"/>
      <c r="D129" s="96"/>
      <c r="E129" s="96"/>
      <c r="F129" s="96"/>
      <c r="G129" s="96"/>
      <c r="H129" s="96"/>
      <c r="I129" s="111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>
      <c r="A130" s="96"/>
      <c r="B130" s="96"/>
      <c r="C130" s="96"/>
      <c r="D130" s="96"/>
      <c r="E130" s="96"/>
      <c r="F130" s="96"/>
      <c r="G130" s="96"/>
      <c r="H130" s="96"/>
      <c r="I130" s="111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>
      <c r="A131" s="96"/>
      <c r="B131" s="96"/>
      <c r="C131" s="96"/>
      <c r="D131" s="96"/>
      <c r="E131" s="96"/>
      <c r="F131" s="96"/>
      <c r="G131" s="96"/>
      <c r="H131" s="96"/>
      <c r="I131" s="111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>
      <c r="A132" s="96"/>
      <c r="B132" s="96"/>
      <c r="C132" s="96"/>
      <c r="D132" s="96"/>
      <c r="E132" s="96"/>
      <c r="F132" s="96"/>
      <c r="G132" s="96"/>
      <c r="H132" s="96"/>
      <c r="I132" s="111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>
      <c r="A133" s="96"/>
      <c r="B133" s="96"/>
      <c r="C133" s="96"/>
      <c r="D133" s="96"/>
      <c r="E133" s="96"/>
      <c r="F133" s="96"/>
      <c r="G133" s="96"/>
      <c r="H133" s="96"/>
      <c r="I133" s="111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>
      <c r="A134" s="96"/>
      <c r="B134" s="96"/>
      <c r="C134" s="96"/>
      <c r="D134" s="96"/>
      <c r="E134" s="96"/>
      <c r="F134" s="96"/>
      <c r="G134" s="96"/>
      <c r="H134" s="96"/>
      <c r="I134" s="111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>
      <c r="A135" s="96"/>
      <c r="B135" s="96"/>
      <c r="C135" s="96"/>
      <c r="D135" s="96"/>
      <c r="E135" s="96"/>
      <c r="F135" s="96"/>
      <c r="G135" s="96"/>
      <c r="H135" s="96"/>
      <c r="I135" s="111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>
      <c r="A136" s="96"/>
      <c r="B136" s="96"/>
      <c r="C136" s="96"/>
      <c r="D136" s="96"/>
      <c r="E136" s="96"/>
      <c r="F136" s="96"/>
      <c r="G136" s="96"/>
      <c r="H136" s="96"/>
      <c r="I136" s="111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>
      <c r="A137" s="96"/>
      <c r="B137" s="96"/>
      <c r="C137" s="96"/>
      <c r="D137" s="96"/>
      <c r="E137" s="96"/>
      <c r="F137" s="96"/>
      <c r="G137" s="96"/>
      <c r="H137" s="96"/>
      <c r="I137" s="111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>
      <c r="A138" s="96"/>
      <c r="B138" s="96"/>
      <c r="C138" s="96"/>
      <c r="D138" s="96"/>
      <c r="E138" s="96"/>
      <c r="F138" s="96"/>
      <c r="G138" s="96"/>
      <c r="H138" s="96"/>
      <c r="I138" s="111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>
      <c r="A139" s="96"/>
      <c r="B139" s="96"/>
      <c r="C139" s="96"/>
      <c r="D139" s="96"/>
      <c r="E139" s="96"/>
      <c r="F139" s="96"/>
      <c r="G139" s="96"/>
      <c r="H139" s="96"/>
      <c r="I139" s="111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>
      <c r="A140" s="96"/>
      <c r="B140" s="96"/>
      <c r="C140" s="96"/>
      <c r="D140" s="96"/>
      <c r="E140" s="96"/>
      <c r="F140" s="96"/>
      <c r="G140" s="96"/>
      <c r="H140" s="96"/>
      <c r="I140" s="111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>
      <c r="A141" s="96"/>
      <c r="B141" s="96"/>
      <c r="C141" s="96"/>
      <c r="D141" s="96"/>
      <c r="E141" s="96"/>
      <c r="F141" s="96"/>
      <c r="G141" s="96"/>
      <c r="H141" s="96"/>
      <c r="I141" s="111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>
      <c r="A142" s="96"/>
      <c r="B142" s="96"/>
      <c r="C142" s="96"/>
      <c r="D142" s="96"/>
      <c r="E142" s="96"/>
      <c r="F142" s="96"/>
      <c r="G142" s="96"/>
      <c r="H142" s="96"/>
      <c r="I142" s="111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>
      <c r="A143" s="96"/>
      <c r="B143" s="96"/>
      <c r="C143" s="96"/>
      <c r="D143" s="96"/>
      <c r="E143" s="96"/>
      <c r="F143" s="96"/>
      <c r="G143" s="96"/>
      <c r="H143" s="96"/>
      <c r="I143" s="111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>
      <c r="A144" s="96"/>
      <c r="B144" s="96"/>
      <c r="C144" s="96"/>
      <c r="D144" s="96"/>
      <c r="E144" s="96"/>
      <c r="F144" s="96"/>
      <c r="G144" s="96"/>
      <c r="H144" s="96"/>
      <c r="I144" s="111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>
      <c r="A145" s="96"/>
      <c r="B145" s="96"/>
      <c r="C145" s="96"/>
      <c r="D145" s="96"/>
      <c r="E145" s="96"/>
      <c r="F145" s="96"/>
      <c r="G145" s="96"/>
      <c r="H145" s="96"/>
      <c r="I145" s="111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>
      <c r="A146" s="96"/>
      <c r="B146" s="96"/>
      <c r="C146" s="96"/>
      <c r="D146" s="96"/>
      <c r="E146" s="96"/>
      <c r="F146" s="96"/>
      <c r="G146" s="96"/>
      <c r="H146" s="96"/>
      <c r="I146" s="111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>
      <c r="A147" s="96"/>
      <c r="B147" s="96"/>
      <c r="C147" s="96"/>
      <c r="D147" s="96"/>
      <c r="E147" s="96"/>
      <c r="F147" s="96"/>
      <c r="G147" s="96"/>
      <c r="H147" s="96"/>
      <c r="I147" s="111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>
      <c r="A148" s="96"/>
      <c r="B148" s="96"/>
      <c r="C148" s="96"/>
      <c r="D148" s="96"/>
      <c r="E148" s="96"/>
      <c r="F148" s="96"/>
      <c r="G148" s="96"/>
      <c r="H148" s="96"/>
      <c r="I148" s="111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>
      <c r="A149" s="96"/>
      <c r="B149" s="96"/>
      <c r="C149" s="96"/>
      <c r="D149" s="96"/>
      <c r="E149" s="96"/>
      <c r="F149" s="96"/>
      <c r="G149" s="96"/>
      <c r="H149" s="96"/>
      <c r="I149" s="111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>
      <c r="A150" s="96"/>
      <c r="B150" s="96"/>
      <c r="C150" s="96"/>
      <c r="D150" s="96"/>
      <c r="E150" s="96"/>
      <c r="F150" s="96"/>
      <c r="G150" s="96"/>
      <c r="H150" s="96"/>
      <c r="I150" s="111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>
      <c r="A151" s="96"/>
      <c r="B151" s="96"/>
      <c r="C151" s="96"/>
      <c r="D151" s="96"/>
      <c r="E151" s="96"/>
      <c r="F151" s="96"/>
      <c r="G151" s="96"/>
      <c r="H151" s="96"/>
      <c r="I151" s="111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>
      <c r="A152" s="96"/>
      <c r="B152" s="96"/>
      <c r="C152" s="96"/>
      <c r="D152" s="96"/>
      <c r="E152" s="96"/>
      <c r="F152" s="96"/>
      <c r="G152" s="96"/>
      <c r="H152" s="96"/>
      <c r="I152" s="111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>
      <c r="A153" s="96"/>
      <c r="B153" s="96"/>
      <c r="C153" s="96"/>
      <c r="D153" s="96"/>
      <c r="E153" s="96"/>
      <c r="F153" s="96"/>
      <c r="G153" s="96"/>
      <c r="H153" s="96"/>
      <c r="I153" s="111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>
      <c r="A154" s="96"/>
      <c r="B154" s="96"/>
      <c r="C154" s="96"/>
      <c r="D154" s="96"/>
      <c r="E154" s="96"/>
      <c r="F154" s="96"/>
      <c r="G154" s="96"/>
      <c r="H154" s="96"/>
      <c r="I154" s="111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>
      <c r="A155" s="96"/>
      <c r="B155" s="96"/>
      <c r="C155" s="96"/>
      <c r="D155" s="96"/>
      <c r="E155" s="96"/>
      <c r="F155" s="96"/>
      <c r="G155" s="96"/>
      <c r="H155" s="96"/>
      <c r="I155" s="111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>
      <c r="A156" s="96"/>
      <c r="B156" s="96"/>
      <c r="C156" s="96"/>
      <c r="D156" s="96"/>
      <c r="E156" s="96"/>
      <c r="F156" s="96"/>
      <c r="G156" s="96"/>
      <c r="H156" s="96"/>
      <c r="I156" s="111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>
      <c r="A157" s="96"/>
      <c r="B157" s="96"/>
      <c r="C157" s="96"/>
      <c r="D157" s="96"/>
      <c r="E157" s="96"/>
      <c r="F157" s="96"/>
      <c r="G157" s="96"/>
      <c r="H157" s="96"/>
      <c r="I157" s="111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>
      <c r="A158" s="96"/>
      <c r="B158" s="96"/>
      <c r="C158" s="96"/>
      <c r="D158" s="96"/>
      <c r="E158" s="96"/>
      <c r="F158" s="96"/>
      <c r="G158" s="96"/>
      <c r="H158" s="96"/>
      <c r="I158" s="111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>
      <c r="A159" s="96"/>
      <c r="B159" s="96"/>
      <c r="C159" s="96"/>
      <c r="D159" s="96"/>
      <c r="E159" s="96"/>
      <c r="F159" s="96"/>
      <c r="G159" s="96"/>
      <c r="H159" s="96"/>
      <c r="I159" s="111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>
      <c r="A160" s="96"/>
      <c r="B160" s="96"/>
      <c r="C160" s="96"/>
      <c r="D160" s="96"/>
      <c r="E160" s="96"/>
      <c r="F160" s="96"/>
      <c r="G160" s="96"/>
      <c r="H160" s="96"/>
      <c r="I160" s="111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>
      <c r="A161" s="96"/>
      <c r="B161" s="96"/>
      <c r="C161" s="96"/>
      <c r="D161" s="96"/>
      <c r="E161" s="96"/>
      <c r="F161" s="96"/>
      <c r="G161" s="96"/>
      <c r="H161" s="96"/>
      <c r="I161" s="111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>
      <c r="A162" s="96"/>
      <c r="B162" s="96"/>
      <c r="C162" s="96"/>
      <c r="D162" s="96"/>
      <c r="E162" s="96"/>
      <c r="F162" s="96"/>
      <c r="G162" s="96"/>
      <c r="H162" s="96"/>
      <c r="I162" s="111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>
      <c r="A163" s="96"/>
      <c r="B163" s="96"/>
      <c r="C163" s="96"/>
      <c r="D163" s="96"/>
      <c r="E163" s="96"/>
      <c r="F163" s="96"/>
      <c r="G163" s="96"/>
      <c r="H163" s="96"/>
      <c r="I163" s="111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>
      <c r="A164" s="96"/>
      <c r="B164" s="96"/>
      <c r="C164" s="96"/>
      <c r="D164" s="96"/>
      <c r="E164" s="96"/>
      <c r="F164" s="96"/>
      <c r="G164" s="96"/>
      <c r="H164" s="96"/>
      <c r="I164" s="111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>
      <c r="A165" s="96"/>
      <c r="B165" s="96"/>
      <c r="C165" s="96"/>
      <c r="D165" s="96"/>
      <c r="E165" s="96"/>
      <c r="F165" s="96"/>
      <c r="G165" s="96"/>
      <c r="H165" s="96"/>
      <c r="I165" s="111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>
      <c r="A166" s="96"/>
      <c r="B166" s="96"/>
      <c r="C166" s="96"/>
      <c r="D166" s="96"/>
      <c r="E166" s="96"/>
      <c r="F166" s="96"/>
      <c r="G166" s="96"/>
      <c r="H166" s="96"/>
      <c r="I166" s="111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>
      <c r="A167" s="96"/>
      <c r="B167" s="96"/>
      <c r="C167" s="96"/>
      <c r="D167" s="96"/>
      <c r="E167" s="96"/>
      <c r="F167" s="96"/>
      <c r="G167" s="96"/>
      <c r="H167" s="96"/>
      <c r="I167" s="111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>
      <c r="A168" s="96"/>
      <c r="B168" s="96"/>
      <c r="C168" s="96"/>
      <c r="D168" s="96"/>
      <c r="E168" s="96"/>
      <c r="F168" s="96"/>
      <c r="G168" s="96"/>
      <c r="H168" s="96"/>
      <c r="I168" s="111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>
      <c r="A169" s="96"/>
      <c r="B169" s="96"/>
      <c r="C169" s="96"/>
      <c r="D169" s="96"/>
      <c r="E169" s="96"/>
      <c r="F169" s="96"/>
      <c r="G169" s="96"/>
      <c r="H169" s="96"/>
      <c r="I169" s="111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>
      <c r="A170" s="96"/>
      <c r="B170" s="96"/>
      <c r="C170" s="96"/>
      <c r="D170" s="96"/>
      <c r="E170" s="96"/>
      <c r="F170" s="96"/>
      <c r="G170" s="96"/>
      <c r="H170" s="96"/>
      <c r="I170" s="111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>
      <c r="A171" s="96"/>
      <c r="B171" s="96"/>
      <c r="C171" s="96"/>
      <c r="D171" s="96"/>
      <c r="E171" s="96"/>
      <c r="F171" s="96"/>
      <c r="G171" s="96"/>
      <c r="H171" s="96"/>
      <c r="I171" s="111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>
      <c r="A172" s="96"/>
      <c r="B172" s="96"/>
      <c r="C172" s="96"/>
      <c r="D172" s="96"/>
      <c r="E172" s="96"/>
      <c r="F172" s="96"/>
      <c r="G172" s="96"/>
      <c r="H172" s="96"/>
      <c r="I172" s="111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>
      <c r="A173" s="96"/>
      <c r="B173" s="96"/>
      <c r="C173" s="96"/>
      <c r="D173" s="96"/>
      <c r="E173" s="96"/>
      <c r="F173" s="96"/>
      <c r="G173" s="96"/>
      <c r="H173" s="96"/>
      <c r="I173" s="111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>
      <c r="A174" s="96"/>
      <c r="B174" s="96"/>
      <c r="C174" s="96"/>
      <c r="D174" s="96"/>
      <c r="E174" s="96"/>
      <c r="F174" s="96"/>
      <c r="G174" s="96"/>
      <c r="H174" s="96"/>
      <c r="I174" s="111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>
      <c r="A175" s="96"/>
      <c r="B175" s="96"/>
      <c r="C175" s="96"/>
      <c r="D175" s="96"/>
      <c r="E175" s="96"/>
      <c r="F175" s="96"/>
      <c r="G175" s="96"/>
      <c r="H175" s="96"/>
      <c r="I175" s="111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>
      <c r="A176" s="96"/>
      <c r="B176" s="96"/>
      <c r="C176" s="96"/>
      <c r="D176" s="96"/>
      <c r="E176" s="96"/>
      <c r="F176" s="96"/>
      <c r="G176" s="96"/>
      <c r="H176" s="96"/>
      <c r="I176" s="111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>
      <c r="A177" s="96"/>
      <c r="B177" s="96"/>
      <c r="C177" s="96"/>
      <c r="D177" s="96"/>
      <c r="E177" s="96"/>
      <c r="F177" s="96"/>
      <c r="G177" s="96"/>
      <c r="H177" s="96"/>
      <c r="I177" s="111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>
      <c r="A178" s="96"/>
      <c r="B178" s="96"/>
      <c r="C178" s="96"/>
      <c r="D178" s="96"/>
      <c r="E178" s="96"/>
      <c r="F178" s="96"/>
      <c r="G178" s="96"/>
      <c r="H178" s="96"/>
      <c r="I178" s="111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>
      <c r="A179" s="96"/>
      <c r="B179" s="96"/>
      <c r="C179" s="96"/>
      <c r="D179" s="96"/>
      <c r="E179" s="96"/>
      <c r="F179" s="96"/>
      <c r="G179" s="96"/>
      <c r="H179" s="96"/>
      <c r="I179" s="111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>
      <c r="A180" s="96"/>
      <c r="B180" s="96"/>
      <c r="C180" s="96"/>
      <c r="D180" s="96"/>
      <c r="E180" s="96"/>
      <c r="F180" s="96"/>
      <c r="G180" s="96"/>
      <c r="H180" s="96"/>
      <c r="I180" s="111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>
      <c r="A181" s="96"/>
      <c r="B181" s="96"/>
      <c r="C181" s="96"/>
      <c r="D181" s="96"/>
      <c r="E181" s="96"/>
      <c r="F181" s="96"/>
      <c r="G181" s="96"/>
      <c r="H181" s="96"/>
      <c r="I181" s="111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>
      <c r="A182" s="96"/>
      <c r="B182" s="96"/>
      <c r="C182" s="96"/>
      <c r="D182" s="96"/>
      <c r="E182" s="96"/>
      <c r="F182" s="96"/>
      <c r="G182" s="96"/>
      <c r="H182" s="96"/>
      <c r="I182" s="111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>
      <c r="A183" s="96"/>
      <c r="B183" s="96"/>
      <c r="C183" s="96"/>
      <c r="D183" s="96"/>
      <c r="E183" s="96"/>
      <c r="F183" s="96"/>
      <c r="G183" s="96"/>
      <c r="H183" s="96"/>
      <c r="I183" s="111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>
      <c r="A184" s="96"/>
      <c r="B184" s="96"/>
      <c r="C184" s="96"/>
      <c r="D184" s="96"/>
      <c r="E184" s="96"/>
      <c r="F184" s="96"/>
      <c r="G184" s="96"/>
      <c r="H184" s="96"/>
      <c r="I184" s="111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>
      <c r="A185" s="96"/>
      <c r="B185" s="96"/>
      <c r="C185" s="96"/>
      <c r="D185" s="96"/>
      <c r="E185" s="96"/>
      <c r="F185" s="96"/>
      <c r="G185" s="96"/>
      <c r="H185" s="96"/>
      <c r="I185" s="111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>
      <c r="A186" s="96"/>
      <c r="B186" s="96"/>
      <c r="C186" s="96"/>
      <c r="D186" s="96"/>
      <c r="E186" s="96"/>
      <c r="F186" s="96"/>
      <c r="G186" s="96"/>
      <c r="H186" s="96"/>
      <c r="I186" s="111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>
      <c r="A187" s="96"/>
      <c r="B187" s="96"/>
      <c r="C187" s="96"/>
      <c r="D187" s="96"/>
      <c r="E187" s="96"/>
      <c r="F187" s="96"/>
      <c r="G187" s="96"/>
      <c r="H187" s="96"/>
      <c r="I187" s="111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>
      <c r="A188" s="96"/>
      <c r="B188" s="96"/>
      <c r="C188" s="96"/>
      <c r="D188" s="96"/>
      <c r="E188" s="96"/>
      <c r="F188" s="96"/>
      <c r="G188" s="96"/>
      <c r="H188" s="96"/>
      <c r="I188" s="111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>
      <c r="A189" s="96"/>
      <c r="B189" s="96"/>
      <c r="C189" s="96"/>
      <c r="D189" s="96"/>
      <c r="E189" s="96"/>
      <c r="F189" s="96"/>
      <c r="G189" s="96"/>
      <c r="H189" s="96"/>
      <c r="I189" s="111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>
      <c r="A190" s="96"/>
      <c r="B190" s="96"/>
      <c r="C190" s="96"/>
      <c r="D190" s="96"/>
      <c r="E190" s="96"/>
      <c r="F190" s="96"/>
      <c r="G190" s="96"/>
      <c r="H190" s="96"/>
      <c r="I190" s="111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>
      <c r="A191" s="96"/>
      <c r="B191" s="96"/>
      <c r="C191" s="96"/>
      <c r="D191" s="96"/>
      <c r="E191" s="96"/>
      <c r="F191" s="96"/>
      <c r="G191" s="96"/>
      <c r="H191" s="96"/>
      <c r="I191" s="111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>
      <c r="A192" s="96"/>
      <c r="B192" s="96"/>
      <c r="C192" s="96"/>
      <c r="D192" s="96"/>
      <c r="E192" s="96"/>
      <c r="F192" s="96"/>
      <c r="G192" s="96"/>
      <c r="H192" s="96"/>
      <c r="I192" s="111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>
      <c r="A193" s="96"/>
      <c r="B193" s="96"/>
      <c r="C193" s="96"/>
      <c r="D193" s="96"/>
      <c r="E193" s="96"/>
      <c r="F193" s="96"/>
      <c r="G193" s="96"/>
      <c r="H193" s="96"/>
      <c r="I193" s="111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>
      <c r="A194" s="96"/>
      <c r="B194" s="96"/>
      <c r="C194" s="96"/>
      <c r="D194" s="96"/>
      <c r="E194" s="96"/>
      <c r="F194" s="96"/>
      <c r="G194" s="96"/>
      <c r="H194" s="96"/>
      <c r="I194" s="111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>
      <c r="A195" s="96"/>
      <c r="B195" s="96"/>
      <c r="C195" s="96"/>
      <c r="D195" s="96"/>
      <c r="E195" s="96"/>
      <c r="F195" s="96"/>
      <c r="G195" s="96"/>
      <c r="H195" s="96"/>
      <c r="I195" s="111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>
      <c r="A196" s="96"/>
      <c r="B196" s="96"/>
      <c r="C196" s="96"/>
      <c r="D196" s="96"/>
      <c r="E196" s="96"/>
      <c r="F196" s="96"/>
      <c r="G196" s="96"/>
      <c r="H196" s="96"/>
      <c r="I196" s="111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>
      <c r="A197" s="96"/>
      <c r="B197" s="96"/>
      <c r="C197" s="96"/>
      <c r="D197" s="96"/>
      <c r="E197" s="96"/>
      <c r="F197" s="96"/>
      <c r="G197" s="96"/>
      <c r="H197" s="96"/>
      <c r="I197" s="111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>
      <c r="A198" s="96"/>
      <c r="B198" s="96"/>
      <c r="C198" s="96"/>
      <c r="D198" s="96"/>
      <c r="E198" s="96"/>
      <c r="F198" s="96"/>
      <c r="G198" s="96"/>
      <c r="H198" s="96"/>
      <c r="I198" s="111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>
      <c r="A199" s="96"/>
      <c r="B199" s="96"/>
      <c r="C199" s="96"/>
      <c r="D199" s="96"/>
      <c r="E199" s="96"/>
      <c r="F199" s="96"/>
      <c r="G199" s="96"/>
      <c r="H199" s="96"/>
      <c r="I199" s="111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>
      <c r="A200" s="96"/>
      <c r="B200" s="96"/>
      <c r="C200" s="96"/>
      <c r="D200" s="96"/>
      <c r="E200" s="96"/>
      <c r="F200" s="96"/>
      <c r="G200" s="96"/>
      <c r="H200" s="96"/>
      <c r="I200" s="111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>
      <c r="A201" s="96"/>
      <c r="B201" s="96"/>
      <c r="C201" s="96"/>
      <c r="D201" s="96"/>
      <c r="E201" s="96"/>
      <c r="F201" s="96"/>
      <c r="G201" s="96"/>
      <c r="H201" s="96"/>
      <c r="I201" s="111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>
      <c r="A202" s="96"/>
      <c r="B202" s="96"/>
      <c r="C202" s="96"/>
      <c r="D202" s="96"/>
      <c r="E202" s="96"/>
      <c r="F202" s="96"/>
      <c r="G202" s="96"/>
      <c r="H202" s="96"/>
      <c r="I202" s="111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>
      <c r="A203" s="96"/>
      <c r="B203" s="96"/>
      <c r="C203" s="96"/>
      <c r="D203" s="96"/>
      <c r="E203" s="96"/>
      <c r="F203" s="96"/>
      <c r="G203" s="96"/>
      <c r="H203" s="96"/>
      <c r="I203" s="111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>
      <c r="A204" s="96"/>
      <c r="B204" s="96"/>
      <c r="C204" s="96"/>
      <c r="D204" s="96"/>
      <c r="E204" s="96"/>
      <c r="F204" s="96"/>
      <c r="G204" s="96"/>
      <c r="H204" s="96"/>
      <c r="I204" s="111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>
      <c r="A205" s="96"/>
      <c r="B205" s="96"/>
      <c r="C205" s="96"/>
      <c r="D205" s="96"/>
      <c r="E205" s="96"/>
      <c r="F205" s="96"/>
      <c r="G205" s="96"/>
      <c r="H205" s="96"/>
      <c r="I205" s="111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>
      <c r="A206" s="96"/>
      <c r="B206" s="96"/>
      <c r="C206" s="96"/>
      <c r="D206" s="96"/>
      <c r="E206" s="96"/>
      <c r="F206" s="96"/>
      <c r="G206" s="96"/>
      <c r="H206" s="96"/>
      <c r="I206" s="111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>
      <c r="A207" s="96"/>
      <c r="B207" s="96"/>
      <c r="C207" s="96"/>
      <c r="D207" s="96"/>
      <c r="E207" s="96"/>
      <c r="F207" s="96"/>
      <c r="G207" s="96"/>
      <c r="H207" s="96"/>
      <c r="I207" s="111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>
      <c r="A208" s="96"/>
      <c r="B208" s="96"/>
      <c r="C208" s="96"/>
      <c r="D208" s="96"/>
      <c r="E208" s="96"/>
      <c r="F208" s="96"/>
      <c r="G208" s="96"/>
      <c r="H208" s="96"/>
      <c r="I208" s="111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>
      <c r="A209" s="96"/>
      <c r="B209" s="96"/>
      <c r="C209" s="96"/>
      <c r="D209" s="96"/>
      <c r="E209" s="96"/>
      <c r="F209" s="96"/>
      <c r="G209" s="96"/>
      <c r="H209" s="96"/>
      <c r="I209" s="111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>
      <c r="A210" s="96"/>
      <c r="B210" s="96"/>
      <c r="C210" s="96"/>
      <c r="D210" s="96"/>
      <c r="E210" s="96"/>
      <c r="F210" s="96"/>
      <c r="G210" s="96"/>
      <c r="H210" s="96"/>
      <c r="I210" s="111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>
      <c r="A211" s="96"/>
      <c r="B211" s="96"/>
      <c r="C211" s="96"/>
      <c r="D211" s="96"/>
      <c r="E211" s="96"/>
      <c r="F211" s="96"/>
      <c r="G211" s="96"/>
      <c r="H211" s="96"/>
      <c r="I211" s="111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>
      <c r="A212" s="96"/>
      <c r="B212" s="96"/>
      <c r="C212" s="96"/>
      <c r="D212" s="96"/>
      <c r="E212" s="96"/>
      <c r="F212" s="96"/>
      <c r="G212" s="96"/>
      <c r="H212" s="96"/>
      <c r="I212" s="111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>
      <c r="A213" s="96"/>
      <c r="B213" s="96"/>
      <c r="C213" s="96"/>
      <c r="D213" s="96"/>
      <c r="E213" s="96"/>
      <c r="F213" s="96"/>
      <c r="G213" s="96"/>
      <c r="H213" s="96"/>
      <c r="I213" s="111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>
      <c r="A214" s="96"/>
      <c r="B214" s="96"/>
      <c r="C214" s="96"/>
      <c r="D214" s="96"/>
      <c r="E214" s="96"/>
      <c r="F214" s="96"/>
      <c r="G214" s="96"/>
      <c r="H214" s="96"/>
      <c r="I214" s="111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>
      <c r="A215" s="96"/>
      <c r="B215" s="96"/>
      <c r="C215" s="96"/>
      <c r="D215" s="96"/>
      <c r="E215" s="96"/>
      <c r="F215" s="96"/>
      <c r="G215" s="96"/>
      <c r="H215" s="96"/>
      <c r="I215" s="111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>
      <c r="A216" s="96"/>
      <c r="B216" s="96"/>
      <c r="C216" s="96"/>
      <c r="D216" s="96"/>
      <c r="E216" s="96"/>
      <c r="F216" s="96"/>
      <c r="G216" s="96"/>
      <c r="H216" s="96"/>
      <c r="I216" s="111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>
      <c r="A217" s="96"/>
      <c r="B217" s="96"/>
      <c r="C217" s="96"/>
      <c r="D217" s="96"/>
      <c r="E217" s="96"/>
      <c r="F217" s="96"/>
      <c r="G217" s="96"/>
      <c r="H217" s="96"/>
      <c r="I217" s="111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>
      <c r="A218" s="96"/>
      <c r="B218" s="96"/>
      <c r="C218" s="96"/>
      <c r="D218" s="96"/>
      <c r="E218" s="96"/>
      <c r="F218" s="96"/>
      <c r="G218" s="96"/>
      <c r="H218" s="96"/>
      <c r="I218" s="111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>
      <c r="A219" s="96"/>
      <c r="B219" s="96"/>
      <c r="C219" s="96"/>
      <c r="D219" s="96"/>
      <c r="E219" s="96"/>
      <c r="F219" s="96"/>
      <c r="G219" s="96"/>
      <c r="H219" s="96"/>
      <c r="I219" s="111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>
      <c r="A220" s="96"/>
      <c r="B220" s="96"/>
      <c r="C220" s="96"/>
      <c r="D220" s="96"/>
      <c r="E220" s="96"/>
      <c r="F220" s="96"/>
      <c r="G220" s="96"/>
      <c r="H220" s="96"/>
      <c r="I220" s="111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>
      <c r="A221" s="96"/>
      <c r="B221" s="96"/>
      <c r="C221" s="96"/>
      <c r="D221" s="96"/>
      <c r="E221" s="96"/>
      <c r="F221" s="96"/>
      <c r="G221" s="96"/>
      <c r="H221" s="96"/>
      <c r="I221" s="111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>
      <c r="A222" s="96"/>
      <c r="B222" s="96"/>
      <c r="C222" s="96"/>
      <c r="D222" s="96"/>
      <c r="E222" s="96"/>
      <c r="F222" s="96"/>
      <c r="G222" s="96"/>
      <c r="H222" s="96"/>
      <c r="I222" s="111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>
      <c r="A223" s="96"/>
      <c r="B223" s="96"/>
      <c r="C223" s="96"/>
      <c r="D223" s="96"/>
      <c r="E223" s="96"/>
      <c r="F223" s="96"/>
      <c r="G223" s="96"/>
      <c r="H223" s="96"/>
      <c r="I223" s="111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>
      <c r="A224" s="96"/>
      <c r="B224" s="96"/>
      <c r="C224" s="96"/>
      <c r="D224" s="96"/>
      <c r="E224" s="96"/>
      <c r="F224" s="96"/>
      <c r="G224" s="96"/>
      <c r="H224" s="96"/>
      <c r="I224" s="111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>
      <c r="A225" s="96"/>
      <c r="B225" s="96"/>
      <c r="C225" s="96"/>
      <c r="D225" s="96"/>
      <c r="E225" s="96"/>
      <c r="F225" s="96"/>
      <c r="G225" s="96"/>
      <c r="H225" s="96"/>
      <c r="I225" s="111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>
      <c r="A226" s="96"/>
      <c r="B226" s="96"/>
      <c r="C226" s="96"/>
      <c r="D226" s="96"/>
      <c r="E226" s="96"/>
      <c r="F226" s="96"/>
      <c r="G226" s="96"/>
      <c r="H226" s="96"/>
      <c r="I226" s="111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>
      <c r="A227" s="96"/>
      <c r="B227" s="96"/>
      <c r="C227" s="96"/>
      <c r="D227" s="96"/>
      <c r="E227" s="96"/>
      <c r="F227" s="96"/>
      <c r="G227" s="96"/>
      <c r="H227" s="96"/>
      <c r="I227" s="111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>
      <c r="A228" s="96"/>
      <c r="B228" s="96"/>
      <c r="C228" s="96"/>
      <c r="D228" s="96"/>
      <c r="E228" s="96"/>
      <c r="F228" s="96"/>
      <c r="G228" s="96"/>
      <c r="H228" s="96"/>
      <c r="I228" s="111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>
      <c r="A229" s="96"/>
      <c r="B229" s="96"/>
      <c r="C229" s="96"/>
      <c r="D229" s="96"/>
      <c r="E229" s="96"/>
      <c r="F229" s="96"/>
      <c r="G229" s="96"/>
      <c r="H229" s="96"/>
      <c r="I229" s="111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>
      <c r="A230" s="96"/>
      <c r="B230" s="96"/>
      <c r="C230" s="96"/>
      <c r="D230" s="96"/>
      <c r="E230" s="96"/>
      <c r="F230" s="96"/>
      <c r="G230" s="96"/>
      <c r="H230" s="96"/>
      <c r="I230" s="111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>
      <c r="A231" s="96"/>
      <c r="B231" s="96"/>
      <c r="C231" s="96"/>
      <c r="D231" s="96"/>
      <c r="E231" s="96"/>
      <c r="F231" s="96"/>
      <c r="G231" s="96"/>
      <c r="H231" s="96"/>
      <c r="I231" s="111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>
      <c r="A232" s="96"/>
      <c r="B232" s="96"/>
      <c r="C232" s="96"/>
      <c r="D232" s="96"/>
      <c r="E232" s="96"/>
      <c r="F232" s="96"/>
      <c r="G232" s="96"/>
      <c r="H232" s="96"/>
      <c r="I232" s="111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>
      <c r="A233" s="96"/>
      <c r="B233" s="96"/>
      <c r="C233" s="96"/>
      <c r="D233" s="96"/>
      <c r="E233" s="96"/>
      <c r="F233" s="96"/>
      <c r="G233" s="96"/>
      <c r="H233" s="96"/>
      <c r="I233" s="111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>
      <c r="A234" s="96"/>
      <c r="B234" s="96"/>
      <c r="C234" s="96"/>
      <c r="D234" s="96"/>
      <c r="E234" s="96"/>
      <c r="F234" s="96"/>
      <c r="G234" s="96"/>
      <c r="H234" s="96"/>
      <c r="I234" s="111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>
      <c r="A235" s="96"/>
      <c r="B235" s="96"/>
      <c r="C235" s="96"/>
      <c r="D235" s="96"/>
      <c r="E235" s="96"/>
      <c r="F235" s="96"/>
      <c r="G235" s="96"/>
      <c r="H235" s="96"/>
      <c r="I235" s="111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>
      <c r="A236" s="96"/>
      <c r="B236" s="96"/>
      <c r="C236" s="96"/>
      <c r="D236" s="96"/>
      <c r="E236" s="96"/>
      <c r="F236" s="96"/>
      <c r="G236" s="96"/>
      <c r="H236" s="96"/>
      <c r="I236" s="111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>
      <c r="A237" s="96"/>
      <c r="B237" s="96"/>
      <c r="C237" s="96"/>
      <c r="D237" s="96"/>
      <c r="E237" s="96"/>
      <c r="F237" s="96"/>
      <c r="G237" s="96"/>
      <c r="H237" s="96"/>
      <c r="I237" s="111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>
      <c r="A238" s="96"/>
      <c r="B238" s="96"/>
      <c r="C238" s="96"/>
      <c r="D238" s="96"/>
      <c r="E238" s="96"/>
      <c r="F238" s="96"/>
      <c r="G238" s="96"/>
      <c r="H238" s="96"/>
      <c r="I238" s="111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>
      <c r="A239" s="96"/>
      <c r="B239" s="96"/>
      <c r="C239" s="96"/>
      <c r="D239" s="96"/>
      <c r="E239" s="96"/>
      <c r="F239" s="96"/>
      <c r="G239" s="96"/>
      <c r="H239" s="96"/>
      <c r="I239" s="111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>
      <c r="A240" s="96"/>
      <c r="B240" s="96"/>
      <c r="C240" s="96"/>
      <c r="D240" s="96"/>
      <c r="E240" s="96"/>
      <c r="F240" s="96"/>
      <c r="G240" s="96"/>
      <c r="H240" s="96"/>
      <c r="I240" s="111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>
      <c r="A241" s="96"/>
      <c r="B241" s="96"/>
      <c r="C241" s="96"/>
      <c r="D241" s="96"/>
      <c r="E241" s="96"/>
      <c r="F241" s="96"/>
      <c r="G241" s="96"/>
      <c r="H241" s="96"/>
      <c r="I241" s="111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>
      <c r="A242" s="96"/>
      <c r="B242" s="96"/>
      <c r="C242" s="96"/>
      <c r="D242" s="96"/>
      <c r="E242" s="96"/>
      <c r="F242" s="96"/>
      <c r="G242" s="96"/>
      <c r="H242" s="96"/>
      <c r="I242" s="111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>
      <c r="A243" s="96"/>
      <c r="B243" s="96"/>
      <c r="C243" s="96"/>
      <c r="D243" s="96"/>
      <c r="E243" s="96"/>
      <c r="F243" s="96"/>
      <c r="G243" s="96"/>
      <c r="H243" s="96"/>
      <c r="I243" s="111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>
      <c r="A244" s="96"/>
      <c r="B244" s="96"/>
      <c r="C244" s="96"/>
      <c r="D244" s="96"/>
      <c r="E244" s="96"/>
      <c r="F244" s="96"/>
      <c r="G244" s="96"/>
      <c r="H244" s="96"/>
      <c r="I244" s="111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>
      <c r="A245" s="96"/>
      <c r="B245" s="96"/>
      <c r="C245" s="96"/>
      <c r="D245" s="96"/>
      <c r="E245" s="96"/>
      <c r="F245" s="96"/>
      <c r="G245" s="96"/>
      <c r="H245" s="96"/>
      <c r="I245" s="111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>
      <c r="A246" s="96"/>
      <c r="B246" s="96"/>
      <c r="C246" s="96"/>
      <c r="D246" s="96"/>
      <c r="E246" s="96"/>
      <c r="F246" s="96"/>
      <c r="G246" s="96"/>
      <c r="H246" s="96"/>
      <c r="I246" s="111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>
      <c r="A247" s="96"/>
      <c r="B247" s="96"/>
      <c r="C247" s="96"/>
      <c r="D247" s="96"/>
      <c r="E247" s="96"/>
      <c r="F247" s="96"/>
      <c r="G247" s="96"/>
      <c r="H247" s="96"/>
      <c r="I247" s="111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>
      <c r="A248" s="96"/>
      <c r="B248" s="96"/>
      <c r="C248" s="96"/>
      <c r="D248" s="96"/>
      <c r="E248" s="96"/>
      <c r="F248" s="96"/>
      <c r="G248" s="96"/>
      <c r="H248" s="96"/>
      <c r="I248" s="111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>
      <c r="A249" s="96"/>
      <c r="B249" s="96"/>
      <c r="C249" s="96"/>
      <c r="D249" s="96"/>
      <c r="E249" s="96"/>
      <c r="F249" s="96"/>
      <c r="G249" s="96"/>
      <c r="H249" s="96"/>
      <c r="I249" s="111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>
      <c r="A250" s="96"/>
      <c r="B250" s="96"/>
      <c r="C250" s="96"/>
      <c r="D250" s="96"/>
      <c r="E250" s="96"/>
      <c r="F250" s="96"/>
      <c r="G250" s="96"/>
      <c r="H250" s="96"/>
      <c r="I250" s="111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>
      <c r="A251" s="96"/>
      <c r="B251" s="96"/>
      <c r="C251" s="96"/>
      <c r="D251" s="96"/>
      <c r="E251" s="96"/>
      <c r="F251" s="96"/>
      <c r="G251" s="96"/>
      <c r="H251" s="96"/>
      <c r="I251" s="111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>
      <c r="A252" s="96"/>
      <c r="B252" s="96"/>
      <c r="C252" s="96"/>
      <c r="D252" s="96"/>
      <c r="E252" s="96"/>
      <c r="F252" s="96"/>
      <c r="G252" s="96"/>
      <c r="H252" s="96"/>
      <c r="I252" s="111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>
      <c r="A253" s="96"/>
      <c r="B253" s="96"/>
      <c r="C253" s="96"/>
      <c r="D253" s="96"/>
      <c r="E253" s="96"/>
      <c r="F253" s="96"/>
      <c r="G253" s="96"/>
      <c r="H253" s="96"/>
      <c r="I253" s="111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>
      <c r="A254" s="96"/>
      <c r="B254" s="96"/>
      <c r="C254" s="96"/>
      <c r="D254" s="96"/>
      <c r="E254" s="96"/>
      <c r="F254" s="96"/>
      <c r="G254" s="96"/>
      <c r="H254" s="96"/>
      <c r="I254" s="111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>
      <c r="A255" s="96"/>
      <c r="B255" s="96"/>
      <c r="C255" s="96"/>
      <c r="D255" s="96"/>
      <c r="E255" s="96"/>
      <c r="F255" s="96"/>
      <c r="G255" s="96"/>
      <c r="H255" s="96"/>
      <c r="I255" s="111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>
      <c r="A256" s="96"/>
      <c r="B256" s="96"/>
      <c r="C256" s="96"/>
      <c r="D256" s="96"/>
      <c r="E256" s="96"/>
      <c r="F256" s="96"/>
      <c r="G256" s="96"/>
      <c r="H256" s="96"/>
      <c r="I256" s="111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>
      <c r="A257" s="96"/>
      <c r="B257" s="96"/>
      <c r="C257" s="96"/>
      <c r="D257" s="96"/>
      <c r="E257" s="96"/>
      <c r="F257" s="96"/>
      <c r="G257" s="96"/>
      <c r="H257" s="96"/>
      <c r="I257" s="111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>
      <c r="A258" s="96"/>
      <c r="B258" s="96"/>
      <c r="C258" s="96"/>
      <c r="D258" s="96"/>
      <c r="E258" s="96"/>
      <c r="F258" s="96"/>
      <c r="G258" s="96"/>
      <c r="H258" s="96"/>
      <c r="I258" s="111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>
      <c r="A259" s="96"/>
      <c r="B259" s="96"/>
      <c r="C259" s="96"/>
      <c r="D259" s="96"/>
      <c r="E259" s="96"/>
      <c r="F259" s="96"/>
      <c r="G259" s="96"/>
      <c r="H259" s="96"/>
      <c r="I259" s="111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>
      <c r="A260" s="96"/>
      <c r="B260" s="96"/>
      <c r="C260" s="96"/>
      <c r="D260" s="96"/>
      <c r="E260" s="96"/>
      <c r="F260" s="96"/>
      <c r="G260" s="96"/>
      <c r="H260" s="96"/>
      <c r="I260" s="111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>
      <c r="A261" s="96"/>
      <c r="B261" s="96"/>
      <c r="C261" s="96"/>
      <c r="D261" s="96"/>
      <c r="E261" s="96"/>
      <c r="F261" s="96"/>
      <c r="G261" s="96"/>
      <c r="H261" s="96"/>
      <c r="I261" s="111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>
      <c r="A262" s="96"/>
      <c r="B262" s="96"/>
      <c r="C262" s="96"/>
      <c r="D262" s="96"/>
      <c r="E262" s="96"/>
      <c r="F262" s="96"/>
      <c r="G262" s="96"/>
      <c r="H262" s="96"/>
      <c r="I262" s="111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>
      <c r="A263" s="96"/>
      <c r="B263" s="96"/>
      <c r="C263" s="96"/>
      <c r="D263" s="96"/>
      <c r="E263" s="96"/>
      <c r="F263" s="96"/>
      <c r="G263" s="96"/>
      <c r="H263" s="96"/>
      <c r="I263" s="111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>
      <c r="A264" s="96"/>
      <c r="B264" s="96"/>
      <c r="C264" s="96"/>
      <c r="D264" s="96"/>
      <c r="E264" s="96"/>
      <c r="F264" s="96"/>
      <c r="G264" s="96"/>
      <c r="H264" s="96"/>
      <c r="I264" s="111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>
      <c r="A265" s="96"/>
      <c r="B265" s="96"/>
      <c r="C265" s="96"/>
      <c r="D265" s="96"/>
      <c r="E265" s="96"/>
      <c r="F265" s="96"/>
      <c r="G265" s="96"/>
      <c r="H265" s="96"/>
      <c r="I265" s="111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>
      <c r="A266" s="96"/>
      <c r="B266" s="96"/>
      <c r="C266" s="96"/>
      <c r="D266" s="96"/>
      <c r="E266" s="96"/>
      <c r="F266" s="96"/>
      <c r="G266" s="96"/>
      <c r="H266" s="96"/>
      <c r="I266" s="111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>
      <c r="A267" s="96"/>
      <c r="B267" s="96"/>
      <c r="C267" s="96"/>
      <c r="D267" s="96"/>
      <c r="E267" s="96"/>
      <c r="F267" s="96"/>
      <c r="G267" s="96"/>
      <c r="H267" s="96"/>
      <c r="I267" s="111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>
      <c r="A268" s="96"/>
      <c r="B268" s="96"/>
      <c r="C268" s="96"/>
      <c r="D268" s="96"/>
      <c r="E268" s="96"/>
      <c r="F268" s="96"/>
      <c r="G268" s="96"/>
      <c r="H268" s="96"/>
      <c r="I268" s="111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>
      <c r="A269" s="96"/>
      <c r="B269" s="96"/>
      <c r="C269" s="96"/>
      <c r="D269" s="96"/>
      <c r="E269" s="96"/>
      <c r="F269" s="96"/>
      <c r="G269" s="96"/>
      <c r="H269" s="96"/>
      <c r="I269" s="111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>
      <c r="A270" s="96"/>
      <c r="B270" s="96"/>
      <c r="C270" s="96"/>
      <c r="D270" s="96"/>
      <c r="E270" s="96"/>
      <c r="F270" s="96"/>
      <c r="G270" s="96"/>
      <c r="H270" s="96"/>
      <c r="I270" s="111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>
      <c r="A271" s="96"/>
      <c r="B271" s="96"/>
      <c r="C271" s="96"/>
      <c r="D271" s="96"/>
      <c r="E271" s="96"/>
      <c r="F271" s="96"/>
      <c r="G271" s="96"/>
      <c r="H271" s="96"/>
      <c r="I271" s="111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>
      <c r="A272" s="96"/>
      <c r="B272" s="96"/>
      <c r="C272" s="96"/>
      <c r="D272" s="96"/>
      <c r="E272" s="96"/>
      <c r="F272" s="96"/>
      <c r="G272" s="96"/>
      <c r="H272" s="96"/>
      <c r="I272" s="111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>
      <c r="A273" s="96"/>
      <c r="B273" s="96"/>
      <c r="C273" s="96"/>
      <c r="D273" s="96"/>
      <c r="E273" s="96"/>
      <c r="F273" s="96"/>
      <c r="G273" s="96"/>
      <c r="H273" s="96"/>
      <c r="I273" s="111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>
      <c r="A274" s="96"/>
      <c r="B274" s="96"/>
      <c r="C274" s="96"/>
      <c r="D274" s="96"/>
      <c r="E274" s="96"/>
      <c r="F274" s="96"/>
      <c r="G274" s="96"/>
      <c r="H274" s="96"/>
      <c r="I274" s="111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>
      <c r="A275" s="96"/>
      <c r="B275" s="96"/>
      <c r="C275" s="96"/>
      <c r="D275" s="96"/>
      <c r="E275" s="96"/>
      <c r="F275" s="96"/>
      <c r="G275" s="96"/>
      <c r="H275" s="96"/>
      <c r="I275" s="111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>
      <c r="A276" s="96"/>
      <c r="B276" s="96"/>
      <c r="C276" s="96"/>
      <c r="D276" s="96"/>
      <c r="E276" s="96"/>
      <c r="F276" s="96"/>
      <c r="G276" s="96"/>
      <c r="H276" s="96"/>
      <c r="I276" s="111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>
      <c r="A277" s="96"/>
      <c r="B277" s="96"/>
      <c r="C277" s="96"/>
      <c r="D277" s="96"/>
      <c r="E277" s="96"/>
      <c r="F277" s="96"/>
      <c r="G277" s="96"/>
      <c r="H277" s="96"/>
      <c r="I277" s="111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>
      <c r="A278" s="96"/>
      <c r="B278" s="96"/>
      <c r="C278" s="96"/>
      <c r="D278" s="96"/>
      <c r="E278" s="96"/>
      <c r="F278" s="96"/>
      <c r="G278" s="96"/>
      <c r="H278" s="96"/>
      <c r="I278" s="111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>
      <c r="A279" s="96"/>
      <c r="B279" s="96"/>
      <c r="C279" s="96"/>
      <c r="D279" s="96"/>
      <c r="E279" s="96"/>
      <c r="F279" s="96"/>
      <c r="G279" s="96"/>
      <c r="H279" s="96"/>
      <c r="I279" s="111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>
      <c r="A280" s="96"/>
      <c r="B280" s="96"/>
      <c r="C280" s="96"/>
      <c r="D280" s="96"/>
      <c r="E280" s="96"/>
      <c r="F280" s="96"/>
      <c r="G280" s="96"/>
      <c r="H280" s="96"/>
      <c r="I280" s="111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>
      <c r="A281" s="96"/>
      <c r="B281" s="96"/>
      <c r="C281" s="96"/>
      <c r="D281" s="96"/>
      <c r="E281" s="96"/>
      <c r="F281" s="96"/>
      <c r="G281" s="96"/>
      <c r="H281" s="96"/>
      <c r="I281" s="111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>
      <c r="A282" s="96"/>
      <c r="B282" s="96"/>
      <c r="C282" s="96"/>
      <c r="D282" s="96"/>
      <c r="E282" s="96"/>
      <c r="F282" s="96"/>
      <c r="G282" s="96"/>
      <c r="H282" s="96"/>
      <c r="I282" s="111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>
      <c r="A283" s="96"/>
      <c r="B283" s="96"/>
      <c r="C283" s="96"/>
      <c r="D283" s="96"/>
      <c r="E283" s="96"/>
      <c r="F283" s="96"/>
      <c r="G283" s="96"/>
      <c r="H283" s="96"/>
      <c r="I283" s="111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>
      <c r="A284" s="96"/>
      <c r="B284" s="96"/>
      <c r="C284" s="96"/>
      <c r="D284" s="96"/>
      <c r="E284" s="96"/>
      <c r="F284" s="96"/>
      <c r="G284" s="96"/>
      <c r="H284" s="96"/>
      <c r="I284" s="111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>
      <c r="A285" s="96"/>
      <c r="B285" s="96"/>
      <c r="C285" s="96"/>
      <c r="D285" s="96"/>
      <c r="E285" s="96"/>
      <c r="F285" s="96"/>
      <c r="G285" s="96"/>
      <c r="H285" s="96"/>
      <c r="I285" s="111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>
      <c r="A286" s="96"/>
      <c r="B286" s="96"/>
      <c r="C286" s="96"/>
      <c r="D286" s="96"/>
      <c r="E286" s="96"/>
      <c r="F286" s="96"/>
      <c r="G286" s="96"/>
      <c r="H286" s="96"/>
      <c r="I286" s="111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>
      <c r="A287" s="96"/>
      <c r="B287" s="96"/>
      <c r="C287" s="96"/>
      <c r="D287" s="96"/>
      <c r="E287" s="96"/>
      <c r="F287" s="96"/>
      <c r="G287" s="96"/>
      <c r="H287" s="96"/>
      <c r="I287" s="111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>
      <c r="A288" s="96"/>
      <c r="B288" s="96"/>
      <c r="C288" s="96"/>
      <c r="D288" s="96"/>
      <c r="E288" s="96"/>
      <c r="F288" s="96"/>
      <c r="G288" s="96"/>
      <c r="H288" s="96"/>
      <c r="I288" s="111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>
      <c r="A289" s="96"/>
      <c r="B289" s="96"/>
      <c r="C289" s="96"/>
      <c r="D289" s="96"/>
      <c r="E289" s="96"/>
      <c r="F289" s="96"/>
      <c r="G289" s="96"/>
      <c r="H289" s="96"/>
      <c r="I289" s="111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>
      <c r="A290" s="96"/>
      <c r="B290" s="96"/>
      <c r="C290" s="96"/>
      <c r="D290" s="96"/>
      <c r="E290" s="96"/>
      <c r="F290" s="96"/>
      <c r="G290" s="96"/>
      <c r="H290" s="96"/>
      <c r="I290" s="111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>
      <c r="A291" s="96"/>
      <c r="B291" s="96"/>
      <c r="C291" s="96"/>
      <c r="D291" s="96"/>
      <c r="E291" s="96"/>
      <c r="F291" s="96"/>
      <c r="G291" s="96"/>
      <c r="H291" s="96"/>
      <c r="I291" s="111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>
      <c r="A292" s="96"/>
      <c r="B292" s="96"/>
      <c r="C292" s="96"/>
      <c r="D292" s="96"/>
      <c r="E292" s="96"/>
      <c r="F292" s="96"/>
      <c r="G292" s="96"/>
      <c r="H292" s="96"/>
      <c r="I292" s="111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>
      <c r="A293" s="96"/>
      <c r="B293" s="96"/>
      <c r="C293" s="96"/>
      <c r="D293" s="96"/>
      <c r="E293" s="96"/>
      <c r="F293" s="96"/>
      <c r="G293" s="96"/>
      <c r="H293" s="96"/>
      <c r="I293" s="111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>
      <c r="A294" s="96"/>
      <c r="B294" s="96"/>
      <c r="C294" s="96"/>
      <c r="D294" s="96"/>
      <c r="E294" s="96"/>
      <c r="F294" s="96"/>
      <c r="G294" s="96"/>
      <c r="H294" s="96"/>
      <c r="I294" s="111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>
      <c r="A295" s="96"/>
      <c r="B295" s="96"/>
      <c r="C295" s="96"/>
      <c r="D295" s="96"/>
      <c r="E295" s="96"/>
      <c r="F295" s="96"/>
      <c r="G295" s="96"/>
      <c r="H295" s="96"/>
      <c r="I295" s="111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>
      <c r="A296" s="96"/>
      <c r="B296" s="96"/>
      <c r="C296" s="96"/>
      <c r="D296" s="96"/>
      <c r="E296" s="96"/>
      <c r="F296" s="96"/>
      <c r="G296" s="96"/>
      <c r="H296" s="96"/>
      <c r="I296" s="111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>
      <c r="A297" s="96"/>
      <c r="B297" s="96"/>
      <c r="C297" s="96"/>
      <c r="D297" s="96"/>
      <c r="E297" s="96"/>
      <c r="F297" s="96"/>
      <c r="G297" s="96"/>
      <c r="H297" s="96"/>
      <c r="I297" s="111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>
      <c r="A298" s="96"/>
      <c r="B298" s="96"/>
      <c r="C298" s="96"/>
      <c r="D298" s="96"/>
      <c r="E298" s="96"/>
      <c r="F298" s="96"/>
      <c r="G298" s="96"/>
      <c r="H298" s="96"/>
      <c r="I298" s="111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>
      <c r="A299" s="96"/>
      <c r="B299" s="96"/>
      <c r="C299" s="96"/>
      <c r="D299" s="96"/>
      <c r="E299" s="96"/>
      <c r="F299" s="96"/>
      <c r="G299" s="96"/>
      <c r="H299" s="96"/>
      <c r="I299" s="111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>
      <c r="A300" s="96"/>
      <c r="B300" s="96"/>
      <c r="C300" s="96"/>
      <c r="D300" s="96"/>
      <c r="E300" s="96"/>
      <c r="F300" s="96"/>
      <c r="G300" s="96"/>
      <c r="H300" s="96"/>
      <c r="I300" s="111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>
      <c r="A301" s="96"/>
      <c r="B301" s="96"/>
      <c r="C301" s="96"/>
      <c r="D301" s="96"/>
      <c r="E301" s="96"/>
      <c r="F301" s="96"/>
      <c r="G301" s="96"/>
      <c r="H301" s="96"/>
      <c r="I301" s="111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>
      <c r="A302" s="96"/>
      <c r="B302" s="96"/>
      <c r="C302" s="96"/>
      <c r="D302" s="96"/>
      <c r="E302" s="96"/>
      <c r="F302" s="96"/>
      <c r="G302" s="96"/>
      <c r="H302" s="96"/>
      <c r="I302" s="111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>
      <c r="A303" s="96"/>
      <c r="B303" s="96"/>
      <c r="C303" s="96"/>
      <c r="D303" s="96"/>
      <c r="E303" s="96"/>
      <c r="F303" s="96"/>
      <c r="G303" s="96"/>
      <c r="H303" s="96"/>
      <c r="I303" s="111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>
      <c r="A304" s="96"/>
      <c r="B304" s="96"/>
      <c r="C304" s="96"/>
      <c r="D304" s="96"/>
      <c r="E304" s="96"/>
      <c r="F304" s="96"/>
      <c r="G304" s="96"/>
      <c r="H304" s="96"/>
      <c r="I304" s="111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>
      <c r="A305" s="96"/>
      <c r="B305" s="96"/>
      <c r="C305" s="96"/>
      <c r="D305" s="96"/>
      <c r="E305" s="96"/>
      <c r="F305" s="96"/>
      <c r="G305" s="96"/>
      <c r="H305" s="96"/>
      <c r="I305" s="111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>
      <c r="A306" s="96"/>
      <c r="B306" s="96"/>
      <c r="C306" s="96"/>
      <c r="D306" s="96"/>
      <c r="E306" s="96"/>
      <c r="F306" s="96"/>
      <c r="G306" s="96"/>
      <c r="H306" s="96"/>
      <c r="I306" s="111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>
      <c r="A307" s="96"/>
      <c r="B307" s="96"/>
      <c r="C307" s="96"/>
      <c r="D307" s="96"/>
      <c r="E307" s="96"/>
      <c r="F307" s="96"/>
      <c r="G307" s="96"/>
      <c r="H307" s="96"/>
      <c r="I307" s="111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>
      <c r="A308" s="96"/>
      <c r="B308" s="96"/>
      <c r="C308" s="96"/>
      <c r="D308" s="96"/>
      <c r="E308" s="96"/>
      <c r="F308" s="96"/>
      <c r="G308" s="96"/>
      <c r="H308" s="96"/>
      <c r="I308" s="111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>
      <c r="A309" s="96"/>
      <c r="B309" s="96"/>
      <c r="C309" s="96"/>
      <c r="D309" s="96"/>
      <c r="E309" s="96"/>
      <c r="F309" s="96"/>
      <c r="G309" s="96"/>
      <c r="H309" s="96"/>
      <c r="I309" s="111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>
      <c r="A310" s="96"/>
      <c r="B310" s="96"/>
      <c r="C310" s="96"/>
      <c r="D310" s="96"/>
      <c r="E310" s="96"/>
      <c r="F310" s="96"/>
      <c r="G310" s="96"/>
      <c r="H310" s="96"/>
      <c r="I310" s="111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>
      <c r="A311" s="96"/>
      <c r="B311" s="96"/>
      <c r="C311" s="96"/>
      <c r="D311" s="96"/>
      <c r="E311" s="96"/>
      <c r="F311" s="96"/>
      <c r="G311" s="96"/>
      <c r="H311" s="96"/>
      <c r="I311" s="111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>
      <c r="A312" s="96"/>
      <c r="B312" s="96"/>
      <c r="C312" s="96"/>
      <c r="D312" s="96"/>
      <c r="E312" s="96"/>
      <c r="F312" s="96"/>
      <c r="G312" s="96"/>
      <c r="H312" s="96"/>
      <c r="I312" s="111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>
      <c r="A313" s="96"/>
      <c r="B313" s="96"/>
      <c r="C313" s="96"/>
      <c r="D313" s="96"/>
      <c r="E313" s="96"/>
      <c r="F313" s="96"/>
      <c r="G313" s="96"/>
      <c r="H313" s="96"/>
      <c r="I313" s="111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>
      <c r="A314" s="96"/>
      <c r="B314" s="96"/>
      <c r="C314" s="96"/>
      <c r="D314" s="96"/>
      <c r="E314" s="96"/>
      <c r="F314" s="96"/>
      <c r="G314" s="96"/>
      <c r="H314" s="96"/>
      <c r="I314" s="111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>
      <c r="A315" s="96"/>
      <c r="B315" s="96"/>
      <c r="C315" s="96"/>
      <c r="D315" s="96"/>
      <c r="E315" s="96"/>
      <c r="F315" s="96"/>
      <c r="G315" s="96"/>
      <c r="H315" s="96"/>
      <c r="I315" s="111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>
      <c r="A316" s="96"/>
      <c r="B316" s="96"/>
      <c r="C316" s="96"/>
      <c r="D316" s="96"/>
      <c r="E316" s="96"/>
      <c r="F316" s="96"/>
      <c r="G316" s="96"/>
      <c r="H316" s="96"/>
      <c r="I316" s="111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>
      <c r="A317" s="96"/>
      <c r="B317" s="96"/>
      <c r="C317" s="96"/>
      <c r="D317" s="96"/>
      <c r="E317" s="96"/>
      <c r="F317" s="96"/>
      <c r="G317" s="96"/>
      <c r="H317" s="96"/>
      <c r="I317" s="111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>
      <c r="A318" s="96"/>
      <c r="B318" s="96"/>
      <c r="C318" s="96"/>
      <c r="D318" s="96"/>
      <c r="E318" s="96"/>
      <c r="F318" s="96"/>
      <c r="G318" s="96"/>
      <c r="H318" s="96"/>
      <c r="I318" s="111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>
      <c r="A319" s="96"/>
      <c r="B319" s="96"/>
      <c r="C319" s="96"/>
      <c r="D319" s="96"/>
      <c r="E319" s="96"/>
      <c r="F319" s="96"/>
      <c r="G319" s="96"/>
      <c r="H319" s="96"/>
      <c r="I319" s="111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>
      <c r="A320" s="96"/>
      <c r="B320" s="96"/>
      <c r="C320" s="96"/>
      <c r="D320" s="96"/>
      <c r="E320" s="96"/>
      <c r="F320" s="96"/>
      <c r="G320" s="96"/>
      <c r="H320" s="96"/>
      <c r="I320" s="111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>
      <c r="A321" s="96"/>
      <c r="B321" s="96"/>
      <c r="C321" s="96"/>
      <c r="D321" s="96"/>
      <c r="E321" s="96"/>
      <c r="F321" s="96"/>
      <c r="G321" s="96"/>
      <c r="H321" s="96"/>
      <c r="I321" s="111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>
      <c r="A322" s="96"/>
      <c r="B322" s="96"/>
      <c r="C322" s="96"/>
      <c r="D322" s="96"/>
      <c r="E322" s="96"/>
      <c r="F322" s="96"/>
      <c r="G322" s="96"/>
      <c r="H322" s="96"/>
      <c r="I322" s="111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>
      <c r="A323" s="96"/>
      <c r="B323" s="96"/>
      <c r="C323" s="96"/>
      <c r="D323" s="96"/>
      <c r="E323" s="96"/>
      <c r="F323" s="96"/>
      <c r="G323" s="96"/>
      <c r="H323" s="96"/>
      <c r="I323" s="111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>
      <c r="A324" s="96"/>
      <c r="B324" s="96"/>
      <c r="C324" s="96"/>
      <c r="D324" s="96"/>
      <c r="E324" s="96"/>
      <c r="F324" s="96"/>
      <c r="G324" s="96"/>
      <c r="H324" s="96"/>
      <c r="I324" s="111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>
      <c r="A325" s="96"/>
      <c r="B325" s="96"/>
      <c r="C325" s="96"/>
      <c r="D325" s="96"/>
      <c r="E325" s="96"/>
      <c r="F325" s="96"/>
      <c r="G325" s="96"/>
      <c r="H325" s="96"/>
      <c r="I325" s="111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>
      <c r="A326" s="96"/>
      <c r="B326" s="96"/>
      <c r="C326" s="96"/>
      <c r="D326" s="96"/>
      <c r="E326" s="96"/>
      <c r="F326" s="96"/>
      <c r="G326" s="96"/>
      <c r="H326" s="96"/>
      <c r="I326" s="111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>
      <c r="A327" s="96"/>
      <c r="B327" s="96"/>
      <c r="C327" s="96"/>
      <c r="D327" s="96"/>
      <c r="E327" s="96"/>
      <c r="F327" s="96"/>
      <c r="G327" s="96"/>
      <c r="H327" s="96"/>
      <c r="I327" s="111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>
      <c r="A328" s="96"/>
      <c r="B328" s="96"/>
      <c r="C328" s="96"/>
      <c r="D328" s="96"/>
      <c r="E328" s="96"/>
      <c r="F328" s="96"/>
      <c r="G328" s="96"/>
      <c r="H328" s="96"/>
      <c r="I328" s="111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>
      <c r="A329" s="96"/>
      <c r="B329" s="96"/>
      <c r="C329" s="96"/>
      <c r="D329" s="96"/>
      <c r="E329" s="96"/>
      <c r="F329" s="96"/>
      <c r="G329" s="96"/>
      <c r="H329" s="96"/>
      <c r="I329" s="111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>
      <c r="A330" s="96"/>
      <c r="B330" s="96"/>
      <c r="C330" s="96"/>
      <c r="D330" s="96"/>
      <c r="E330" s="96"/>
      <c r="F330" s="96"/>
      <c r="G330" s="96"/>
      <c r="H330" s="96"/>
      <c r="I330" s="111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>
      <c r="A331" s="96"/>
      <c r="B331" s="96"/>
      <c r="C331" s="96"/>
      <c r="D331" s="96"/>
      <c r="E331" s="96"/>
      <c r="F331" s="96"/>
      <c r="G331" s="96"/>
      <c r="H331" s="96"/>
      <c r="I331" s="111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>
      <c r="A332" s="96"/>
      <c r="B332" s="96"/>
      <c r="C332" s="96"/>
      <c r="D332" s="96"/>
      <c r="E332" s="96"/>
      <c r="F332" s="96"/>
      <c r="G332" s="96"/>
      <c r="H332" s="96"/>
      <c r="I332" s="111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>
      <c r="A333" s="96"/>
      <c r="B333" s="96"/>
      <c r="C333" s="96"/>
      <c r="D333" s="96"/>
      <c r="E333" s="96"/>
      <c r="F333" s="96"/>
      <c r="G333" s="96"/>
      <c r="H333" s="96"/>
      <c r="I333" s="111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>
      <c r="A334" s="96"/>
      <c r="B334" s="96"/>
      <c r="C334" s="96"/>
      <c r="D334" s="96"/>
      <c r="E334" s="96"/>
      <c r="F334" s="96"/>
      <c r="G334" s="96"/>
      <c r="H334" s="96"/>
      <c r="I334" s="111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>
      <c r="A335" s="96"/>
      <c r="B335" s="96"/>
      <c r="C335" s="96"/>
      <c r="D335" s="96"/>
      <c r="E335" s="96"/>
      <c r="F335" s="96"/>
      <c r="G335" s="96"/>
      <c r="H335" s="96"/>
      <c r="I335" s="111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>
      <c r="A336" s="96"/>
      <c r="B336" s="96"/>
      <c r="C336" s="96"/>
      <c r="D336" s="96"/>
      <c r="E336" s="96"/>
      <c r="F336" s="96"/>
      <c r="G336" s="96"/>
      <c r="H336" s="96"/>
      <c r="I336" s="111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>
      <c r="A337" s="96"/>
      <c r="B337" s="96"/>
      <c r="C337" s="96"/>
      <c r="D337" s="96"/>
      <c r="E337" s="96"/>
      <c r="F337" s="96"/>
      <c r="G337" s="96"/>
      <c r="H337" s="96"/>
      <c r="I337" s="111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>
      <c r="A338" s="96"/>
      <c r="B338" s="96"/>
      <c r="C338" s="96"/>
      <c r="D338" s="96"/>
      <c r="E338" s="96"/>
      <c r="F338" s="96"/>
      <c r="G338" s="96"/>
      <c r="H338" s="96"/>
      <c r="I338" s="111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>
      <c r="A339" s="96"/>
      <c r="B339" s="96"/>
      <c r="C339" s="96"/>
      <c r="D339" s="96"/>
      <c r="E339" s="96"/>
      <c r="F339" s="96"/>
      <c r="G339" s="96"/>
      <c r="H339" s="96"/>
      <c r="I339" s="111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>
      <c r="A340" s="96"/>
      <c r="B340" s="96"/>
      <c r="C340" s="96"/>
      <c r="D340" s="96"/>
      <c r="E340" s="96"/>
      <c r="F340" s="96"/>
      <c r="G340" s="96"/>
      <c r="H340" s="96"/>
      <c r="I340" s="111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>
      <c r="A341" s="96"/>
      <c r="B341" s="96"/>
      <c r="C341" s="96"/>
      <c r="D341" s="96"/>
      <c r="E341" s="96"/>
      <c r="F341" s="96"/>
      <c r="G341" s="96"/>
      <c r="H341" s="96"/>
      <c r="I341" s="111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>
      <c r="A342" s="96"/>
      <c r="B342" s="96"/>
      <c r="C342" s="96"/>
      <c r="D342" s="96"/>
      <c r="E342" s="96"/>
      <c r="F342" s="96"/>
      <c r="G342" s="96"/>
      <c r="H342" s="96"/>
      <c r="I342" s="111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>
      <c r="A343" s="96"/>
      <c r="B343" s="96"/>
      <c r="C343" s="96"/>
      <c r="D343" s="96"/>
      <c r="E343" s="96"/>
      <c r="F343" s="96"/>
      <c r="G343" s="96"/>
      <c r="H343" s="96"/>
      <c r="I343" s="111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>
      <c r="A344" s="96"/>
      <c r="B344" s="96"/>
      <c r="C344" s="96"/>
      <c r="D344" s="96"/>
      <c r="E344" s="96"/>
      <c r="F344" s="96"/>
      <c r="G344" s="96"/>
      <c r="H344" s="96"/>
      <c r="I344" s="111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>
      <c r="A345" s="96"/>
      <c r="B345" s="96"/>
      <c r="C345" s="96"/>
      <c r="D345" s="96"/>
      <c r="E345" s="96"/>
      <c r="F345" s="96"/>
      <c r="G345" s="96"/>
      <c r="H345" s="96"/>
      <c r="I345" s="111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>
      <c r="A346" s="96"/>
      <c r="B346" s="96"/>
      <c r="C346" s="96"/>
      <c r="D346" s="96"/>
      <c r="E346" s="96"/>
      <c r="F346" s="96"/>
      <c r="G346" s="96"/>
      <c r="H346" s="96"/>
      <c r="I346" s="111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>
      <c r="A347" s="96"/>
      <c r="B347" s="96"/>
      <c r="C347" s="96"/>
      <c r="D347" s="96"/>
      <c r="E347" s="96"/>
      <c r="F347" s="96"/>
      <c r="G347" s="96"/>
      <c r="H347" s="96"/>
      <c r="I347" s="111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>
      <c r="A348" s="96"/>
      <c r="B348" s="96"/>
      <c r="C348" s="96"/>
      <c r="D348" s="96"/>
      <c r="E348" s="96"/>
      <c r="F348" s="96"/>
      <c r="G348" s="96"/>
      <c r="H348" s="96"/>
      <c r="I348" s="111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>
      <c r="A349" s="96"/>
      <c r="B349" s="96"/>
      <c r="C349" s="96"/>
      <c r="D349" s="96"/>
      <c r="E349" s="96"/>
      <c r="F349" s="96"/>
      <c r="G349" s="96"/>
      <c r="H349" s="96"/>
      <c r="I349" s="111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>
      <c r="A350" s="96"/>
      <c r="B350" s="96"/>
      <c r="C350" s="96"/>
      <c r="D350" s="96"/>
      <c r="E350" s="96"/>
      <c r="F350" s="96"/>
      <c r="G350" s="96"/>
      <c r="H350" s="96"/>
      <c r="I350" s="111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>
      <c r="A351" s="96"/>
      <c r="B351" s="96"/>
      <c r="C351" s="96"/>
      <c r="D351" s="96"/>
      <c r="E351" s="96"/>
      <c r="F351" s="96"/>
      <c r="G351" s="96"/>
      <c r="H351" s="96"/>
      <c r="I351" s="111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>
      <c r="A352" s="96"/>
      <c r="B352" s="96"/>
      <c r="C352" s="96"/>
      <c r="D352" s="96"/>
      <c r="E352" s="96"/>
      <c r="F352" s="96"/>
      <c r="G352" s="96"/>
      <c r="H352" s="96"/>
      <c r="I352" s="111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>
      <c r="A353" s="96"/>
      <c r="B353" s="96"/>
      <c r="C353" s="96"/>
      <c r="D353" s="96"/>
      <c r="E353" s="96"/>
      <c r="F353" s="96"/>
      <c r="G353" s="96"/>
      <c r="H353" s="96"/>
      <c r="I353" s="111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>
      <c r="A354" s="96"/>
      <c r="B354" s="96"/>
      <c r="C354" s="96"/>
      <c r="D354" s="96"/>
      <c r="E354" s="96"/>
      <c r="F354" s="96"/>
      <c r="G354" s="96"/>
      <c r="H354" s="96"/>
      <c r="I354" s="111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>
      <c r="A355" s="96"/>
      <c r="B355" s="96"/>
      <c r="C355" s="96"/>
      <c r="D355" s="96"/>
      <c r="E355" s="96"/>
      <c r="F355" s="96"/>
      <c r="G355" s="96"/>
      <c r="H355" s="96"/>
      <c r="I355" s="111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>
      <c r="A356" s="96"/>
      <c r="B356" s="96"/>
      <c r="C356" s="96"/>
      <c r="D356" s="96"/>
      <c r="E356" s="96"/>
      <c r="F356" s="96"/>
      <c r="G356" s="96"/>
      <c r="H356" s="96"/>
      <c r="I356" s="111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>
      <c r="A357" s="96"/>
      <c r="B357" s="96"/>
      <c r="C357" s="96"/>
      <c r="D357" s="96"/>
      <c r="E357" s="96"/>
      <c r="F357" s="96"/>
      <c r="G357" s="96"/>
      <c r="H357" s="96"/>
      <c r="I357" s="111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>
      <c r="A358" s="96"/>
      <c r="B358" s="96"/>
      <c r="C358" s="96"/>
      <c r="D358" s="96"/>
      <c r="E358" s="96"/>
      <c r="F358" s="96"/>
      <c r="G358" s="96"/>
      <c r="H358" s="96"/>
      <c r="I358" s="111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>
      <c r="A359" s="96"/>
      <c r="B359" s="96"/>
      <c r="C359" s="96"/>
      <c r="D359" s="96"/>
      <c r="E359" s="96"/>
      <c r="F359" s="96"/>
      <c r="G359" s="96"/>
      <c r="H359" s="96"/>
      <c r="I359" s="111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>
      <c r="A360" s="96"/>
      <c r="B360" s="96"/>
      <c r="C360" s="96"/>
      <c r="D360" s="96"/>
      <c r="E360" s="96"/>
      <c r="F360" s="96"/>
      <c r="G360" s="96"/>
      <c r="H360" s="96"/>
      <c r="I360" s="111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>
      <c r="A361" s="96"/>
      <c r="B361" s="96"/>
      <c r="C361" s="96"/>
      <c r="D361" s="96"/>
      <c r="E361" s="96"/>
      <c r="F361" s="96"/>
      <c r="G361" s="96"/>
      <c r="H361" s="96"/>
      <c r="I361" s="111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>
      <c r="A362" s="96"/>
      <c r="B362" s="96"/>
      <c r="C362" s="96"/>
      <c r="D362" s="96"/>
      <c r="E362" s="96"/>
      <c r="F362" s="96"/>
      <c r="G362" s="96"/>
      <c r="H362" s="96"/>
      <c r="I362" s="111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>
      <c r="A363" s="96"/>
      <c r="B363" s="96"/>
      <c r="C363" s="96"/>
      <c r="D363" s="96"/>
      <c r="E363" s="96"/>
      <c r="F363" s="96"/>
      <c r="G363" s="96"/>
      <c r="H363" s="96"/>
      <c r="I363" s="111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>
      <c r="A364" s="96"/>
      <c r="B364" s="96"/>
      <c r="C364" s="96"/>
      <c r="D364" s="96"/>
      <c r="E364" s="96"/>
      <c r="F364" s="96"/>
      <c r="G364" s="96"/>
      <c r="H364" s="96"/>
      <c r="I364" s="111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>
      <c r="A365" s="96"/>
      <c r="B365" s="96"/>
      <c r="C365" s="96"/>
      <c r="D365" s="96"/>
      <c r="E365" s="96"/>
      <c r="F365" s="96"/>
      <c r="G365" s="96"/>
      <c r="H365" s="96"/>
      <c r="I365" s="111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>
      <c r="A366" s="96"/>
      <c r="B366" s="96"/>
      <c r="C366" s="96"/>
      <c r="D366" s="96"/>
      <c r="E366" s="96"/>
      <c r="F366" s="96"/>
      <c r="G366" s="96"/>
      <c r="H366" s="96"/>
      <c r="I366" s="111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>
      <c r="A367" s="96"/>
      <c r="B367" s="96"/>
      <c r="C367" s="96"/>
      <c r="D367" s="96"/>
      <c r="E367" s="96"/>
      <c r="F367" s="96"/>
      <c r="G367" s="96"/>
      <c r="H367" s="96"/>
      <c r="I367" s="111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>
      <c r="A368" s="96"/>
      <c r="B368" s="96"/>
      <c r="C368" s="96"/>
      <c r="D368" s="96"/>
      <c r="E368" s="96"/>
      <c r="F368" s="96"/>
      <c r="G368" s="96"/>
      <c r="H368" s="96"/>
      <c r="I368" s="111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>
      <c r="A369" s="96"/>
      <c r="B369" s="96"/>
      <c r="C369" s="96"/>
      <c r="D369" s="96"/>
      <c r="E369" s="96"/>
      <c r="F369" s="96"/>
      <c r="G369" s="96"/>
      <c r="H369" s="96"/>
      <c r="I369" s="111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>
      <c r="A370" s="96"/>
      <c r="B370" s="96"/>
      <c r="C370" s="96"/>
      <c r="D370" s="96"/>
      <c r="E370" s="96"/>
      <c r="F370" s="96"/>
      <c r="G370" s="96"/>
      <c r="H370" s="96"/>
      <c r="I370" s="111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>
      <c r="A371" s="96"/>
      <c r="B371" s="96"/>
      <c r="C371" s="96"/>
      <c r="D371" s="96"/>
      <c r="E371" s="96"/>
      <c r="F371" s="96"/>
      <c r="G371" s="96"/>
      <c r="H371" s="96"/>
      <c r="I371" s="111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>
      <c r="A372" s="96"/>
      <c r="B372" s="96"/>
      <c r="C372" s="96"/>
      <c r="D372" s="96"/>
      <c r="E372" s="96"/>
      <c r="F372" s="96"/>
      <c r="G372" s="96"/>
      <c r="H372" s="96"/>
      <c r="I372" s="111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>
      <c r="A373" s="96"/>
      <c r="B373" s="96"/>
      <c r="C373" s="96"/>
      <c r="D373" s="96"/>
      <c r="E373" s="96"/>
      <c r="F373" s="96"/>
      <c r="G373" s="96"/>
      <c r="H373" s="96"/>
      <c r="I373" s="111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>
      <c r="A374" s="96"/>
      <c r="B374" s="96"/>
      <c r="C374" s="96"/>
      <c r="D374" s="96"/>
      <c r="E374" s="96"/>
      <c r="F374" s="96"/>
      <c r="G374" s="96"/>
      <c r="H374" s="96"/>
      <c r="I374" s="111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>
      <c r="A375" s="96"/>
      <c r="B375" s="96"/>
      <c r="C375" s="96"/>
      <c r="D375" s="96"/>
      <c r="E375" s="96"/>
      <c r="F375" s="96"/>
      <c r="G375" s="96"/>
      <c r="H375" s="96"/>
      <c r="I375" s="111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>
      <c r="A376" s="96"/>
      <c r="B376" s="96"/>
      <c r="C376" s="96"/>
      <c r="D376" s="96"/>
      <c r="E376" s="96"/>
      <c r="F376" s="96"/>
      <c r="G376" s="96"/>
      <c r="H376" s="96"/>
      <c r="I376" s="111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>
      <c r="A377" s="96"/>
      <c r="B377" s="96"/>
      <c r="C377" s="96"/>
      <c r="D377" s="96"/>
      <c r="E377" s="96"/>
      <c r="F377" s="96"/>
      <c r="G377" s="96"/>
      <c r="H377" s="96"/>
      <c r="I377" s="111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>
      <c r="A378" s="96"/>
      <c r="B378" s="96"/>
      <c r="C378" s="96"/>
      <c r="D378" s="96"/>
      <c r="E378" s="96"/>
      <c r="F378" s="96"/>
      <c r="G378" s="96"/>
      <c r="H378" s="96"/>
      <c r="I378" s="111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>
      <c r="A379" s="96"/>
      <c r="B379" s="96"/>
      <c r="C379" s="96"/>
      <c r="D379" s="96"/>
      <c r="E379" s="96"/>
      <c r="F379" s="96"/>
      <c r="G379" s="96"/>
      <c r="H379" s="96"/>
      <c r="I379" s="111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>
      <c r="A380" s="96"/>
      <c r="B380" s="96"/>
      <c r="C380" s="96"/>
      <c r="D380" s="96"/>
      <c r="E380" s="96"/>
      <c r="F380" s="96"/>
      <c r="G380" s="96"/>
      <c r="H380" s="96"/>
      <c r="I380" s="111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>
      <c r="A381" s="96"/>
      <c r="B381" s="96"/>
      <c r="C381" s="96"/>
      <c r="D381" s="96"/>
      <c r="E381" s="96"/>
      <c r="F381" s="96"/>
      <c r="G381" s="96"/>
      <c r="H381" s="96"/>
      <c r="I381" s="111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>
      <c r="A382" s="96"/>
      <c r="B382" s="96"/>
      <c r="C382" s="96"/>
      <c r="D382" s="96"/>
      <c r="E382" s="96"/>
      <c r="F382" s="96"/>
      <c r="G382" s="96"/>
      <c r="H382" s="96"/>
      <c r="I382" s="111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>
      <c r="A383" s="96"/>
      <c r="B383" s="96"/>
      <c r="C383" s="96"/>
      <c r="D383" s="96"/>
      <c r="E383" s="96"/>
      <c r="F383" s="96"/>
      <c r="G383" s="96"/>
      <c r="H383" s="96"/>
      <c r="I383" s="111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>
      <c r="A384" s="96"/>
      <c r="B384" s="96"/>
      <c r="C384" s="96"/>
      <c r="D384" s="96"/>
      <c r="E384" s="96"/>
      <c r="F384" s="96"/>
      <c r="G384" s="96"/>
      <c r="H384" s="96"/>
      <c r="I384" s="111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>
      <c r="A385" s="96"/>
      <c r="B385" s="96"/>
      <c r="C385" s="96"/>
      <c r="D385" s="96"/>
      <c r="E385" s="96"/>
      <c r="F385" s="96"/>
      <c r="G385" s="96"/>
      <c r="H385" s="96"/>
      <c r="I385" s="111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>
      <c r="A386" s="96"/>
      <c r="B386" s="96"/>
      <c r="C386" s="96"/>
      <c r="D386" s="96"/>
      <c r="E386" s="96"/>
      <c r="F386" s="96"/>
      <c r="G386" s="96"/>
      <c r="H386" s="96"/>
      <c r="I386" s="111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>
      <c r="A387" s="96"/>
      <c r="B387" s="96"/>
      <c r="C387" s="96"/>
      <c r="D387" s="96"/>
      <c r="E387" s="96"/>
      <c r="F387" s="96"/>
      <c r="G387" s="96"/>
      <c r="H387" s="96"/>
      <c r="I387" s="111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>
      <c r="A388" s="96"/>
      <c r="B388" s="96"/>
      <c r="C388" s="96"/>
      <c r="D388" s="96"/>
      <c r="E388" s="96"/>
      <c r="F388" s="96"/>
      <c r="G388" s="96"/>
      <c r="H388" s="96"/>
      <c r="I388" s="111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>
      <c r="A389" s="96"/>
      <c r="B389" s="96"/>
      <c r="C389" s="96"/>
      <c r="D389" s="96"/>
      <c r="E389" s="96"/>
      <c r="F389" s="96"/>
      <c r="G389" s="96"/>
      <c r="H389" s="96"/>
      <c r="I389" s="111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>
      <c r="A390" s="96"/>
      <c r="B390" s="96"/>
      <c r="C390" s="96"/>
      <c r="D390" s="96"/>
      <c r="E390" s="96"/>
      <c r="F390" s="96"/>
      <c r="G390" s="96"/>
      <c r="H390" s="96"/>
      <c r="I390" s="111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>
      <c r="A391" s="96"/>
      <c r="B391" s="96"/>
      <c r="C391" s="96"/>
      <c r="D391" s="96"/>
      <c r="E391" s="96"/>
      <c r="F391" s="96"/>
      <c r="G391" s="96"/>
      <c r="H391" s="96"/>
      <c r="I391" s="111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>
      <c r="A392" s="96"/>
      <c r="B392" s="96"/>
      <c r="C392" s="96"/>
      <c r="D392" s="96"/>
      <c r="E392" s="96"/>
      <c r="F392" s="96"/>
      <c r="G392" s="96"/>
      <c r="H392" s="96"/>
      <c r="I392" s="111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>
      <c r="A393" s="96"/>
      <c r="B393" s="96"/>
      <c r="C393" s="96"/>
      <c r="D393" s="96"/>
      <c r="E393" s="96"/>
      <c r="F393" s="96"/>
      <c r="G393" s="96"/>
      <c r="H393" s="96"/>
      <c r="I393" s="111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>
      <c r="A394" s="96"/>
      <c r="B394" s="96"/>
      <c r="C394" s="96"/>
      <c r="D394" s="96"/>
      <c r="E394" s="96"/>
      <c r="F394" s="96"/>
      <c r="G394" s="96"/>
      <c r="H394" s="96"/>
      <c r="I394" s="111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>
      <c r="A395" s="96"/>
      <c r="B395" s="96"/>
      <c r="C395" s="96"/>
      <c r="D395" s="96"/>
      <c r="E395" s="96"/>
      <c r="F395" s="96"/>
      <c r="G395" s="96"/>
      <c r="H395" s="96"/>
      <c r="I395" s="111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>
      <c r="A396" s="96"/>
      <c r="B396" s="96"/>
      <c r="C396" s="96"/>
      <c r="D396" s="96"/>
      <c r="E396" s="96"/>
      <c r="F396" s="96"/>
      <c r="G396" s="96"/>
      <c r="H396" s="96"/>
      <c r="I396" s="111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>
      <c r="A397" s="96"/>
      <c r="B397" s="96"/>
      <c r="C397" s="96"/>
      <c r="D397" s="96"/>
      <c r="E397" s="96"/>
      <c r="F397" s="96"/>
      <c r="G397" s="96"/>
      <c r="H397" s="96"/>
      <c r="I397" s="111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>
      <c r="A398" s="96"/>
      <c r="B398" s="96"/>
      <c r="C398" s="96"/>
      <c r="D398" s="96"/>
      <c r="E398" s="96"/>
      <c r="F398" s="96"/>
      <c r="G398" s="96"/>
      <c r="H398" s="96"/>
      <c r="I398" s="111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>
      <c r="A399" s="96"/>
      <c r="B399" s="96"/>
      <c r="C399" s="96"/>
      <c r="D399" s="96"/>
      <c r="E399" s="96"/>
      <c r="F399" s="96"/>
      <c r="G399" s="96"/>
      <c r="H399" s="96"/>
      <c r="I399" s="111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>
      <c r="A400" s="96"/>
      <c r="B400" s="96"/>
      <c r="C400" s="96"/>
      <c r="D400" s="96"/>
      <c r="E400" s="96"/>
      <c r="F400" s="96"/>
      <c r="G400" s="96"/>
      <c r="H400" s="96"/>
      <c r="I400" s="111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>
      <c r="A401" s="96"/>
      <c r="B401" s="96"/>
      <c r="C401" s="96"/>
      <c r="D401" s="96"/>
      <c r="E401" s="96"/>
      <c r="F401" s="96"/>
      <c r="G401" s="96"/>
      <c r="H401" s="96"/>
      <c r="I401" s="111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>
      <c r="A402" s="96"/>
      <c r="B402" s="96"/>
      <c r="C402" s="96"/>
      <c r="D402" s="96"/>
      <c r="E402" s="96"/>
      <c r="F402" s="96"/>
      <c r="G402" s="96"/>
      <c r="H402" s="96"/>
      <c r="I402" s="111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>
      <c r="A403" s="96"/>
      <c r="B403" s="96"/>
      <c r="C403" s="96"/>
      <c r="D403" s="96"/>
      <c r="E403" s="96"/>
      <c r="F403" s="96"/>
      <c r="G403" s="96"/>
      <c r="H403" s="96"/>
      <c r="I403" s="111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>
      <c r="A404" s="96"/>
      <c r="B404" s="96"/>
      <c r="C404" s="96"/>
      <c r="D404" s="96"/>
      <c r="E404" s="96"/>
      <c r="F404" s="96"/>
      <c r="G404" s="96"/>
      <c r="H404" s="96"/>
      <c r="I404" s="111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>
      <c r="A405" s="96"/>
      <c r="B405" s="96"/>
      <c r="C405" s="96"/>
      <c r="D405" s="96"/>
      <c r="E405" s="96"/>
      <c r="F405" s="96"/>
      <c r="G405" s="96"/>
      <c r="H405" s="96"/>
      <c r="I405" s="111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>
      <c r="A406" s="96"/>
      <c r="B406" s="96"/>
      <c r="C406" s="96"/>
      <c r="D406" s="96"/>
      <c r="E406" s="96"/>
      <c r="F406" s="96"/>
      <c r="G406" s="96"/>
      <c r="H406" s="96"/>
      <c r="I406" s="111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>
      <c r="A407" s="96"/>
      <c r="B407" s="96"/>
      <c r="C407" s="96"/>
      <c r="D407" s="96"/>
      <c r="E407" s="96"/>
      <c r="F407" s="96"/>
      <c r="G407" s="96"/>
      <c r="H407" s="96"/>
      <c r="I407" s="111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>
      <c r="A408" s="96"/>
      <c r="B408" s="96"/>
      <c r="C408" s="96"/>
      <c r="D408" s="96"/>
      <c r="E408" s="96"/>
      <c r="F408" s="96"/>
      <c r="G408" s="96"/>
      <c r="H408" s="96"/>
      <c r="I408" s="111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>
      <c r="A409" s="96"/>
      <c r="B409" s="96"/>
      <c r="C409" s="96"/>
      <c r="D409" s="96"/>
      <c r="E409" s="96"/>
      <c r="F409" s="96"/>
      <c r="G409" s="96"/>
      <c r="H409" s="96"/>
      <c r="I409" s="111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>
      <c r="A410" s="96"/>
      <c r="B410" s="96"/>
      <c r="C410" s="96"/>
      <c r="D410" s="96"/>
      <c r="E410" s="96"/>
      <c r="F410" s="96"/>
      <c r="G410" s="96"/>
      <c r="H410" s="96"/>
      <c r="I410" s="111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>
      <c r="A411" s="96"/>
      <c r="B411" s="96"/>
      <c r="C411" s="96"/>
      <c r="D411" s="96"/>
      <c r="E411" s="96"/>
      <c r="F411" s="96"/>
      <c r="G411" s="96"/>
      <c r="H411" s="96"/>
      <c r="I411" s="111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>
      <c r="A412" s="96"/>
      <c r="B412" s="96"/>
      <c r="C412" s="96"/>
      <c r="D412" s="96"/>
      <c r="E412" s="96"/>
      <c r="F412" s="96"/>
      <c r="G412" s="96"/>
      <c r="H412" s="96"/>
      <c r="I412" s="111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>
      <c r="A413" s="96"/>
      <c r="B413" s="96"/>
      <c r="C413" s="96"/>
      <c r="D413" s="96"/>
      <c r="E413" s="96"/>
      <c r="F413" s="96"/>
      <c r="G413" s="96"/>
      <c r="H413" s="96"/>
      <c r="I413" s="111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>
      <c r="A414" s="96"/>
      <c r="B414" s="96"/>
      <c r="C414" s="96"/>
      <c r="D414" s="96"/>
      <c r="E414" s="96"/>
      <c r="F414" s="96"/>
      <c r="G414" s="96"/>
      <c r="H414" s="96"/>
      <c r="I414" s="111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>
      <c r="A415" s="96"/>
      <c r="B415" s="96"/>
      <c r="C415" s="96"/>
      <c r="D415" s="96"/>
      <c r="E415" s="96"/>
      <c r="F415" s="96"/>
      <c r="G415" s="96"/>
      <c r="H415" s="96"/>
      <c r="I415" s="111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>
      <c r="A416" s="96"/>
      <c r="B416" s="96"/>
      <c r="C416" s="96"/>
      <c r="D416" s="96"/>
      <c r="E416" s="96"/>
      <c r="F416" s="96"/>
      <c r="G416" s="96"/>
      <c r="H416" s="96"/>
      <c r="I416" s="111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>
      <c r="A417" s="96"/>
      <c r="B417" s="96"/>
      <c r="C417" s="96"/>
      <c r="D417" s="96"/>
      <c r="E417" s="96"/>
      <c r="F417" s="96"/>
      <c r="G417" s="96"/>
      <c r="H417" s="96"/>
      <c r="I417" s="111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>
      <c r="A418" s="96"/>
      <c r="B418" s="96"/>
      <c r="C418" s="96"/>
      <c r="D418" s="96"/>
      <c r="E418" s="96"/>
      <c r="F418" s="96"/>
      <c r="G418" s="96"/>
      <c r="H418" s="96"/>
      <c r="I418" s="111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>
      <c r="A419" s="96"/>
      <c r="B419" s="96"/>
      <c r="C419" s="96"/>
      <c r="D419" s="96"/>
      <c r="E419" s="96"/>
      <c r="F419" s="96"/>
      <c r="G419" s="96"/>
      <c r="H419" s="96"/>
      <c r="I419" s="111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>
      <c r="A420" s="96"/>
      <c r="B420" s="96"/>
      <c r="C420" s="96"/>
      <c r="D420" s="96"/>
      <c r="E420" s="96"/>
      <c r="F420" s="96"/>
      <c r="G420" s="96"/>
      <c r="H420" s="96"/>
      <c r="I420" s="111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>
      <c r="A421" s="96"/>
      <c r="B421" s="96"/>
      <c r="C421" s="96"/>
      <c r="D421" s="96"/>
      <c r="E421" s="96"/>
      <c r="F421" s="96"/>
      <c r="G421" s="96"/>
      <c r="H421" s="96"/>
      <c r="I421" s="111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>
      <c r="A422" s="96"/>
      <c r="B422" s="96"/>
      <c r="C422" s="96"/>
      <c r="D422" s="96"/>
      <c r="E422" s="96"/>
      <c r="F422" s="96"/>
      <c r="G422" s="96"/>
      <c r="H422" s="96"/>
      <c r="I422" s="111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>
      <c r="A423" s="96"/>
      <c r="B423" s="96"/>
      <c r="C423" s="96"/>
      <c r="D423" s="96"/>
      <c r="E423" s="96"/>
      <c r="F423" s="96"/>
      <c r="G423" s="96"/>
      <c r="H423" s="96"/>
      <c r="I423" s="111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>
      <c r="A424" s="96"/>
      <c r="B424" s="96"/>
      <c r="C424" s="96"/>
      <c r="D424" s="96"/>
      <c r="E424" s="96"/>
      <c r="F424" s="96"/>
      <c r="G424" s="96"/>
      <c r="H424" s="96"/>
      <c r="I424" s="111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>
      <c r="A425" s="96"/>
      <c r="B425" s="96"/>
      <c r="C425" s="96"/>
      <c r="D425" s="96"/>
      <c r="E425" s="96"/>
      <c r="F425" s="96"/>
      <c r="G425" s="96"/>
      <c r="H425" s="96"/>
      <c r="I425" s="111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>
      <c r="A426" s="96"/>
      <c r="B426" s="96"/>
      <c r="C426" s="96"/>
      <c r="D426" s="96"/>
      <c r="E426" s="96"/>
      <c r="F426" s="96"/>
      <c r="G426" s="96"/>
      <c r="H426" s="96"/>
      <c r="I426" s="111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>
      <c r="A427" s="96"/>
      <c r="B427" s="96"/>
      <c r="C427" s="96"/>
      <c r="D427" s="96"/>
      <c r="E427" s="96"/>
      <c r="F427" s="96"/>
      <c r="G427" s="96"/>
      <c r="H427" s="96"/>
      <c r="I427" s="111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>
      <c r="A428" s="96"/>
      <c r="B428" s="96"/>
      <c r="C428" s="96"/>
      <c r="D428" s="96"/>
      <c r="E428" s="96"/>
      <c r="F428" s="96"/>
      <c r="G428" s="96"/>
      <c r="H428" s="96"/>
      <c r="I428" s="111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>
      <c r="A429" s="96"/>
      <c r="B429" s="96"/>
      <c r="C429" s="96"/>
      <c r="D429" s="96"/>
      <c r="E429" s="96"/>
      <c r="F429" s="96"/>
      <c r="G429" s="96"/>
      <c r="H429" s="96"/>
      <c r="I429" s="111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>
      <c r="A430" s="96"/>
      <c r="B430" s="96"/>
      <c r="C430" s="96"/>
      <c r="D430" s="96"/>
      <c r="E430" s="96"/>
      <c r="F430" s="96"/>
      <c r="G430" s="96"/>
      <c r="H430" s="96"/>
      <c r="I430" s="111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>
      <c r="A431" s="96"/>
      <c r="B431" s="96"/>
      <c r="C431" s="96"/>
      <c r="D431" s="96"/>
      <c r="E431" s="96"/>
      <c r="F431" s="96"/>
      <c r="G431" s="96"/>
      <c r="H431" s="96"/>
      <c r="I431" s="111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>
      <c r="A432" s="96"/>
      <c r="B432" s="96"/>
      <c r="C432" s="96"/>
      <c r="D432" s="96"/>
      <c r="E432" s="96"/>
      <c r="F432" s="96"/>
      <c r="G432" s="96"/>
      <c r="H432" s="96"/>
      <c r="I432" s="111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>
      <c r="A433" s="96"/>
      <c r="B433" s="96"/>
      <c r="C433" s="96"/>
      <c r="D433" s="96"/>
      <c r="E433" s="96"/>
      <c r="F433" s="96"/>
      <c r="G433" s="96"/>
      <c r="H433" s="96"/>
      <c r="I433" s="111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>
      <c r="A434" s="96"/>
      <c r="B434" s="96"/>
      <c r="C434" s="96"/>
      <c r="D434" s="96"/>
      <c r="E434" s="96"/>
      <c r="F434" s="96"/>
      <c r="G434" s="96"/>
      <c r="H434" s="96"/>
      <c r="I434" s="111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>
      <c r="A435" s="96"/>
      <c r="B435" s="96"/>
      <c r="C435" s="96"/>
      <c r="D435" s="96"/>
      <c r="E435" s="96"/>
      <c r="F435" s="96"/>
      <c r="G435" s="96"/>
      <c r="H435" s="96"/>
      <c r="I435" s="111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>
      <c r="A436" s="96"/>
      <c r="B436" s="96"/>
      <c r="C436" s="96"/>
      <c r="D436" s="96"/>
      <c r="E436" s="96"/>
      <c r="F436" s="96"/>
      <c r="G436" s="96"/>
      <c r="H436" s="96"/>
      <c r="I436" s="111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>
      <c r="A437" s="96"/>
      <c r="B437" s="96"/>
      <c r="C437" s="96"/>
      <c r="D437" s="96"/>
      <c r="E437" s="96"/>
      <c r="F437" s="96"/>
      <c r="G437" s="96"/>
      <c r="H437" s="96"/>
      <c r="I437" s="111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>
      <c r="A438" s="96"/>
      <c r="B438" s="96"/>
      <c r="C438" s="96"/>
      <c r="D438" s="96"/>
      <c r="E438" s="96"/>
      <c r="F438" s="96"/>
      <c r="G438" s="96"/>
      <c r="H438" s="96"/>
      <c r="I438" s="111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>
      <c r="A439" s="96"/>
      <c r="B439" s="96"/>
      <c r="C439" s="96"/>
      <c r="D439" s="96"/>
      <c r="E439" s="96"/>
      <c r="F439" s="96"/>
      <c r="G439" s="96"/>
      <c r="H439" s="96"/>
      <c r="I439" s="111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>
      <c r="A440" s="96"/>
      <c r="B440" s="96"/>
      <c r="C440" s="96"/>
      <c r="D440" s="96"/>
      <c r="E440" s="96"/>
      <c r="F440" s="96"/>
      <c r="G440" s="96"/>
      <c r="H440" s="96"/>
      <c r="I440" s="111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>
      <c r="A441" s="96"/>
      <c r="B441" s="96"/>
      <c r="C441" s="96"/>
      <c r="D441" s="96"/>
      <c r="E441" s="96"/>
      <c r="F441" s="96"/>
      <c r="G441" s="96"/>
      <c r="H441" s="96"/>
      <c r="I441" s="111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>
      <c r="A442" s="96"/>
      <c r="B442" s="96"/>
      <c r="C442" s="96"/>
      <c r="D442" s="96"/>
      <c r="E442" s="96"/>
      <c r="F442" s="96"/>
      <c r="G442" s="96"/>
      <c r="H442" s="96"/>
      <c r="I442" s="111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>
      <c r="A443" s="96"/>
      <c r="B443" s="96"/>
      <c r="C443" s="96"/>
      <c r="D443" s="96"/>
      <c r="E443" s="96"/>
      <c r="F443" s="96"/>
      <c r="G443" s="96"/>
      <c r="H443" s="96"/>
      <c r="I443" s="111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>
      <c r="A444" s="96"/>
      <c r="B444" s="96"/>
      <c r="C444" s="96"/>
      <c r="D444" s="96"/>
      <c r="E444" s="96"/>
      <c r="F444" s="96"/>
      <c r="G444" s="96"/>
      <c r="H444" s="96"/>
      <c r="I444" s="111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>
      <c r="A445" s="96"/>
      <c r="B445" s="96"/>
      <c r="C445" s="96"/>
      <c r="D445" s="96"/>
      <c r="E445" s="96"/>
      <c r="F445" s="96"/>
      <c r="G445" s="96"/>
      <c r="H445" s="96"/>
      <c r="I445" s="111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>
      <c r="A446" s="96"/>
      <c r="B446" s="96"/>
      <c r="C446" s="96"/>
      <c r="D446" s="96"/>
      <c r="E446" s="96"/>
      <c r="F446" s="96"/>
      <c r="G446" s="96"/>
      <c r="H446" s="96"/>
      <c r="I446" s="111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>
      <c r="A447" s="96"/>
      <c r="B447" s="96"/>
      <c r="C447" s="96"/>
      <c r="D447" s="96"/>
      <c r="E447" s="96"/>
      <c r="F447" s="96"/>
      <c r="G447" s="96"/>
      <c r="H447" s="96"/>
      <c r="I447" s="111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>
      <c r="A448" s="96"/>
      <c r="B448" s="96"/>
      <c r="C448" s="96"/>
      <c r="D448" s="96"/>
      <c r="E448" s="96"/>
      <c r="F448" s="96"/>
      <c r="G448" s="96"/>
      <c r="H448" s="96"/>
      <c r="I448" s="111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>
      <c r="A449" s="96"/>
      <c r="B449" s="96"/>
      <c r="C449" s="96"/>
      <c r="D449" s="96"/>
      <c r="E449" s="96"/>
      <c r="F449" s="96"/>
      <c r="G449" s="96"/>
      <c r="H449" s="96"/>
      <c r="I449" s="111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>
      <c r="A450" s="96"/>
      <c r="B450" s="96"/>
      <c r="C450" s="96"/>
      <c r="D450" s="96"/>
      <c r="E450" s="96"/>
      <c r="F450" s="96"/>
      <c r="G450" s="96"/>
      <c r="H450" s="96"/>
      <c r="I450" s="111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>
      <c r="A451" s="96"/>
      <c r="B451" s="96"/>
      <c r="C451" s="96"/>
      <c r="D451" s="96"/>
      <c r="E451" s="96"/>
      <c r="F451" s="96"/>
      <c r="G451" s="96"/>
      <c r="H451" s="96"/>
      <c r="I451" s="111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>
      <c r="A452" s="96"/>
      <c r="B452" s="96"/>
      <c r="C452" s="96"/>
      <c r="D452" s="96"/>
      <c r="E452" s="96"/>
      <c r="F452" s="96"/>
      <c r="G452" s="96"/>
      <c r="H452" s="96"/>
      <c r="I452" s="111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>
      <c r="A453" s="96"/>
      <c r="B453" s="96"/>
      <c r="C453" s="96"/>
      <c r="D453" s="96"/>
      <c r="E453" s="96"/>
      <c r="F453" s="96"/>
      <c r="G453" s="96"/>
      <c r="H453" s="96"/>
      <c r="I453" s="111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>
      <c r="A454" s="96"/>
      <c r="B454" s="96"/>
      <c r="C454" s="96"/>
      <c r="D454" s="96"/>
      <c r="E454" s="96"/>
      <c r="F454" s="96"/>
      <c r="G454" s="96"/>
      <c r="H454" s="96"/>
      <c r="I454" s="111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>
      <c r="A455" s="96"/>
      <c r="B455" s="96"/>
      <c r="C455" s="96"/>
      <c r="D455" s="96"/>
      <c r="E455" s="96"/>
      <c r="F455" s="96"/>
      <c r="G455" s="96"/>
      <c r="H455" s="96"/>
      <c r="I455" s="111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>
      <c r="A456" s="96"/>
      <c r="B456" s="96"/>
      <c r="C456" s="96"/>
      <c r="D456" s="96"/>
      <c r="E456" s="96"/>
      <c r="F456" s="96"/>
      <c r="G456" s="96"/>
      <c r="H456" s="96"/>
      <c r="I456" s="111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>
      <c r="A457" s="96"/>
      <c r="B457" s="96"/>
      <c r="C457" s="96"/>
      <c r="D457" s="96"/>
      <c r="E457" s="96"/>
      <c r="F457" s="96"/>
      <c r="G457" s="96"/>
      <c r="H457" s="96"/>
      <c r="I457" s="111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>
      <c r="A458" s="96"/>
      <c r="B458" s="96"/>
      <c r="C458" s="96"/>
      <c r="D458" s="96"/>
      <c r="E458" s="96"/>
      <c r="F458" s="96"/>
      <c r="G458" s="96"/>
      <c r="H458" s="96"/>
      <c r="I458" s="111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>
      <c r="A459" s="96"/>
      <c r="B459" s="96"/>
      <c r="C459" s="96"/>
      <c r="D459" s="96"/>
      <c r="E459" s="96"/>
      <c r="F459" s="96"/>
      <c r="G459" s="96"/>
      <c r="H459" s="96"/>
      <c r="I459" s="111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>
      <c r="A460" s="96"/>
      <c r="B460" s="96"/>
      <c r="C460" s="96"/>
      <c r="D460" s="96"/>
      <c r="E460" s="96"/>
      <c r="F460" s="96"/>
      <c r="G460" s="96"/>
      <c r="H460" s="96"/>
      <c r="I460" s="111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>
      <c r="A461" s="96"/>
      <c r="B461" s="96"/>
      <c r="C461" s="96"/>
      <c r="D461" s="96"/>
      <c r="E461" s="96"/>
      <c r="F461" s="96"/>
      <c r="G461" s="96"/>
      <c r="H461" s="96"/>
      <c r="I461" s="111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>
      <c r="A462" s="96"/>
      <c r="B462" s="96"/>
      <c r="C462" s="96"/>
      <c r="D462" s="96"/>
      <c r="E462" s="96"/>
      <c r="F462" s="96"/>
      <c r="G462" s="96"/>
      <c r="H462" s="96"/>
      <c r="I462" s="111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>
      <c r="A463" s="96"/>
      <c r="B463" s="96"/>
      <c r="C463" s="96"/>
      <c r="D463" s="96"/>
      <c r="E463" s="96"/>
      <c r="F463" s="96"/>
      <c r="G463" s="96"/>
      <c r="H463" s="96"/>
      <c r="I463" s="111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>
      <c r="A464" s="96"/>
      <c r="B464" s="96"/>
      <c r="C464" s="96"/>
      <c r="D464" s="96"/>
      <c r="E464" s="96"/>
      <c r="F464" s="96"/>
      <c r="G464" s="96"/>
      <c r="H464" s="96"/>
      <c r="I464" s="111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>
      <c r="A465" s="96"/>
      <c r="B465" s="96"/>
      <c r="C465" s="96"/>
      <c r="D465" s="96"/>
      <c r="E465" s="96"/>
      <c r="F465" s="96"/>
      <c r="G465" s="96"/>
      <c r="H465" s="96"/>
      <c r="I465" s="111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>
      <c r="A466" s="96"/>
      <c r="B466" s="96"/>
      <c r="C466" s="96"/>
      <c r="D466" s="96"/>
      <c r="E466" s="96"/>
      <c r="F466" s="96"/>
      <c r="G466" s="96"/>
      <c r="H466" s="96"/>
      <c r="I466" s="111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>
      <c r="A467" s="96"/>
      <c r="B467" s="96"/>
      <c r="C467" s="96"/>
      <c r="D467" s="96"/>
      <c r="E467" s="96"/>
      <c r="F467" s="96"/>
      <c r="G467" s="96"/>
      <c r="H467" s="96"/>
      <c r="I467" s="111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>
      <c r="A468" s="96"/>
      <c r="B468" s="96"/>
      <c r="C468" s="96"/>
      <c r="D468" s="96"/>
      <c r="E468" s="96"/>
      <c r="F468" s="96"/>
      <c r="G468" s="96"/>
      <c r="H468" s="96"/>
      <c r="I468" s="111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>
      <c r="A469" s="96"/>
      <c r="B469" s="96"/>
      <c r="C469" s="96"/>
      <c r="D469" s="96"/>
      <c r="E469" s="96"/>
      <c r="F469" s="96"/>
      <c r="G469" s="96"/>
      <c r="H469" s="96"/>
      <c r="I469" s="111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>
      <c r="A470" s="96"/>
      <c r="B470" s="96"/>
      <c r="C470" s="96"/>
      <c r="D470" s="96"/>
      <c r="E470" s="96"/>
      <c r="F470" s="96"/>
      <c r="G470" s="96"/>
      <c r="H470" s="96"/>
      <c r="I470" s="111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>
      <c r="A471" s="96"/>
      <c r="B471" s="96"/>
      <c r="C471" s="96"/>
      <c r="D471" s="96"/>
      <c r="E471" s="96"/>
      <c r="F471" s="96"/>
      <c r="G471" s="96"/>
      <c r="H471" s="96"/>
      <c r="I471" s="111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>
      <c r="A472" s="96"/>
      <c r="B472" s="96"/>
      <c r="C472" s="96"/>
      <c r="D472" s="96"/>
      <c r="E472" s="96"/>
      <c r="F472" s="96"/>
      <c r="G472" s="96"/>
      <c r="H472" s="96"/>
      <c r="I472" s="111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>
      <c r="A473" s="96"/>
      <c r="B473" s="96"/>
      <c r="C473" s="96"/>
      <c r="D473" s="96"/>
      <c r="E473" s="96"/>
      <c r="F473" s="96"/>
      <c r="G473" s="96"/>
      <c r="H473" s="96"/>
      <c r="I473" s="111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>
      <c r="A474" s="96"/>
      <c r="B474" s="96"/>
      <c r="C474" s="96"/>
      <c r="D474" s="96"/>
      <c r="E474" s="96"/>
      <c r="F474" s="96"/>
      <c r="G474" s="96"/>
      <c r="H474" s="96"/>
      <c r="I474" s="111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>
      <c r="A475" s="96"/>
      <c r="B475" s="96"/>
      <c r="C475" s="96"/>
      <c r="D475" s="96"/>
      <c r="E475" s="96"/>
      <c r="F475" s="96"/>
      <c r="G475" s="96"/>
      <c r="H475" s="96"/>
      <c r="I475" s="111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>
      <c r="A476" s="96"/>
      <c r="B476" s="96"/>
      <c r="C476" s="96"/>
      <c r="D476" s="96"/>
      <c r="E476" s="96"/>
      <c r="F476" s="96"/>
      <c r="G476" s="96"/>
      <c r="H476" s="96"/>
      <c r="I476" s="111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>
      <c r="A477" s="96"/>
      <c r="B477" s="96"/>
      <c r="C477" s="96"/>
      <c r="D477" s="96"/>
      <c r="E477" s="96"/>
      <c r="F477" s="96"/>
      <c r="G477" s="96"/>
      <c r="H477" s="96"/>
      <c r="I477" s="111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>
      <c r="A478" s="96"/>
      <c r="B478" s="96"/>
      <c r="C478" s="96"/>
      <c r="D478" s="96"/>
      <c r="E478" s="96"/>
      <c r="F478" s="96"/>
      <c r="G478" s="96"/>
      <c r="H478" s="96"/>
      <c r="I478" s="111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>
      <c r="A479" s="96"/>
      <c r="B479" s="96"/>
      <c r="C479" s="96"/>
      <c r="D479" s="96"/>
      <c r="E479" s="96"/>
      <c r="F479" s="96"/>
      <c r="G479" s="96"/>
      <c r="H479" s="96"/>
      <c r="I479" s="111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>
      <c r="A480" s="96"/>
      <c r="B480" s="96"/>
      <c r="C480" s="96"/>
      <c r="D480" s="96"/>
      <c r="E480" s="96"/>
      <c r="F480" s="96"/>
      <c r="G480" s="96"/>
      <c r="H480" s="96"/>
      <c r="I480" s="111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>
      <c r="A481" s="96"/>
      <c r="B481" s="96"/>
      <c r="C481" s="96"/>
      <c r="D481" s="96"/>
      <c r="E481" s="96"/>
      <c r="F481" s="96"/>
      <c r="G481" s="96"/>
      <c r="H481" s="96"/>
      <c r="I481" s="111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>
      <c r="A482" s="96"/>
      <c r="B482" s="96"/>
      <c r="C482" s="96"/>
      <c r="D482" s="96"/>
      <c r="E482" s="96"/>
      <c r="F482" s="96"/>
      <c r="G482" s="96"/>
      <c r="H482" s="96"/>
      <c r="I482" s="111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>
      <c r="A483" s="96"/>
      <c r="B483" s="96"/>
      <c r="C483" s="96"/>
      <c r="D483" s="96"/>
      <c r="E483" s="96"/>
      <c r="F483" s="96"/>
      <c r="G483" s="96"/>
      <c r="H483" s="96"/>
      <c r="I483" s="111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>
      <c r="A484" s="96"/>
      <c r="B484" s="96"/>
      <c r="C484" s="96"/>
      <c r="D484" s="96"/>
      <c r="E484" s="96"/>
      <c r="F484" s="96"/>
      <c r="G484" s="96"/>
      <c r="H484" s="96"/>
      <c r="I484" s="111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>
      <c r="A485" s="96"/>
      <c r="B485" s="96"/>
      <c r="C485" s="96"/>
      <c r="D485" s="96"/>
      <c r="E485" s="96"/>
      <c r="F485" s="96"/>
      <c r="G485" s="96"/>
      <c r="H485" s="96"/>
      <c r="I485" s="111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>
      <c r="A486" s="96"/>
      <c r="B486" s="96"/>
      <c r="C486" s="96"/>
      <c r="D486" s="96"/>
      <c r="E486" s="96"/>
      <c r="F486" s="96"/>
      <c r="G486" s="96"/>
      <c r="H486" s="96"/>
      <c r="I486" s="111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>
      <c r="A487" s="96"/>
      <c r="B487" s="96"/>
      <c r="C487" s="96"/>
      <c r="D487" s="96"/>
      <c r="E487" s="96"/>
      <c r="F487" s="96"/>
      <c r="G487" s="96"/>
      <c r="H487" s="96"/>
      <c r="I487" s="111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>
      <c r="A488" s="96"/>
      <c r="B488" s="96"/>
      <c r="C488" s="96"/>
      <c r="D488" s="96"/>
      <c r="E488" s="96"/>
      <c r="F488" s="96"/>
      <c r="G488" s="96"/>
      <c r="H488" s="96"/>
      <c r="I488" s="111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>
      <c r="A489" s="96"/>
      <c r="B489" s="96"/>
      <c r="C489" s="96"/>
      <c r="D489" s="96"/>
      <c r="E489" s="96"/>
      <c r="F489" s="96"/>
      <c r="G489" s="96"/>
      <c r="H489" s="96"/>
      <c r="I489" s="111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>
      <c r="A490" s="96"/>
      <c r="B490" s="96"/>
      <c r="C490" s="96"/>
      <c r="D490" s="96"/>
      <c r="E490" s="96"/>
      <c r="F490" s="96"/>
      <c r="G490" s="96"/>
      <c r="H490" s="96"/>
      <c r="I490" s="111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>
      <c r="A491" s="96"/>
      <c r="B491" s="96"/>
      <c r="C491" s="96"/>
      <c r="D491" s="96"/>
      <c r="E491" s="96"/>
      <c r="F491" s="96"/>
      <c r="G491" s="96"/>
      <c r="H491" s="96"/>
      <c r="I491" s="111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>
      <c r="A492" s="96"/>
      <c r="B492" s="96"/>
      <c r="C492" s="96"/>
      <c r="D492" s="96"/>
      <c r="E492" s="96"/>
      <c r="F492" s="96"/>
      <c r="G492" s="96"/>
      <c r="H492" s="96"/>
      <c r="I492" s="111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>
      <c r="A493" s="96"/>
      <c r="B493" s="96"/>
      <c r="C493" s="96"/>
      <c r="D493" s="96"/>
      <c r="E493" s="96"/>
      <c r="F493" s="96"/>
      <c r="G493" s="96"/>
      <c r="H493" s="96"/>
      <c r="I493" s="111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>
      <c r="A494" s="96"/>
      <c r="B494" s="96"/>
      <c r="C494" s="96"/>
      <c r="D494" s="96"/>
      <c r="E494" s="96"/>
      <c r="F494" s="96"/>
      <c r="G494" s="96"/>
      <c r="H494" s="96"/>
      <c r="I494" s="111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>
      <c r="A495" s="96"/>
      <c r="B495" s="96"/>
      <c r="C495" s="96"/>
      <c r="D495" s="96"/>
      <c r="E495" s="96"/>
      <c r="F495" s="96"/>
      <c r="G495" s="96"/>
      <c r="H495" s="96"/>
      <c r="I495" s="111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>
      <c r="A496" s="96"/>
      <c r="B496" s="96"/>
      <c r="C496" s="96"/>
      <c r="D496" s="96"/>
      <c r="E496" s="96"/>
      <c r="F496" s="96"/>
      <c r="G496" s="96"/>
      <c r="H496" s="96"/>
      <c r="I496" s="111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>
      <c r="A497" s="96"/>
      <c r="B497" s="96"/>
      <c r="C497" s="96"/>
      <c r="D497" s="96"/>
      <c r="E497" s="96"/>
      <c r="F497" s="96"/>
      <c r="G497" s="96"/>
      <c r="H497" s="96"/>
      <c r="I497" s="111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>
      <c r="A498" s="96"/>
      <c r="B498" s="96"/>
      <c r="C498" s="96"/>
      <c r="D498" s="96"/>
      <c r="E498" s="96"/>
      <c r="F498" s="96"/>
      <c r="G498" s="96"/>
      <c r="H498" s="96"/>
      <c r="I498" s="111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>
      <c r="A499" s="96"/>
      <c r="B499" s="96"/>
      <c r="C499" s="96"/>
      <c r="D499" s="96"/>
      <c r="E499" s="96"/>
      <c r="F499" s="96"/>
      <c r="G499" s="96"/>
      <c r="H499" s="96"/>
      <c r="I499" s="111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>
      <c r="A500" s="96"/>
      <c r="B500" s="96"/>
      <c r="C500" s="96"/>
      <c r="D500" s="96"/>
      <c r="E500" s="96"/>
      <c r="F500" s="96"/>
      <c r="G500" s="96"/>
      <c r="H500" s="96"/>
      <c r="I500" s="111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>
      <c r="A501" s="96"/>
      <c r="B501" s="96"/>
      <c r="C501" s="96"/>
      <c r="D501" s="96"/>
      <c r="E501" s="96"/>
      <c r="F501" s="96"/>
      <c r="G501" s="96"/>
      <c r="H501" s="96"/>
      <c r="I501" s="111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>
      <c r="A502" s="96"/>
      <c r="B502" s="96"/>
      <c r="C502" s="96"/>
      <c r="D502" s="96"/>
      <c r="E502" s="96"/>
      <c r="F502" s="96"/>
      <c r="G502" s="96"/>
      <c r="H502" s="96"/>
      <c r="I502" s="111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>
      <c r="A503" s="96"/>
      <c r="B503" s="96"/>
      <c r="C503" s="96"/>
      <c r="D503" s="96"/>
      <c r="E503" s="96"/>
      <c r="F503" s="96"/>
      <c r="G503" s="96"/>
      <c r="H503" s="96"/>
      <c r="I503" s="111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>
      <c r="A504" s="96"/>
      <c r="B504" s="96"/>
      <c r="C504" s="96"/>
      <c r="D504" s="96"/>
      <c r="E504" s="96"/>
      <c r="F504" s="96"/>
      <c r="G504" s="96"/>
      <c r="H504" s="96"/>
      <c r="I504" s="111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>
      <c r="A505" s="96"/>
      <c r="B505" s="96"/>
      <c r="C505" s="96"/>
      <c r="D505" s="96"/>
      <c r="E505" s="96"/>
      <c r="F505" s="96"/>
      <c r="G505" s="96"/>
      <c r="H505" s="96"/>
      <c r="I505" s="111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>
      <c r="A506" s="96"/>
      <c r="B506" s="96"/>
      <c r="C506" s="96"/>
      <c r="D506" s="96"/>
      <c r="E506" s="96"/>
      <c r="F506" s="96"/>
      <c r="G506" s="96"/>
      <c r="H506" s="96"/>
      <c r="I506" s="111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>
      <c r="A507" s="96"/>
      <c r="B507" s="96"/>
      <c r="C507" s="96"/>
      <c r="D507" s="96"/>
      <c r="E507" s="96"/>
      <c r="F507" s="96"/>
      <c r="G507" s="96"/>
      <c r="H507" s="96"/>
      <c r="I507" s="111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>
      <c r="A508" s="96"/>
      <c r="B508" s="96"/>
      <c r="C508" s="96"/>
      <c r="D508" s="96"/>
      <c r="E508" s="96"/>
      <c r="F508" s="96"/>
      <c r="G508" s="96"/>
      <c r="H508" s="96"/>
      <c r="I508" s="111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>
      <c r="A509" s="96"/>
      <c r="B509" s="96"/>
      <c r="C509" s="96"/>
      <c r="D509" s="96"/>
      <c r="E509" s="96"/>
      <c r="F509" s="96"/>
      <c r="G509" s="96"/>
      <c r="H509" s="96"/>
      <c r="I509" s="111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>
      <c r="A510" s="96"/>
      <c r="B510" s="96"/>
      <c r="C510" s="96"/>
      <c r="D510" s="96"/>
      <c r="E510" s="96"/>
      <c r="F510" s="96"/>
      <c r="G510" s="96"/>
      <c r="H510" s="96"/>
      <c r="I510" s="111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>
      <c r="A511" s="96"/>
      <c r="B511" s="96"/>
      <c r="C511" s="96"/>
      <c r="D511" s="96"/>
      <c r="E511" s="96"/>
      <c r="F511" s="96"/>
      <c r="G511" s="96"/>
      <c r="H511" s="96"/>
      <c r="I511" s="111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>
      <c r="A512" s="96"/>
      <c r="B512" s="96"/>
      <c r="C512" s="96"/>
      <c r="D512" s="96"/>
      <c r="E512" s="96"/>
      <c r="F512" s="96"/>
      <c r="G512" s="96"/>
      <c r="H512" s="96"/>
      <c r="I512" s="111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>
      <c r="A513" s="96"/>
      <c r="B513" s="96"/>
      <c r="C513" s="96"/>
      <c r="D513" s="96"/>
      <c r="E513" s="96"/>
      <c r="F513" s="96"/>
      <c r="G513" s="96"/>
      <c r="H513" s="96"/>
      <c r="I513" s="111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>
      <c r="A514" s="96"/>
      <c r="B514" s="96"/>
      <c r="C514" s="96"/>
      <c r="D514" s="96"/>
      <c r="E514" s="96"/>
      <c r="F514" s="96"/>
      <c r="G514" s="96"/>
      <c r="H514" s="96"/>
      <c r="I514" s="111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>
      <c r="A515" s="96"/>
      <c r="B515" s="96"/>
      <c r="C515" s="96"/>
      <c r="D515" s="96"/>
      <c r="E515" s="96"/>
      <c r="F515" s="96"/>
      <c r="G515" s="96"/>
      <c r="H515" s="96"/>
      <c r="I515" s="111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>
      <c r="A516" s="96"/>
      <c r="B516" s="96"/>
      <c r="C516" s="96"/>
      <c r="D516" s="96"/>
      <c r="E516" s="96"/>
      <c r="F516" s="96"/>
      <c r="G516" s="96"/>
      <c r="H516" s="96"/>
      <c r="I516" s="111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>
      <c r="A517" s="96"/>
      <c r="B517" s="96"/>
      <c r="C517" s="96"/>
      <c r="D517" s="96"/>
      <c r="E517" s="96"/>
      <c r="F517" s="96"/>
      <c r="G517" s="96"/>
      <c r="H517" s="96"/>
      <c r="I517" s="111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>
      <c r="A518" s="96"/>
      <c r="B518" s="96"/>
      <c r="C518" s="96"/>
      <c r="D518" s="96"/>
      <c r="E518" s="96"/>
      <c r="F518" s="96"/>
      <c r="G518" s="96"/>
      <c r="H518" s="96"/>
      <c r="I518" s="111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>
      <c r="A519" s="96"/>
      <c r="B519" s="96"/>
      <c r="C519" s="96"/>
      <c r="D519" s="96"/>
      <c r="E519" s="96"/>
      <c r="F519" s="96"/>
      <c r="G519" s="96"/>
      <c r="H519" s="96"/>
      <c r="I519" s="111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>
      <c r="A520" s="96"/>
      <c r="B520" s="96"/>
      <c r="C520" s="96"/>
      <c r="D520" s="96"/>
      <c r="E520" s="96"/>
      <c r="F520" s="96"/>
      <c r="G520" s="96"/>
      <c r="H520" s="96"/>
      <c r="I520" s="111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>
      <c r="A521" s="96"/>
      <c r="B521" s="96"/>
      <c r="C521" s="96"/>
      <c r="D521" s="96"/>
      <c r="E521" s="96"/>
      <c r="F521" s="96"/>
      <c r="G521" s="96"/>
      <c r="H521" s="96"/>
      <c r="I521" s="111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>
      <c r="A522" s="96"/>
      <c r="B522" s="96"/>
      <c r="C522" s="96"/>
      <c r="D522" s="96"/>
      <c r="E522" s="96"/>
      <c r="F522" s="96"/>
      <c r="G522" s="96"/>
      <c r="H522" s="96"/>
      <c r="I522" s="111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>
      <c r="A523" s="96"/>
      <c r="B523" s="96"/>
      <c r="C523" s="96"/>
      <c r="D523" s="96"/>
      <c r="E523" s="96"/>
      <c r="F523" s="96"/>
      <c r="G523" s="96"/>
      <c r="H523" s="96"/>
      <c r="I523" s="111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>
      <c r="A524" s="96"/>
      <c r="B524" s="96"/>
      <c r="C524" s="96"/>
      <c r="D524" s="96"/>
      <c r="E524" s="96"/>
      <c r="F524" s="96"/>
      <c r="G524" s="96"/>
      <c r="H524" s="96"/>
      <c r="I524" s="111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>
      <c r="A525" s="96"/>
      <c r="B525" s="96"/>
      <c r="C525" s="96"/>
      <c r="D525" s="96"/>
      <c r="E525" s="96"/>
      <c r="F525" s="96"/>
      <c r="G525" s="96"/>
      <c r="H525" s="96"/>
      <c r="I525" s="111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>
      <c r="A526" s="96"/>
      <c r="B526" s="96"/>
      <c r="C526" s="96"/>
      <c r="D526" s="96"/>
      <c r="E526" s="96"/>
      <c r="F526" s="96"/>
      <c r="G526" s="96"/>
      <c r="H526" s="96"/>
      <c r="I526" s="111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>
      <c r="A527" s="96"/>
      <c r="B527" s="96"/>
      <c r="C527" s="96"/>
      <c r="D527" s="96"/>
      <c r="E527" s="96"/>
      <c r="F527" s="96"/>
      <c r="G527" s="96"/>
      <c r="H527" s="96"/>
      <c r="I527" s="111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>
      <c r="A528" s="96"/>
      <c r="B528" s="96"/>
      <c r="C528" s="96"/>
      <c r="D528" s="96"/>
      <c r="E528" s="96"/>
      <c r="F528" s="96"/>
      <c r="G528" s="96"/>
      <c r="H528" s="96"/>
      <c r="I528" s="111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>
      <c r="A529" s="96"/>
      <c r="B529" s="96"/>
      <c r="C529" s="96"/>
      <c r="D529" s="96"/>
      <c r="E529" s="96"/>
      <c r="F529" s="96"/>
      <c r="G529" s="96"/>
      <c r="H529" s="96"/>
      <c r="I529" s="111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>
      <c r="A530" s="96"/>
      <c r="B530" s="96"/>
      <c r="C530" s="96"/>
      <c r="D530" s="96"/>
      <c r="E530" s="96"/>
      <c r="F530" s="96"/>
      <c r="G530" s="96"/>
      <c r="H530" s="96"/>
      <c r="I530" s="111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>
      <c r="A531" s="96"/>
      <c r="B531" s="96"/>
      <c r="C531" s="96"/>
      <c r="D531" s="96"/>
      <c r="E531" s="96"/>
      <c r="F531" s="96"/>
      <c r="G531" s="96"/>
      <c r="H531" s="96"/>
      <c r="I531" s="111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>
      <c r="A532" s="96"/>
      <c r="B532" s="96"/>
      <c r="C532" s="96"/>
      <c r="D532" s="96"/>
      <c r="E532" s="96"/>
      <c r="F532" s="96"/>
      <c r="G532" s="96"/>
      <c r="H532" s="96"/>
      <c r="I532" s="111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>
      <c r="A533" s="96"/>
      <c r="B533" s="96"/>
      <c r="C533" s="96"/>
      <c r="D533" s="96"/>
      <c r="E533" s="96"/>
      <c r="F533" s="96"/>
      <c r="G533" s="96"/>
      <c r="H533" s="96"/>
      <c r="I533" s="111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>
      <c r="A534" s="96"/>
      <c r="B534" s="96"/>
      <c r="C534" s="96"/>
      <c r="D534" s="96"/>
      <c r="E534" s="96"/>
      <c r="F534" s="96"/>
      <c r="G534" s="96"/>
      <c r="H534" s="96"/>
      <c r="I534" s="111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>
      <c r="A535" s="96"/>
      <c r="B535" s="96"/>
      <c r="C535" s="96"/>
      <c r="D535" s="96"/>
      <c r="E535" s="96"/>
      <c r="F535" s="96"/>
      <c r="G535" s="96"/>
      <c r="H535" s="96"/>
      <c r="I535" s="111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>
      <c r="A536" s="96"/>
      <c r="B536" s="96"/>
      <c r="C536" s="96"/>
      <c r="D536" s="96"/>
      <c r="E536" s="96"/>
      <c r="F536" s="96"/>
      <c r="G536" s="96"/>
      <c r="H536" s="96"/>
      <c r="I536" s="111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>
      <c r="A537" s="96"/>
      <c r="B537" s="96"/>
      <c r="C537" s="96"/>
      <c r="D537" s="96"/>
      <c r="E537" s="96"/>
      <c r="F537" s="96"/>
      <c r="G537" s="96"/>
      <c r="H537" s="96"/>
      <c r="I537" s="111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>
      <c r="A538" s="96"/>
      <c r="B538" s="96"/>
      <c r="C538" s="96"/>
      <c r="D538" s="96"/>
      <c r="E538" s="96"/>
      <c r="F538" s="96"/>
      <c r="G538" s="96"/>
      <c r="H538" s="96"/>
      <c r="I538" s="111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>
      <c r="A539" s="96"/>
      <c r="B539" s="96"/>
      <c r="C539" s="96"/>
      <c r="D539" s="96"/>
      <c r="E539" s="96"/>
      <c r="F539" s="96"/>
      <c r="G539" s="96"/>
      <c r="H539" s="96"/>
      <c r="I539" s="111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>
      <c r="A540" s="96"/>
      <c r="B540" s="96"/>
      <c r="C540" s="96"/>
      <c r="D540" s="96"/>
      <c r="E540" s="96"/>
      <c r="F540" s="96"/>
      <c r="G540" s="96"/>
      <c r="H540" s="96"/>
      <c r="I540" s="111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>
      <c r="A541" s="96"/>
      <c r="B541" s="96"/>
      <c r="C541" s="96"/>
      <c r="D541" s="96"/>
      <c r="E541" s="96"/>
      <c r="F541" s="96"/>
      <c r="G541" s="96"/>
      <c r="H541" s="96"/>
      <c r="I541" s="111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>
      <c r="A542" s="96"/>
      <c r="B542" s="96"/>
      <c r="C542" s="96"/>
      <c r="D542" s="96"/>
      <c r="E542" s="96"/>
      <c r="F542" s="96"/>
      <c r="G542" s="96"/>
      <c r="H542" s="96"/>
      <c r="I542" s="111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>
      <c r="A543" s="96"/>
      <c r="B543" s="96"/>
      <c r="C543" s="96"/>
      <c r="D543" s="96"/>
      <c r="E543" s="96"/>
      <c r="F543" s="96"/>
      <c r="G543" s="96"/>
      <c r="H543" s="96"/>
      <c r="I543" s="111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>
      <c r="A544" s="96"/>
      <c r="B544" s="96"/>
      <c r="C544" s="96"/>
      <c r="D544" s="96"/>
      <c r="E544" s="96"/>
      <c r="F544" s="96"/>
      <c r="G544" s="96"/>
      <c r="H544" s="96"/>
      <c r="I544" s="111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>
      <c r="A545" s="96"/>
      <c r="B545" s="96"/>
      <c r="C545" s="96"/>
      <c r="D545" s="96"/>
      <c r="E545" s="96"/>
      <c r="F545" s="96"/>
      <c r="G545" s="96"/>
      <c r="H545" s="96"/>
      <c r="I545" s="111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>
      <c r="A546" s="96"/>
      <c r="B546" s="96"/>
      <c r="C546" s="96"/>
      <c r="D546" s="96"/>
      <c r="E546" s="96"/>
      <c r="F546" s="96"/>
      <c r="G546" s="96"/>
      <c r="H546" s="96"/>
      <c r="I546" s="111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>
      <c r="A547" s="96"/>
      <c r="B547" s="96"/>
      <c r="C547" s="96"/>
      <c r="D547" s="96"/>
      <c r="E547" s="96"/>
      <c r="F547" s="96"/>
      <c r="G547" s="96"/>
      <c r="H547" s="96"/>
      <c r="I547" s="111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>
      <c r="A548" s="96"/>
      <c r="B548" s="96"/>
      <c r="C548" s="96"/>
      <c r="D548" s="96"/>
      <c r="E548" s="96"/>
      <c r="F548" s="96"/>
      <c r="G548" s="96"/>
      <c r="H548" s="96"/>
      <c r="I548" s="111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>
      <c r="A549" s="96"/>
      <c r="B549" s="96"/>
      <c r="C549" s="96"/>
      <c r="D549" s="96"/>
      <c r="E549" s="96"/>
      <c r="F549" s="96"/>
      <c r="G549" s="96"/>
      <c r="H549" s="96"/>
      <c r="I549" s="111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>
      <c r="A550" s="96"/>
      <c r="B550" s="96"/>
      <c r="C550" s="96"/>
      <c r="D550" s="96"/>
      <c r="E550" s="96"/>
      <c r="F550" s="96"/>
      <c r="G550" s="96"/>
      <c r="H550" s="96"/>
      <c r="I550" s="111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>
      <c r="A551" s="96"/>
      <c r="B551" s="96"/>
      <c r="C551" s="96"/>
      <c r="D551" s="96"/>
      <c r="E551" s="96"/>
      <c r="F551" s="96"/>
      <c r="G551" s="96"/>
      <c r="H551" s="96"/>
      <c r="I551" s="111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>
      <c r="A552" s="96"/>
      <c r="B552" s="96"/>
      <c r="C552" s="96"/>
      <c r="D552" s="96"/>
      <c r="E552" s="96"/>
      <c r="F552" s="96"/>
      <c r="G552" s="96"/>
      <c r="H552" s="96"/>
      <c r="I552" s="111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>
      <c r="A553" s="96"/>
      <c r="B553" s="96"/>
      <c r="C553" s="96"/>
      <c r="D553" s="96"/>
      <c r="E553" s="96"/>
      <c r="F553" s="96"/>
      <c r="G553" s="96"/>
      <c r="H553" s="96"/>
      <c r="I553" s="111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>
      <c r="A554" s="96"/>
      <c r="B554" s="96"/>
      <c r="C554" s="96"/>
      <c r="D554" s="96"/>
      <c r="E554" s="96"/>
      <c r="F554" s="96"/>
      <c r="G554" s="96"/>
      <c r="H554" s="96"/>
      <c r="I554" s="111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>
      <c r="A555" s="96"/>
      <c r="B555" s="96"/>
      <c r="C555" s="96"/>
      <c r="D555" s="96"/>
      <c r="E555" s="96"/>
      <c r="F555" s="96"/>
      <c r="G555" s="96"/>
      <c r="H555" s="96"/>
      <c r="I555" s="111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>
      <c r="A556" s="96"/>
      <c r="B556" s="96"/>
      <c r="C556" s="96"/>
      <c r="D556" s="96"/>
      <c r="E556" s="96"/>
      <c r="F556" s="96"/>
      <c r="G556" s="96"/>
      <c r="H556" s="96"/>
      <c r="I556" s="111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>
      <c r="A557" s="96"/>
      <c r="B557" s="96"/>
      <c r="C557" s="96"/>
      <c r="D557" s="96"/>
      <c r="E557" s="96"/>
      <c r="F557" s="96"/>
      <c r="G557" s="96"/>
      <c r="H557" s="96"/>
      <c r="I557" s="111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>
      <c r="A558" s="96"/>
      <c r="B558" s="96"/>
      <c r="C558" s="96"/>
      <c r="D558" s="96"/>
      <c r="E558" s="96"/>
      <c r="F558" s="96"/>
      <c r="G558" s="96"/>
      <c r="H558" s="96"/>
      <c r="I558" s="111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>
      <c r="A559" s="96"/>
      <c r="B559" s="96"/>
      <c r="C559" s="96"/>
      <c r="D559" s="96"/>
      <c r="E559" s="96"/>
      <c r="F559" s="96"/>
      <c r="G559" s="96"/>
      <c r="H559" s="96"/>
      <c r="I559" s="111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>
      <c r="A560" s="96"/>
      <c r="B560" s="96"/>
      <c r="C560" s="96"/>
      <c r="D560" s="96"/>
      <c r="E560" s="96"/>
      <c r="F560" s="96"/>
      <c r="G560" s="96"/>
      <c r="H560" s="96"/>
      <c r="I560" s="111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>
      <c r="A561" s="96"/>
      <c r="B561" s="96"/>
      <c r="C561" s="96"/>
      <c r="D561" s="96"/>
      <c r="E561" s="96"/>
      <c r="F561" s="96"/>
      <c r="G561" s="96"/>
      <c r="H561" s="96"/>
      <c r="I561" s="111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>
      <c r="A562" s="96"/>
      <c r="B562" s="96"/>
      <c r="C562" s="96"/>
      <c r="D562" s="96"/>
      <c r="E562" s="96"/>
      <c r="F562" s="96"/>
      <c r="G562" s="96"/>
      <c r="H562" s="96"/>
      <c r="I562" s="111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>
      <c r="A563" s="96"/>
      <c r="B563" s="96"/>
      <c r="C563" s="96"/>
      <c r="D563" s="96"/>
      <c r="E563" s="96"/>
      <c r="F563" s="96"/>
      <c r="G563" s="96"/>
      <c r="H563" s="96"/>
      <c r="I563" s="111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>
      <c r="A564" s="96"/>
      <c r="B564" s="96"/>
      <c r="C564" s="96"/>
      <c r="D564" s="96"/>
      <c r="E564" s="96"/>
      <c r="F564" s="96"/>
      <c r="G564" s="96"/>
      <c r="H564" s="96"/>
      <c r="I564" s="111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>
      <c r="A565" s="96"/>
      <c r="B565" s="96"/>
      <c r="C565" s="96"/>
      <c r="D565" s="96"/>
      <c r="E565" s="96"/>
      <c r="F565" s="96"/>
      <c r="G565" s="96"/>
      <c r="H565" s="96"/>
      <c r="I565" s="111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>
      <c r="A566" s="96"/>
      <c r="B566" s="96"/>
      <c r="C566" s="96"/>
      <c r="D566" s="96"/>
      <c r="E566" s="96"/>
      <c r="F566" s="96"/>
      <c r="G566" s="96"/>
      <c r="H566" s="96"/>
      <c r="I566" s="111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>
      <c r="A567" s="96"/>
      <c r="B567" s="96"/>
      <c r="C567" s="96"/>
      <c r="D567" s="96"/>
      <c r="E567" s="96"/>
      <c r="F567" s="96"/>
      <c r="G567" s="96"/>
      <c r="H567" s="96"/>
      <c r="I567" s="111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>
      <c r="A568" s="96"/>
      <c r="B568" s="96"/>
      <c r="C568" s="96"/>
      <c r="D568" s="96"/>
      <c r="E568" s="96"/>
      <c r="F568" s="96"/>
      <c r="G568" s="96"/>
      <c r="H568" s="96"/>
      <c r="I568" s="111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>
      <c r="A569" s="96"/>
      <c r="B569" s="96"/>
      <c r="C569" s="96"/>
      <c r="D569" s="96"/>
      <c r="E569" s="96"/>
      <c r="F569" s="96"/>
      <c r="G569" s="96"/>
      <c r="H569" s="96"/>
      <c r="I569" s="111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>
      <c r="A570" s="96"/>
      <c r="B570" s="96"/>
      <c r="C570" s="96"/>
      <c r="D570" s="96"/>
      <c r="E570" s="96"/>
      <c r="F570" s="96"/>
      <c r="G570" s="96"/>
      <c r="H570" s="96"/>
      <c r="I570" s="111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>
      <c r="A571" s="96"/>
      <c r="B571" s="96"/>
      <c r="C571" s="96"/>
      <c r="D571" s="96"/>
      <c r="E571" s="96"/>
      <c r="F571" s="96"/>
      <c r="G571" s="96"/>
      <c r="H571" s="96"/>
      <c r="I571" s="111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>
      <c r="A572" s="96"/>
      <c r="B572" s="96"/>
      <c r="C572" s="96"/>
      <c r="D572" s="96"/>
      <c r="E572" s="96"/>
      <c r="F572" s="96"/>
      <c r="G572" s="96"/>
      <c r="H572" s="96"/>
      <c r="I572" s="111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>
      <c r="A573" s="96"/>
      <c r="B573" s="96"/>
      <c r="C573" s="96"/>
      <c r="D573" s="96"/>
      <c r="E573" s="96"/>
      <c r="F573" s="96"/>
      <c r="G573" s="96"/>
      <c r="H573" s="96"/>
      <c r="I573" s="111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>
      <c r="A574" s="96"/>
      <c r="B574" s="96"/>
      <c r="C574" s="96"/>
      <c r="D574" s="96"/>
      <c r="E574" s="96"/>
      <c r="F574" s="96"/>
      <c r="G574" s="96"/>
      <c r="H574" s="96"/>
      <c r="I574" s="111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>
      <c r="A575" s="96"/>
      <c r="B575" s="96"/>
      <c r="C575" s="96"/>
      <c r="D575" s="96"/>
      <c r="E575" s="96"/>
      <c r="F575" s="96"/>
      <c r="G575" s="96"/>
      <c r="H575" s="96"/>
      <c r="I575" s="111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>
      <c r="A576" s="96"/>
      <c r="B576" s="96"/>
      <c r="C576" s="96"/>
      <c r="D576" s="96"/>
      <c r="E576" s="96"/>
      <c r="F576" s="96"/>
      <c r="G576" s="96"/>
      <c r="H576" s="96"/>
      <c r="I576" s="111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>
      <c r="A577" s="96"/>
      <c r="B577" s="96"/>
      <c r="C577" s="96"/>
      <c r="D577" s="96"/>
      <c r="E577" s="96"/>
      <c r="F577" s="96"/>
      <c r="G577" s="96"/>
      <c r="H577" s="96"/>
      <c r="I577" s="111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>
      <c r="A578" s="96"/>
      <c r="B578" s="96"/>
      <c r="C578" s="96"/>
      <c r="D578" s="96"/>
      <c r="E578" s="96"/>
      <c r="F578" s="96"/>
      <c r="G578" s="96"/>
      <c r="H578" s="96"/>
      <c r="I578" s="111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>
      <c r="A579" s="96"/>
      <c r="B579" s="96"/>
      <c r="C579" s="96"/>
      <c r="D579" s="96"/>
      <c r="E579" s="96"/>
      <c r="F579" s="96"/>
      <c r="G579" s="96"/>
      <c r="H579" s="96"/>
      <c r="I579" s="111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>
      <c r="A580" s="96"/>
      <c r="B580" s="96"/>
      <c r="C580" s="96"/>
      <c r="D580" s="96"/>
      <c r="E580" s="96"/>
      <c r="F580" s="96"/>
      <c r="G580" s="96"/>
      <c r="H580" s="96"/>
      <c r="I580" s="111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>
      <c r="A581" s="96"/>
      <c r="B581" s="96"/>
      <c r="C581" s="96"/>
      <c r="D581" s="96"/>
      <c r="E581" s="96"/>
      <c r="F581" s="96"/>
      <c r="G581" s="96"/>
      <c r="H581" s="96"/>
      <c r="I581" s="111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>
      <c r="A582" s="96"/>
      <c r="B582" s="96"/>
      <c r="C582" s="96"/>
      <c r="D582" s="96"/>
      <c r="E582" s="96"/>
      <c r="F582" s="96"/>
      <c r="G582" s="96"/>
      <c r="H582" s="96"/>
      <c r="I582" s="111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>
      <c r="A583" s="96"/>
      <c r="B583" s="96"/>
      <c r="C583" s="96"/>
      <c r="D583" s="96"/>
      <c r="E583" s="96"/>
      <c r="F583" s="96"/>
      <c r="G583" s="96"/>
      <c r="H583" s="96"/>
      <c r="I583" s="111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>
      <c r="A584" s="96"/>
      <c r="B584" s="96"/>
      <c r="C584" s="96"/>
      <c r="D584" s="96"/>
      <c r="E584" s="96"/>
      <c r="F584" s="96"/>
      <c r="G584" s="96"/>
      <c r="H584" s="96"/>
      <c r="I584" s="111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>
      <c r="A585" s="96"/>
      <c r="B585" s="96"/>
      <c r="C585" s="96"/>
      <c r="D585" s="96"/>
      <c r="E585" s="96"/>
      <c r="F585" s="96"/>
      <c r="G585" s="96"/>
      <c r="H585" s="96"/>
      <c r="I585" s="111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>
      <c r="A586" s="96"/>
      <c r="B586" s="96"/>
      <c r="C586" s="96"/>
      <c r="D586" s="96"/>
      <c r="E586" s="96"/>
      <c r="F586" s="96"/>
      <c r="G586" s="96"/>
      <c r="H586" s="96"/>
      <c r="I586" s="111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>
      <c r="A587" s="96"/>
      <c r="B587" s="96"/>
      <c r="C587" s="96"/>
      <c r="D587" s="96"/>
      <c r="E587" s="96"/>
      <c r="F587" s="96"/>
      <c r="G587" s="96"/>
      <c r="H587" s="96"/>
      <c r="I587" s="111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>
      <c r="A588" s="96"/>
      <c r="B588" s="96"/>
      <c r="C588" s="96"/>
      <c r="D588" s="96"/>
      <c r="E588" s="96"/>
      <c r="F588" s="96"/>
      <c r="G588" s="96"/>
      <c r="H588" s="96"/>
      <c r="I588" s="111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>
      <c r="A589" s="96"/>
      <c r="B589" s="96"/>
      <c r="C589" s="96"/>
      <c r="D589" s="96"/>
      <c r="E589" s="96"/>
      <c r="F589" s="96"/>
      <c r="G589" s="96"/>
      <c r="H589" s="96"/>
      <c r="I589" s="111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>
      <c r="A590" s="96"/>
      <c r="B590" s="96"/>
      <c r="C590" s="96"/>
      <c r="D590" s="96"/>
      <c r="E590" s="96"/>
      <c r="F590" s="96"/>
      <c r="G590" s="96"/>
      <c r="H590" s="96"/>
      <c r="I590" s="111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>
      <c r="A591" s="96"/>
      <c r="B591" s="96"/>
      <c r="C591" s="96"/>
      <c r="D591" s="96"/>
      <c r="E591" s="96"/>
      <c r="F591" s="96"/>
      <c r="G591" s="96"/>
      <c r="H591" s="96"/>
      <c r="I591" s="111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>
      <c r="A592" s="96"/>
      <c r="B592" s="96"/>
      <c r="C592" s="96"/>
      <c r="D592" s="96"/>
      <c r="E592" s="96"/>
      <c r="F592" s="96"/>
      <c r="G592" s="96"/>
      <c r="H592" s="96"/>
      <c r="I592" s="111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>
      <c r="A593" s="96"/>
      <c r="B593" s="96"/>
      <c r="C593" s="96"/>
      <c r="D593" s="96"/>
      <c r="E593" s="96"/>
      <c r="F593" s="96"/>
      <c r="G593" s="96"/>
      <c r="H593" s="96"/>
      <c r="I593" s="111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>
      <c r="A594" s="96"/>
      <c r="B594" s="96"/>
      <c r="C594" s="96"/>
      <c r="D594" s="96"/>
      <c r="E594" s="96"/>
      <c r="F594" s="96"/>
      <c r="G594" s="96"/>
      <c r="H594" s="96"/>
      <c r="I594" s="111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>
      <c r="A595" s="96"/>
      <c r="B595" s="96"/>
      <c r="C595" s="96"/>
      <c r="D595" s="96"/>
      <c r="E595" s="96"/>
      <c r="F595" s="96"/>
      <c r="G595" s="96"/>
      <c r="H595" s="96"/>
      <c r="I595" s="111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>
      <c r="A596" s="96"/>
      <c r="B596" s="96"/>
      <c r="C596" s="96"/>
      <c r="D596" s="96"/>
      <c r="E596" s="96"/>
      <c r="F596" s="96"/>
      <c r="G596" s="96"/>
      <c r="H596" s="96"/>
      <c r="I596" s="111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>
      <c r="A597" s="96"/>
      <c r="B597" s="96"/>
      <c r="C597" s="96"/>
      <c r="D597" s="96"/>
      <c r="E597" s="96"/>
      <c r="F597" s="96"/>
      <c r="G597" s="96"/>
      <c r="H597" s="96"/>
      <c r="I597" s="111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>
      <c r="A598" s="96"/>
      <c r="B598" s="96"/>
      <c r="C598" s="96"/>
      <c r="D598" s="96"/>
      <c r="E598" s="96"/>
      <c r="F598" s="96"/>
      <c r="G598" s="96"/>
      <c r="H598" s="96"/>
      <c r="I598" s="111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>
      <c r="A599" s="96"/>
      <c r="B599" s="96"/>
      <c r="C599" s="96"/>
      <c r="D599" s="96"/>
      <c r="E599" s="96"/>
      <c r="F599" s="96"/>
      <c r="G599" s="96"/>
      <c r="H599" s="96"/>
      <c r="I599" s="111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>
      <c r="A600" s="96"/>
      <c r="B600" s="96"/>
      <c r="C600" s="96"/>
      <c r="D600" s="96"/>
      <c r="E600" s="96"/>
      <c r="F600" s="96"/>
      <c r="G600" s="96"/>
      <c r="H600" s="96"/>
      <c r="I600" s="111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>
      <c r="A601" s="96"/>
      <c r="B601" s="96"/>
      <c r="C601" s="96"/>
      <c r="D601" s="96"/>
      <c r="E601" s="96"/>
      <c r="F601" s="96"/>
      <c r="G601" s="96"/>
      <c r="H601" s="96"/>
      <c r="I601" s="111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>
      <c r="A602" s="96"/>
      <c r="B602" s="96"/>
      <c r="C602" s="96"/>
      <c r="D602" s="96"/>
      <c r="E602" s="96"/>
      <c r="F602" s="96"/>
      <c r="G602" s="96"/>
      <c r="H602" s="96"/>
      <c r="I602" s="111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>
      <c r="A603" s="96"/>
      <c r="B603" s="96"/>
      <c r="C603" s="96"/>
      <c r="D603" s="96"/>
      <c r="E603" s="96"/>
      <c r="F603" s="96"/>
      <c r="G603" s="96"/>
      <c r="H603" s="96"/>
      <c r="I603" s="111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>
      <c r="A604" s="96"/>
      <c r="B604" s="96"/>
      <c r="C604" s="96"/>
      <c r="D604" s="96"/>
      <c r="E604" s="96"/>
      <c r="F604" s="96"/>
      <c r="G604" s="96"/>
      <c r="H604" s="96"/>
      <c r="I604" s="111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>
      <c r="A605" s="96"/>
      <c r="B605" s="96"/>
      <c r="C605" s="96"/>
      <c r="D605" s="96"/>
      <c r="E605" s="96"/>
      <c r="F605" s="96"/>
      <c r="G605" s="96"/>
      <c r="H605" s="96"/>
      <c r="I605" s="111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>
      <c r="A606" s="96"/>
      <c r="B606" s="96"/>
      <c r="C606" s="96"/>
      <c r="D606" s="96"/>
      <c r="E606" s="96"/>
      <c r="F606" s="96"/>
      <c r="G606" s="96"/>
      <c r="H606" s="96"/>
      <c r="I606" s="111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>
      <c r="A607" s="96"/>
      <c r="B607" s="96"/>
      <c r="C607" s="96"/>
      <c r="D607" s="96"/>
      <c r="E607" s="96"/>
      <c r="F607" s="96"/>
      <c r="G607" s="96"/>
      <c r="H607" s="96"/>
      <c r="I607" s="111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>
      <c r="A608" s="96"/>
      <c r="B608" s="96"/>
      <c r="C608" s="96"/>
      <c r="D608" s="96"/>
      <c r="E608" s="96"/>
      <c r="F608" s="96"/>
      <c r="G608" s="96"/>
      <c r="H608" s="96"/>
      <c r="I608" s="111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>
      <c r="A609" s="96"/>
      <c r="B609" s="96"/>
      <c r="C609" s="96"/>
      <c r="D609" s="96"/>
      <c r="E609" s="96"/>
      <c r="F609" s="96"/>
      <c r="G609" s="96"/>
      <c r="H609" s="96"/>
      <c r="I609" s="111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>
      <c r="A610" s="96"/>
      <c r="B610" s="96"/>
      <c r="C610" s="96"/>
      <c r="D610" s="96"/>
      <c r="E610" s="96"/>
      <c r="F610" s="96"/>
      <c r="G610" s="96"/>
      <c r="H610" s="96"/>
      <c r="I610" s="111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>
      <c r="A611" s="96"/>
      <c r="B611" s="96"/>
      <c r="C611" s="96"/>
      <c r="D611" s="96"/>
      <c r="E611" s="96"/>
      <c r="F611" s="96"/>
      <c r="G611" s="96"/>
      <c r="H611" s="96"/>
      <c r="I611" s="111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>
      <c r="A612" s="96"/>
      <c r="B612" s="96"/>
      <c r="C612" s="96"/>
      <c r="D612" s="96"/>
      <c r="E612" s="96"/>
      <c r="F612" s="96"/>
      <c r="G612" s="96"/>
      <c r="H612" s="96"/>
      <c r="I612" s="111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>
      <c r="A613" s="96"/>
      <c r="B613" s="96"/>
      <c r="C613" s="96"/>
      <c r="D613" s="96"/>
      <c r="E613" s="96"/>
      <c r="F613" s="96"/>
      <c r="G613" s="96"/>
      <c r="H613" s="96"/>
      <c r="I613" s="111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>
      <c r="A614" s="96"/>
      <c r="B614" s="96"/>
      <c r="C614" s="96"/>
      <c r="D614" s="96"/>
      <c r="E614" s="96"/>
      <c r="F614" s="96"/>
      <c r="G614" s="96"/>
      <c r="H614" s="96"/>
      <c r="I614" s="111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>
      <c r="A615" s="96"/>
      <c r="B615" s="96"/>
      <c r="C615" s="96"/>
      <c r="D615" s="96"/>
      <c r="E615" s="96"/>
      <c r="F615" s="96"/>
      <c r="G615" s="96"/>
      <c r="H615" s="96"/>
      <c r="I615" s="111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>
      <c r="A616" s="96"/>
      <c r="B616" s="96"/>
      <c r="C616" s="96"/>
      <c r="D616" s="96"/>
      <c r="E616" s="96"/>
      <c r="F616" s="96"/>
      <c r="G616" s="96"/>
      <c r="H616" s="96"/>
      <c r="I616" s="111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>
      <c r="A617" s="96"/>
      <c r="B617" s="96"/>
      <c r="C617" s="96"/>
      <c r="D617" s="96"/>
      <c r="E617" s="96"/>
      <c r="F617" s="96"/>
      <c r="G617" s="96"/>
      <c r="H617" s="96"/>
      <c r="I617" s="111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>
      <c r="A618" s="96"/>
      <c r="B618" s="96"/>
      <c r="C618" s="96"/>
      <c r="D618" s="96"/>
      <c r="E618" s="96"/>
      <c r="F618" s="96"/>
      <c r="G618" s="96"/>
      <c r="H618" s="96"/>
      <c r="I618" s="111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>
      <c r="A619" s="96"/>
      <c r="B619" s="96"/>
      <c r="C619" s="96"/>
      <c r="D619" s="96"/>
      <c r="E619" s="96"/>
      <c r="F619" s="96"/>
      <c r="G619" s="96"/>
      <c r="H619" s="96"/>
      <c r="I619" s="111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>
      <c r="A620" s="96"/>
      <c r="B620" s="96"/>
      <c r="C620" s="96"/>
      <c r="D620" s="96"/>
      <c r="E620" s="96"/>
      <c r="F620" s="96"/>
      <c r="G620" s="96"/>
      <c r="H620" s="96"/>
      <c r="I620" s="111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>
      <c r="A621" s="96"/>
      <c r="B621" s="96"/>
      <c r="C621" s="96"/>
      <c r="D621" s="96"/>
      <c r="E621" s="96"/>
      <c r="F621" s="96"/>
      <c r="G621" s="96"/>
      <c r="H621" s="96"/>
      <c r="I621" s="111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>
      <c r="A622" s="96"/>
      <c r="B622" s="96"/>
      <c r="C622" s="96"/>
      <c r="D622" s="96"/>
      <c r="E622" s="96"/>
      <c r="F622" s="96"/>
      <c r="G622" s="96"/>
      <c r="H622" s="96"/>
      <c r="I622" s="111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>
      <c r="A623" s="96"/>
      <c r="B623" s="96"/>
      <c r="C623" s="96"/>
      <c r="D623" s="96"/>
      <c r="E623" s="96"/>
      <c r="F623" s="96"/>
      <c r="G623" s="96"/>
      <c r="H623" s="96"/>
      <c r="I623" s="111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>
      <c r="A624" s="96"/>
      <c r="B624" s="96"/>
      <c r="C624" s="96"/>
      <c r="D624" s="96"/>
      <c r="E624" s="96"/>
      <c r="F624" s="96"/>
      <c r="G624" s="96"/>
      <c r="H624" s="96"/>
      <c r="I624" s="111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>
      <c r="A625" s="96"/>
      <c r="B625" s="96"/>
      <c r="C625" s="96"/>
      <c r="D625" s="96"/>
      <c r="E625" s="96"/>
      <c r="F625" s="96"/>
      <c r="G625" s="96"/>
      <c r="H625" s="96"/>
      <c r="I625" s="111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>
      <c r="A626" s="96"/>
      <c r="B626" s="96"/>
      <c r="C626" s="96"/>
      <c r="D626" s="96"/>
      <c r="E626" s="96"/>
      <c r="F626" s="96"/>
      <c r="G626" s="96"/>
      <c r="H626" s="96"/>
      <c r="I626" s="111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>
      <c r="A627" s="96"/>
      <c r="B627" s="96"/>
      <c r="C627" s="96"/>
      <c r="D627" s="96"/>
      <c r="E627" s="96"/>
      <c r="F627" s="96"/>
      <c r="G627" s="96"/>
      <c r="H627" s="96"/>
      <c r="I627" s="111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>
      <c r="A628" s="96"/>
      <c r="B628" s="96"/>
      <c r="C628" s="96"/>
      <c r="D628" s="96"/>
      <c r="E628" s="96"/>
      <c r="F628" s="96"/>
      <c r="G628" s="96"/>
      <c r="H628" s="96"/>
      <c r="I628" s="111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>
      <c r="A629" s="96"/>
      <c r="B629" s="96"/>
      <c r="C629" s="96"/>
      <c r="D629" s="96"/>
      <c r="E629" s="96"/>
      <c r="F629" s="96"/>
      <c r="G629" s="96"/>
      <c r="H629" s="96"/>
      <c r="I629" s="111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>
      <c r="A630" s="96"/>
      <c r="B630" s="96"/>
      <c r="C630" s="96"/>
      <c r="D630" s="96"/>
      <c r="E630" s="96"/>
      <c r="F630" s="96"/>
      <c r="G630" s="96"/>
      <c r="H630" s="96"/>
      <c r="I630" s="111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>
      <c r="A631" s="96"/>
      <c r="B631" s="96"/>
      <c r="C631" s="96"/>
      <c r="D631" s="96"/>
      <c r="E631" s="96"/>
      <c r="F631" s="96"/>
      <c r="G631" s="96"/>
      <c r="H631" s="96"/>
      <c r="I631" s="111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>
      <c r="A632" s="96"/>
      <c r="B632" s="96"/>
      <c r="C632" s="96"/>
      <c r="D632" s="96"/>
      <c r="E632" s="96"/>
      <c r="F632" s="96"/>
      <c r="G632" s="96"/>
      <c r="H632" s="96"/>
      <c r="I632" s="111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>
      <c r="A633" s="96"/>
      <c r="B633" s="96"/>
      <c r="C633" s="96"/>
      <c r="D633" s="96"/>
      <c r="E633" s="96"/>
      <c r="F633" s="96"/>
      <c r="G633" s="96"/>
      <c r="H633" s="96"/>
      <c r="I633" s="111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>
      <c r="A634" s="96"/>
      <c r="B634" s="96"/>
      <c r="C634" s="96"/>
      <c r="D634" s="96"/>
      <c r="E634" s="96"/>
      <c r="F634" s="96"/>
      <c r="G634" s="96"/>
      <c r="H634" s="96"/>
      <c r="I634" s="111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>
      <c r="A635" s="96"/>
      <c r="B635" s="96"/>
      <c r="C635" s="96"/>
      <c r="D635" s="96"/>
      <c r="E635" s="96"/>
      <c r="F635" s="96"/>
      <c r="G635" s="96"/>
      <c r="H635" s="96"/>
      <c r="I635" s="111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>
      <c r="A636" s="96"/>
      <c r="B636" s="96"/>
      <c r="C636" s="96"/>
      <c r="D636" s="96"/>
      <c r="E636" s="96"/>
      <c r="F636" s="96"/>
      <c r="G636" s="96"/>
      <c r="H636" s="96"/>
      <c r="I636" s="111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>
      <c r="A637" s="96"/>
      <c r="B637" s="96"/>
      <c r="C637" s="96"/>
      <c r="D637" s="96"/>
      <c r="E637" s="96"/>
      <c r="F637" s="96"/>
      <c r="G637" s="96"/>
      <c r="H637" s="96"/>
      <c r="I637" s="111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>
      <c r="A638" s="96"/>
      <c r="B638" s="96"/>
      <c r="C638" s="96"/>
      <c r="D638" s="96"/>
      <c r="E638" s="96"/>
      <c r="F638" s="96"/>
      <c r="G638" s="96"/>
      <c r="H638" s="96"/>
      <c r="I638" s="111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>
      <c r="A639" s="96"/>
      <c r="B639" s="96"/>
      <c r="C639" s="96"/>
      <c r="D639" s="96"/>
      <c r="E639" s="96"/>
      <c r="F639" s="96"/>
      <c r="G639" s="96"/>
      <c r="H639" s="96"/>
      <c r="I639" s="111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>
      <c r="A640" s="96"/>
      <c r="B640" s="96"/>
      <c r="C640" s="96"/>
      <c r="D640" s="96"/>
      <c r="E640" s="96"/>
      <c r="F640" s="96"/>
      <c r="G640" s="96"/>
      <c r="H640" s="96"/>
      <c r="I640" s="111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>
      <c r="A641" s="96"/>
      <c r="B641" s="96"/>
      <c r="C641" s="96"/>
      <c r="D641" s="96"/>
      <c r="E641" s="96"/>
      <c r="F641" s="96"/>
      <c r="G641" s="96"/>
      <c r="H641" s="96"/>
      <c r="I641" s="111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>
      <c r="A642" s="96"/>
      <c r="B642" s="96"/>
      <c r="C642" s="96"/>
      <c r="D642" s="96"/>
      <c r="E642" s="96"/>
      <c r="F642" s="96"/>
      <c r="G642" s="96"/>
      <c r="H642" s="96"/>
      <c r="I642" s="111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>
      <c r="A643" s="96"/>
      <c r="B643" s="96"/>
      <c r="C643" s="96"/>
      <c r="D643" s="96"/>
      <c r="E643" s="96"/>
      <c r="F643" s="96"/>
      <c r="G643" s="96"/>
      <c r="H643" s="96"/>
      <c r="I643" s="111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>
      <c r="A644" s="96"/>
      <c r="B644" s="96"/>
      <c r="C644" s="96"/>
      <c r="D644" s="96"/>
      <c r="E644" s="96"/>
      <c r="F644" s="96"/>
      <c r="G644" s="96"/>
      <c r="H644" s="96"/>
      <c r="I644" s="111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>
      <c r="A645" s="96"/>
      <c r="B645" s="96"/>
      <c r="C645" s="96"/>
      <c r="D645" s="96"/>
      <c r="E645" s="96"/>
      <c r="F645" s="96"/>
      <c r="G645" s="96"/>
      <c r="H645" s="96"/>
      <c r="I645" s="111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>
      <c r="A646" s="96"/>
      <c r="B646" s="96"/>
      <c r="C646" s="96"/>
      <c r="D646" s="96"/>
      <c r="E646" s="96"/>
      <c r="F646" s="96"/>
      <c r="G646" s="96"/>
      <c r="H646" s="96"/>
      <c r="I646" s="111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>
      <c r="A647" s="96"/>
      <c r="B647" s="96"/>
      <c r="C647" s="96"/>
      <c r="D647" s="96"/>
      <c r="E647" s="96"/>
      <c r="F647" s="96"/>
      <c r="G647" s="96"/>
      <c r="H647" s="96"/>
      <c r="I647" s="111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>
      <c r="A648" s="96"/>
      <c r="B648" s="96"/>
      <c r="C648" s="96"/>
      <c r="D648" s="96"/>
      <c r="E648" s="96"/>
      <c r="F648" s="96"/>
      <c r="G648" s="96"/>
      <c r="H648" s="96"/>
      <c r="I648" s="111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>
      <c r="A649" s="96"/>
      <c r="B649" s="96"/>
      <c r="C649" s="96"/>
      <c r="D649" s="96"/>
      <c r="E649" s="96"/>
      <c r="F649" s="96"/>
      <c r="G649" s="96"/>
      <c r="H649" s="96"/>
      <c r="I649" s="111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>
      <c r="A650" s="96"/>
      <c r="B650" s="96"/>
      <c r="C650" s="96"/>
      <c r="D650" s="96"/>
      <c r="E650" s="96"/>
      <c r="F650" s="96"/>
      <c r="G650" s="96"/>
      <c r="H650" s="96"/>
      <c r="I650" s="111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>
      <c r="A651" s="96"/>
      <c r="B651" s="96"/>
      <c r="C651" s="96"/>
      <c r="D651" s="96"/>
      <c r="E651" s="96"/>
      <c r="F651" s="96"/>
      <c r="G651" s="96"/>
      <c r="H651" s="96"/>
      <c r="I651" s="111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>
      <c r="A652" s="96"/>
      <c r="B652" s="96"/>
      <c r="C652" s="96"/>
      <c r="D652" s="96"/>
      <c r="E652" s="96"/>
      <c r="F652" s="96"/>
      <c r="G652" s="96"/>
      <c r="H652" s="96"/>
      <c r="I652" s="111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>
      <c r="A653" s="96"/>
      <c r="B653" s="96"/>
      <c r="C653" s="96"/>
      <c r="D653" s="96"/>
      <c r="E653" s="96"/>
      <c r="F653" s="96"/>
      <c r="G653" s="96"/>
      <c r="H653" s="96"/>
      <c r="I653" s="111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>
      <c r="A654" s="96"/>
      <c r="B654" s="96"/>
      <c r="C654" s="96"/>
      <c r="D654" s="96"/>
      <c r="E654" s="96"/>
      <c r="F654" s="96"/>
      <c r="G654" s="96"/>
      <c r="H654" s="96"/>
      <c r="I654" s="111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>
      <c r="A655" s="96"/>
      <c r="B655" s="96"/>
      <c r="C655" s="96"/>
      <c r="D655" s="96"/>
      <c r="E655" s="96"/>
      <c r="F655" s="96"/>
      <c r="G655" s="96"/>
      <c r="H655" s="96"/>
      <c r="I655" s="111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>
      <c r="A656" s="96"/>
      <c r="B656" s="96"/>
      <c r="C656" s="96"/>
      <c r="D656" s="96"/>
      <c r="E656" s="96"/>
      <c r="F656" s="96"/>
      <c r="G656" s="96"/>
      <c r="H656" s="96"/>
      <c r="I656" s="111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>
      <c r="A657" s="96"/>
      <c r="B657" s="96"/>
      <c r="C657" s="96"/>
      <c r="D657" s="96"/>
      <c r="E657" s="96"/>
      <c r="F657" s="96"/>
      <c r="G657" s="96"/>
      <c r="H657" s="96"/>
      <c r="I657" s="111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>
      <c r="A658" s="96"/>
      <c r="B658" s="96"/>
      <c r="C658" s="96"/>
      <c r="D658" s="96"/>
      <c r="E658" s="96"/>
      <c r="F658" s="96"/>
      <c r="G658" s="96"/>
      <c r="H658" s="96"/>
      <c r="I658" s="111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>
      <c r="A659" s="96"/>
      <c r="B659" s="96"/>
      <c r="C659" s="96"/>
      <c r="D659" s="96"/>
      <c r="E659" s="96"/>
      <c r="F659" s="96"/>
      <c r="G659" s="96"/>
      <c r="H659" s="96"/>
      <c r="I659" s="111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>
      <c r="A660" s="96"/>
      <c r="B660" s="96"/>
      <c r="C660" s="96"/>
      <c r="D660" s="96"/>
      <c r="E660" s="96"/>
      <c r="F660" s="96"/>
      <c r="G660" s="96"/>
      <c r="H660" s="96"/>
      <c r="I660" s="111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>
      <c r="A661" s="96"/>
      <c r="B661" s="96"/>
      <c r="C661" s="96"/>
      <c r="D661" s="96"/>
      <c r="E661" s="96"/>
      <c r="F661" s="96"/>
      <c r="G661" s="96"/>
      <c r="H661" s="96"/>
      <c r="I661" s="111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>
      <c r="A662" s="96"/>
      <c r="B662" s="96"/>
      <c r="C662" s="96"/>
      <c r="D662" s="96"/>
      <c r="E662" s="96"/>
      <c r="F662" s="96"/>
      <c r="G662" s="96"/>
      <c r="H662" s="96"/>
      <c r="I662" s="111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>
      <c r="A663" s="96"/>
      <c r="B663" s="96"/>
      <c r="C663" s="96"/>
      <c r="D663" s="96"/>
      <c r="E663" s="96"/>
      <c r="F663" s="96"/>
      <c r="G663" s="96"/>
      <c r="H663" s="96"/>
      <c r="I663" s="111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>
      <c r="A664" s="96"/>
      <c r="B664" s="96"/>
      <c r="C664" s="96"/>
      <c r="D664" s="96"/>
      <c r="E664" s="96"/>
      <c r="F664" s="96"/>
      <c r="G664" s="96"/>
      <c r="H664" s="96"/>
      <c r="I664" s="111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>
      <c r="A665" s="96"/>
      <c r="B665" s="96"/>
      <c r="C665" s="96"/>
      <c r="D665" s="96"/>
      <c r="E665" s="96"/>
      <c r="F665" s="96"/>
      <c r="G665" s="96"/>
      <c r="H665" s="96"/>
      <c r="I665" s="111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>
      <c r="A666" s="96"/>
      <c r="B666" s="96"/>
      <c r="C666" s="96"/>
      <c r="D666" s="96"/>
      <c r="E666" s="96"/>
      <c r="F666" s="96"/>
      <c r="G666" s="96"/>
      <c r="H666" s="96"/>
      <c r="I666" s="111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>
      <c r="A667" s="96"/>
      <c r="B667" s="96"/>
      <c r="C667" s="96"/>
      <c r="D667" s="96"/>
      <c r="E667" s="96"/>
      <c r="F667" s="96"/>
      <c r="G667" s="96"/>
      <c r="H667" s="96"/>
      <c r="I667" s="111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>
      <c r="A668" s="96"/>
      <c r="B668" s="96"/>
      <c r="C668" s="96"/>
      <c r="D668" s="96"/>
      <c r="E668" s="96"/>
      <c r="F668" s="96"/>
      <c r="G668" s="96"/>
      <c r="H668" s="96"/>
      <c r="I668" s="111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>
      <c r="A669" s="96"/>
      <c r="B669" s="96"/>
      <c r="C669" s="96"/>
      <c r="D669" s="96"/>
      <c r="E669" s="96"/>
      <c r="F669" s="96"/>
      <c r="G669" s="96"/>
      <c r="H669" s="96"/>
      <c r="I669" s="111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>
      <c r="A670" s="96"/>
      <c r="B670" s="96"/>
      <c r="C670" s="96"/>
      <c r="D670" s="96"/>
      <c r="E670" s="96"/>
      <c r="F670" s="96"/>
      <c r="G670" s="96"/>
      <c r="H670" s="96"/>
      <c r="I670" s="111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>
      <c r="A671" s="96"/>
      <c r="B671" s="96"/>
      <c r="C671" s="96"/>
      <c r="D671" s="96"/>
      <c r="E671" s="96"/>
      <c r="F671" s="96"/>
      <c r="G671" s="96"/>
      <c r="H671" s="96"/>
      <c r="I671" s="111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>
      <c r="A672" s="96"/>
      <c r="B672" s="96"/>
      <c r="C672" s="96"/>
      <c r="D672" s="96"/>
      <c r="E672" s="96"/>
      <c r="F672" s="96"/>
      <c r="G672" s="96"/>
      <c r="H672" s="96"/>
      <c r="I672" s="111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>
      <c r="A673" s="96"/>
      <c r="B673" s="96"/>
      <c r="C673" s="96"/>
      <c r="D673" s="96"/>
      <c r="E673" s="96"/>
      <c r="F673" s="96"/>
      <c r="G673" s="96"/>
      <c r="H673" s="96"/>
      <c r="I673" s="111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>
      <c r="A674" s="96"/>
      <c r="B674" s="96"/>
      <c r="C674" s="96"/>
      <c r="D674" s="96"/>
      <c r="E674" s="96"/>
      <c r="F674" s="96"/>
      <c r="G674" s="96"/>
      <c r="H674" s="96"/>
      <c r="I674" s="111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>
      <c r="A675" s="96"/>
      <c r="B675" s="96"/>
      <c r="C675" s="96"/>
      <c r="D675" s="96"/>
      <c r="E675" s="96"/>
      <c r="F675" s="96"/>
      <c r="G675" s="96"/>
      <c r="H675" s="96"/>
      <c r="I675" s="111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>
      <c r="A676" s="96"/>
      <c r="B676" s="96"/>
      <c r="C676" s="96"/>
      <c r="D676" s="96"/>
      <c r="E676" s="96"/>
      <c r="F676" s="96"/>
      <c r="G676" s="96"/>
      <c r="H676" s="96"/>
      <c r="I676" s="111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>
      <c r="A677" s="96"/>
      <c r="B677" s="96"/>
      <c r="C677" s="96"/>
      <c r="D677" s="96"/>
      <c r="E677" s="96"/>
      <c r="F677" s="96"/>
      <c r="G677" s="96"/>
      <c r="H677" s="96"/>
      <c r="I677" s="111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>
      <c r="A678" s="96"/>
      <c r="B678" s="96"/>
      <c r="C678" s="96"/>
      <c r="D678" s="96"/>
      <c r="E678" s="96"/>
      <c r="F678" s="96"/>
      <c r="G678" s="96"/>
      <c r="H678" s="96"/>
      <c r="I678" s="111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>
      <c r="A679" s="96"/>
      <c r="B679" s="96"/>
      <c r="C679" s="96"/>
      <c r="D679" s="96"/>
      <c r="E679" s="96"/>
      <c r="F679" s="96"/>
      <c r="G679" s="96"/>
      <c r="H679" s="96"/>
      <c r="I679" s="111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>
      <c r="A680" s="96"/>
      <c r="B680" s="96"/>
      <c r="C680" s="96"/>
      <c r="D680" s="96"/>
      <c r="E680" s="96"/>
      <c r="F680" s="96"/>
      <c r="G680" s="96"/>
      <c r="H680" s="96"/>
      <c r="I680" s="111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>
      <c r="A681" s="96"/>
      <c r="B681" s="96"/>
      <c r="C681" s="96"/>
      <c r="D681" s="96"/>
      <c r="E681" s="96"/>
      <c r="F681" s="96"/>
      <c r="G681" s="96"/>
      <c r="H681" s="96"/>
      <c r="I681" s="111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>
      <c r="A682" s="96"/>
      <c r="B682" s="96"/>
      <c r="C682" s="96"/>
      <c r="D682" s="96"/>
      <c r="E682" s="96"/>
      <c r="F682" s="96"/>
      <c r="G682" s="96"/>
      <c r="H682" s="96"/>
      <c r="I682" s="111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>
      <c r="A683" s="96"/>
      <c r="B683" s="96"/>
      <c r="C683" s="96"/>
      <c r="D683" s="96"/>
      <c r="E683" s="96"/>
      <c r="F683" s="96"/>
      <c r="G683" s="96"/>
      <c r="H683" s="96"/>
      <c r="I683" s="111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>
      <c r="A684" s="96"/>
      <c r="B684" s="96"/>
      <c r="C684" s="96"/>
      <c r="D684" s="96"/>
      <c r="E684" s="96"/>
      <c r="F684" s="96"/>
      <c r="G684" s="96"/>
      <c r="H684" s="96"/>
      <c r="I684" s="111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>
      <c r="A685" s="96"/>
      <c r="B685" s="96"/>
      <c r="C685" s="96"/>
      <c r="D685" s="96"/>
      <c r="E685" s="96"/>
      <c r="F685" s="96"/>
      <c r="G685" s="96"/>
      <c r="H685" s="96"/>
      <c r="I685" s="111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>
      <c r="A686" s="96"/>
      <c r="B686" s="96"/>
      <c r="C686" s="96"/>
      <c r="D686" s="96"/>
      <c r="E686" s="96"/>
      <c r="F686" s="96"/>
      <c r="G686" s="96"/>
      <c r="H686" s="96"/>
      <c r="I686" s="111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>
      <c r="A687" s="96"/>
      <c r="B687" s="96"/>
      <c r="C687" s="96"/>
      <c r="D687" s="96"/>
      <c r="E687" s="96"/>
      <c r="F687" s="96"/>
      <c r="G687" s="96"/>
      <c r="H687" s="96"/>
      <c r="I687" s="111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>
      <c r="A688" s="96"/>
      <c r="B688" s="96"/>
      <c r="C688" s="96"/>
      <c r="D688" s="96"/>
      <c r="E688" s="96"/>
      <c r="F688" s="96"/>
      <c r="G688" s="96"/>
      <c r="H688" s="96"/>
      <c r="I688" s="111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>
      <c r="A689" s="96"/>
      <c r="B689" s="96"/>
      <c r="C689" s="96"/>
      <c r="D689" s="96"/>
      <c r="E689" s="96"/>
      <c r="F689" s="96"/>
      <c r="G689" s="96"/>
      <c r="H689" s="96"/>
      <c r="I689" s="111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>
      <c r="A690" s="96"/>
      <c r="B690" s="96"/>
      <c r="C690" s="96"/>
      <c r="D690" s="96"/>
      <c r="E690" s="96"/>
      <c r="F690" s="96"/>
      <c r="G690" s="96"/>
      <c r="H690" s="96"/>
      <c r="I690" s="111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>
      <c r="A691" s="96"/>
      <c r="B691" s="96"/>
      <c r="C691" s="96"/>
      <c r="D691" s="96"/>
      <c r="E691" s="96"/>
      <c r="F691" s="96"/>
      <c r="G691" s="96"/>
      <c r="H691" s="96"/>
      <c r="I691" s="111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>
      <c r="A692" s="96"/>
      <c r="B692" s="96"/>
      <c r="C692" s="96"/>
      <c r="D692" s="96"/>
      <c r="E692" s="96"/>
      <c r="F692" s="96"/>
      <c r="G692" s="96"/>
      <c r="H692" s="96"/>
      <c r="I692" s="111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>
      <c r="A693" s="96"/>
      <c r="B693" s="96"/>
      <c r="C693" s="96"/>
      <c r="D693" s="96"/>
      <c r="E693" s="96"/>
      <c r="F693" s="96"/>
      <c r="G693" s="96"/>
      <c r="H693" s="96"/>
      <c r="I693" s="111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>
      <c r="A694" s="96"/>
      <c r="B694" s="96"/>
      <c r="C694" s="96"/>
      <c r="D694" s="96"/>
      <c r="E694" s="96"/>
      <c r="F694" s="96"/>
      <c r="G694" s="96"/>
      <c r="H694" s="96"/>
      <c r="I694" s="111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>
      <c r="A695" s="96"/>
      <c r="B695" s="96"/>
      <c r="C695" s="96"/>
      <c r="D695" s="96"/>
      <c r="E695" s="96"/>
      <c r="F695" s="96"/>
      <c r="G695" s="96"/>
      <c r="H695" s="96"/>
      <c r="I695" s="111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>
      <c r="A696" s="96"/>
      <c r="B696" s="96"/>
      <c r="C696" s="96"/>
      <c r="D696" s="96"/>
      <c r="E696" s="96"/>
      <c r="F696" s="96"/>
      <c r="G696" s="96"/>
      <c r="H696" s="96"/>
      <c r="I696" s="111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>
      <c r="A697" s="96"/>
      <c r="B697" s="96"/>
      <c r="C697" s="96"/>
      <c r="D697" s="96"/>
      <c r="E697" s="96"/>
      <c r="F697" s="96"/>
      <c r="G697" s="96"/>
      <c r="H697" s="96"/>
      <c r="I697" s="111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>
      <c r="A698" s="96"/>
      <c r="B698" s="96"/>
      <c r="C698" s="96"/>
      <c r="D698" s="96"/>
      <c r="E698" s="96"/>
      <c r="F698" s="96"/>
      <c r="G698" s="96"/>
      <c r="H698" s="96"/>
      <c r="I698" s="111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>
      <c r="A699" s="96"/>
      <c r="B699" s="96"/>
      <c r="C699" s="96"/>
      <c r="D699" s="96"/>
      <c r="E699" s="96"/>
      <c r="F699" s="96"/>
      <c r="G699" s="96"/>
      <c r="H699" s="96"/>
      <c r="I699" s="111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>
      <c r="A700" s="96"/>
      <c r="B700" s="96"/>
      <c r="C700" s="96"/>
      <c r="D700" s="96"/>
      <c r="E700" s="96"/>
      <c r="F700" s="96"/>
      <c r="G700" s="96"/>
      <c r="H700" s="96"/>
      <c r="I700" s="111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>
      <c r="A701" s="96"/>
      <c r="B701" s="96"/>
      <c r="C701" s="96"/>
      <c r="D701" s="96"/>
      <c r="E701" s="96"/>
      <c r="F701" s="96"/>
      <c r="G701" s="96"/>
      <c r="H701" s="96"/>
      <c r="I701" s="111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>
      <c r="A702" s="96"/>
      <c r="B702" s="96"/>
      <c r="C702" s="96"/>
      <c r="D702" s="96"/>
      <c r="E702" s="96"/>
      <c r="F702" s="96"/>
      <c r="G702" s="96"/>
      <c r="H702" s="96"/>
      <c r="I702" s="111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>
      <c r="A703" s="96"/>
      <c r="B703" s="96"/>
      <c r="C703" s="96"/>
      <c r="D703" s="96"/>
      <c r="E703" s="96"/>
      <c r="F703" s="96"/>
      <c r="G703" s="96"/>
      <c r="H703" s="96"/>
      <c r="I703" s="111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>
      <c r="A704" s="96"/>
      <c r="B704" s="96"/>
      <c r="C704" s="96"/>
      <c r="D704" s="96"/>
      <c r="E704" s="96"/>
      <c r="F704" s="96"/>
      <c r="G704" s="96"/>
      <c r="H704" s="96"/>
      <c r="I704" s="111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>
      <c r="A705" s="96"/>
      <c r="B705" s="96"/>
      <c r="C705" s="96"/>
      <c r="D705" s="96"/>
      <c r="E705" s="96"/>
      <c r="F705" s="96"/>
      <c r="G705" s="96"/>
      <c r="H705" s="96"/>
      <c r="I705" s="111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>
      <c r="A706" s="96"/>
      <c r="B706" s="96"/>
      <c r="C706" s="96"/>
      <c r="D706" s="96"/>
      <c r="E706" s="96"/>
      <c r="F706" s="96"/>
      <c r="G706" s="96"/>
      <c r="H706" s="96"/>
      <c r="I706" s="111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>
      <c r="A707" s="96"/>
      <c r="B707" s="96"/>
      <c r="C707" s="96"/>
      <c r="D707" s="96"/>
      <c r="E707" s="96"/>
      <c r="F707" s="96"/>
      <c r="G707" s="96"/>
      <c r="H707" s="96"/>
      <c r="I707" s="111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>
      <c r="A708" s="96"/>
      <c r="B708" s="96"/>
      <c r="C708" s="96"/>
      <c r="D708" s="96"/>
      <c r="E708" s="96"/>
      <c r="F708" s="96"/>
      <c r="G708" s="96"/>
      <c r="H708" s="96"/>
      <c r="I708" s="111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>
      <c r="A709" s="96"/>
      <c r="B709" s="96"/>
      <c r="C709" s="96"/>
      <c r="D709" s="96"/>
      <c r="E709" s="96"/>
      <c r="F709" s="96"/>
      <c r="G709" s="96"/>
      <c r="H709" s="96"/>
      <c r="I709" s="111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>
      <c r="A710" s="96"/>
      <c r="B710" s="96"/>
      <c r="C710" s="96"/>
      <c r="D710" s="96"/>
      <c r="E710" s="96"/>
      <c r="F710" s="96"/>
      <c r="G710" s="96"/>
      <c r="H710" s="96"/>
      <c r="I710" s="111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>
      <c r="A711" s="96"/>
      <c r="B711" s="96"/>
      <c r="C711" s="96"/>
      <c r="D711" s="96"/>
      <c r="E711" s="96"/>
      <c r="F711" s="96"/>
      <c r="G711" s="96"/>
      <c r="H711" s="96"/>
      <c r="I711" s="111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>
      <c r="A712" s="96"/>
      <c r="B712" s="96"/>
      <c r="C712" s="96"/>
      <c r="D712" s="96"/>
      <c r="E712" s="96"/>
      <c r="F712" s="96"/>
      <c r="G712" s="96"/>
      <c r="H712" s="96"/>
      <c r="I712" s="111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>
      <c r="A713" s="96"/>
      <c r="B713" s="96"/>
      <c r="C713" s="96"/>
      <c r="D713" s="96"/>
      <c r="E713" s="96"/>
      <c r="F713" s="96"/>
      <c r="G713" s="96"/>
      <c r="H713" s="96"/>
      <c r="I713" s="111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>
      <c r="A714" s="96"/>
      <c r="B714" s="96"/>
      <c r="C714" s="96"/>
      <c r="D714" s="96"/>
      <c r="E714" s="96"/>
      <c r="F714" s="96"/>
      <c r="G714" s="96"/>
      <c r="H714" s="96"/>
      <c r="I714" s="111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>
      <c r="A715" s="96"/>
      <c r="B715" s="96"/>
      <c r="C715" s="96"/>
      <c r="D715" s="96"/>
      <c r="E715" s="96"/>
      <c r="F715" s="96"/>
      <c r="G715" s="96"/>
      <c r="H715" s="96"/>
      <c r="I715" s="111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>
      <c r="A716" s="96"/>
      <c r="B716" s="96"/>
      <c r="C716" s="96"/>
      <c r="D716" s="96"/>
      <c r="E716" s="96"/>
      <c r="F716" s="96"/>
      <c r="G716" s="96"/>
      <c r="H716" s="96"/>
      <c r="I716" s="111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>
      <c r="A717" s="96"/>
      <c r="B717" s="96"/>
      <c r="C717" s="96"/>
      <c r="D717" s="96"/>
      <c r="E717" s="96"/>
      <c r="F717" s="96"/>
      <c r="G717" s="96"/>
      <c r="H717" s="96"/>
      <c r="I717" s="111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>
      <c r="A718" s="96"/>
      <c r="B718" s="96"/>
      <c r="C718" s="96"/>
      <c r="D718" s="96"/>
      <c r="E718" s="96"/>
      <c r="F718" s="96"/>
      <c r="G718" s="96"/>
      <c r="H718" s="96"/>
      <c r="I718" s="111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>
      <c r="A719" s="96"/>
      <c r="B719" s="96"/>
      <c r="C719" s="96"/>
      <c r="D719" s="96"/>
      <c r="E719" s="96"/>
      <c r="F719" s="96"/>
      <c r="G719" s="96"/>
      <c r="H719" s="96"/>
      <c r="I719" s="111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>
      <c r="A720" s="96"/>
      <c r="B720" s="96"/>
      <c r="C720" s="96"/>
      <c r="D720" s="96"/>
      <c r="E720" s="96"/>
      <c r="F720" s="96"/>
      <c r="G720" s="96"/>
      <c r="H720" s="96"/>
      <c r="I720" s="111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>
      <c r="A721" s="96"/>
      <c r="B721" s="96"/>
      <c r="C721" s="96"/>
      <c r="D721" s="96"/>
      <c r="E721" s="96"/>
      <c r="F721" s="96"/>
      <c r="G721" s="96"/>
      <c r="H721" s="96"/>
      <c r="I721" s="111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>
      <c r="A722" s="96"/>
      <c r="B722" s="96"/>
      <c r="C722" s="96"/>
      <c r="D722" s="96"/>
      <c r="E722" s="96"/>
      <c r="F722" s="96"/>
      <c r="G722" s="96"/>
      <c r="H722" s="96"/>
      <c r="I722" s="111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>
      <c r="A723" s="96"/>
      <c r="B723" s="96"/>
      <c r="C723" s="96"/>
      <c r="D723" s="96"/>
      <c r="E723" s="96"/>
      <c r="F723" s="96"/>
      <c r="G723" s="96"/>
      <c r="H723" s="96"/>
      <c r="I723" s="111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>
      <c r="A724" s="96"/>
      <c r="B724" s="96"/>
      <c r="C724" s="96"/>
      <c r="D724" s="96"/>
      <c r="E724" s="96"/>
      <c r="F724" s="96"/>
      <c r="G724" s="96"/>
      <c r="H724" s="96"/>
      <c r="I724" s="111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>
      <c r="A725" s="96"/>
      <c r="B725" s="96"/>
      <c r="C725" s="96"/>
      <c r="D725" s="96"/>
      <c r="E725" s="96"/>
      <c r="F725" s="96"/>
      <c r="G725" s="96"/>
      <c r="H725" s="96"/>
      <c r="I725" s="111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>
      <c r="A726" s="96"/>
      <c r="B726" s="96"/>
      <c r="C726" s="96"/>
      <c r="D726" s="96"/>
      <c r="E726" s="96"/>
      <c r="F726" s="96"/>
      <c r="G726" s="96"/>
      <c r="H726" s="96"/>
      <c r="I726" s="111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>
      <c r="A727" s="96"/>
      <c r="B727" s="96"/>
      <c r="C727" s="96"/>
      <c r="D727" s="96"/>
      <c r="E727" s="96"/>
      <c r="F727" s="96"/>
      <c r="G727" s="96"/>
      <c r="H727" s="96"/>
      <c r="I727" s="111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>
      <c r="A728" s="96"/>
      <c r="B728" s="96"/>
      <c r="C728" s="96"/>
      <c r="D728" s="96"/>
      <c r="E728" s="96"/>
      <c r="F728" s="96"/>
      <c r="G728" s="96"/>
      <c r="H728" s="96"/>
      <c r="I728" s="111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>
      <c r="A729" s="96"/>
      <c r="B729" s="96"/>
      <c r="C729" s="96"/>
      <c r="D729" s="96"/>
      <c r="E729" s="96"/>
      <c r="F729" s="96"/>
      <c r="G729" s="96"/>
      <c r="H729" s="96"/>
      <c r="I729" s="111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>
      <c r="A730" s="96"/>
      <c r="B730" s="96"/>
      <c r="C730" s="96"/>
      <c r="D730" s="96"/>
      <c r="E730" s="96"/>
      <c r="F730" s="96"/>
      <c r="G730" s="96"/>
      <c r="H730" s="96"/>
      <c r="I730" s="111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>
      <c r="A731" s="96"/>
      <c r="B731" s="96"/>
      <c r="C731" s="96"/>
      <c r="D731" s="96"/>
      <c r="E731" s="96"/>
      <c r="F731" s="96"/>
      <c r="G731" s="96"/>
      <c r="H731" s="96"/>
      <c r="I731" s="111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>
      <c r="A732" s="96"/>
      <c r="B732" s="96"/>
      <c r="C732" s="96"/>
      <c r="D732" s="96"/>
      <c r="E732" s="96"/>
      <c r="F732" s="96"/>
      <c r="G732" s="96"/>
      <c r="H732" s="96"/>
      <c r="I732" s="111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>
      <c r="A733" s="96"/>
      <c r="B733" s="96"/>
      <c r="C733" s="96"/>
      <c r="D733" s="96"/>
      <c r="E733" s="96"/>
      <c r="F733" s="96"/>
      <c r="G733" s="96"/>
      <c r="H733" s="96"/>
      <c r="I733" s="111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>
      <c r="A734" s="96"/>
      <c r="B734" s="96"/>
      <c r="C734" s="96"/>
      <c r="D734" s="96"/>
      <c r="E734" s="96"/>
      <c r="F734" s="96"/>
      <c r="G734" s="96"/>
      <c r="H734" s="96"/>
      <c r="I734" s="111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>
      <c r="A735" s="96"/>
      <c r="B735" s="96"/>
      <c r="C735" s="96"/>
      <c r="D735" s="96"/>
      <c r="E735" s="96"/>
      <c r="F735" s="96"/>
      <c r="G735" s="96"/>
      <c r="H735" s="96"/>
      <c r="I735" s="111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>
      <c r="A736" s="96"/>
      <c r="B736" s="96"/>
      <c r="C736" s="96"/>
      <c r="D736" s="96"/>
      <c r="E736" s="96"/>
      <c r="F736" s="96"/>
      <c r="G736" s="96"/>
      <c r="H736" s="96"/>
      <c r="I736" s="111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>
      <c r="A737" s="96"/>
      <c r="B737" s="96"/>
      <c r="C737" s="96"/>
      <c r="D737" s="96"/>
      <c r="E737" s="96"/>
      <c r="F737" s="96"/>
      <c r="G737" s="96"/>
      <c r="H737" s="96"/>
      <c r="I737" s="111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>
      <c r="A738" s="96"/>
      <c r="B738" s="96"/>
      <c r="C738" s="96"/>
      <c r="D738" s="96"/>
      <c r="E738" s="96"/>
      <c r="F738" s="96"/>
      <c r="G738" s="96"/>
      <c r="H738" s="96"/>
      <c r="I738" s="111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>
      <c r="A739" s="96"/>
      <c r="B739" s="96"/>
      <c r="C739" s="96"/>
      <c r="D739" s="96"/>
      <c r="E739" s="96"/>
      <c r="F739" s="96"/>
      <c r="G739" s="96"/>
      <c r="H739" s="96"/>
      <c r="I739" s="111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>
      <c r="A740" s="96"/>
      <c r="B740" s="96"/>
      <c r="C740" s="96"/>
      <c r="D740" s="96"/>
      <c r="E740" s="96"/>
      <c r="F740" s="96"/>
      <c r="G740" s="96"/>
      <c r="H740" s="96"/>
      <c r="I740" s="111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>
      <c r="A741" s="96"/>
      <c r="B741" s="96"/>
      <c r="C741" s="96"/>
      <c r="D741" s="96"/>
      <c r="E741" s="96"/>
      <c r="F741" s="96"/>
      <c r="G741" s="96"/>
      <c r="H741" s="96"/>
      <c r="I741" s="111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>
      <c r="A742" s="96"/>
      <c r="B742" s="96"/>
      <c r="C742" s="96"/>
      <c r="D742" s="96"/>
      <c r="E742" s="96"/>
      <c r="F742" s="96"/>
      <c r="G742" s="96"/>
      <c r="H742" s="96"/>
      <c r="I742" s="111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>
      <c r="A743" s="96"/>
      <c r="B743" s="96"/>
      <c r="C743" s="96"/>
      <c r="D743" s="96"/>
      <c r="E743" s="96"/>
      <c r="F743" s="96"/>
      <c r="G743" s="96"/>
      <c r="H743" s="96"/>
      <c r="I743" s="111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>
      <c r="A744" s="96"/>
      <c r="B744" s="96"/>
      <c r="C744" s="96"/>
      <c r="D744" s="96"/>
      <c r="E744" s="96"/>
      <c r="F744" s="96"/>
      <c r="G744" s="96"/>
      <c r="H744" s="96"/>
      <c r="I744" s="111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>
      <c r="A745" s="96"/>
      <c r="B745" s="96"/>
      <c r="C745" s="96"/>
      <c r="D745" s="96"/>
      <c r="E745" s="96"/>
      <c r="F745" s="96"/>
      <c r="G745" s="96"/>
      <c r="H745" s="96"/>
      <c r="I745" s="111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>
      <c r="A746" s="96"/>
      <c r="B746" s="96"/>
      <c r="C746" s="96"/>
      <c r="D746" s="96"/>
      <c r="E746" s="96"/>
      <c r="F746" s="96"/>
      <c r="G746" s="96"/>
      <c r="H746" s="96"/>
      <c r="I746" s="111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>
      <c r="A747" s="96"/>
      <c r="B747" s="96"/>
      <c r="C747" s="96"/>
      <c r="D747" s="96"/>
      <c r="E747" s="96"/>
      <c r="F747" s="96"/>
      <c r="G747" s="96"/>
      <c r="H747" s="96"/>
      <c r="I747" s="111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>
      <c r="A748" s="96"/>
      <c r="B748" s="96"/>
      <c r="C748" s="96"/>
      <c r="D748" s="96"/>
      <c r="E748" s="96"/>
      <c r="F748" s="96"/>
      <c r="G748" s="96"/>
      <c r="H748" s="96"/>
      <c r="I748" s="111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>
      <c r="A749" s="96"/>
      <c r="B749" s="96"/>
      <c r="C749" s="96"/>
      <c r="D749" s="96"/>
      <c r="E749" s="96"/>
      <c r="F749" s="96"/>
      <c r="G749" s="96"/>
      <c r="H749" s="96"/>
      <c r="I749" s="111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>
      <c r="A750" s="96"/>
      <c r="B750" s="96"/>
      <c r="C750" s="96"/>
      <c r="D750" s="96"/>
      <c r="E750" s="96"/>
      <c r="F750" s="96"/>
      <c r="G750" s="96"/>
      <c r="H750" s="96"/>
      <c r="I750" s="111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>
      <c r="A751" s="96"/>
      <c r="B751" s="96"/>
      <c r="C751" s="96"/>
      <c r="D751" s="96"/>
      <c r="E751" s="96"/>
      <c r="F751" s="96"/>
      <c r="G751" s="96"/>
      <c r="H751" s="96"/>
      <c r="I751" s="111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>
      <c r="A752" s="96"/>
      <c r="B752" s="96"/>
      <c r="C752" s="96"/>
      <c r="D752" s="96"/>
      <c r="E752" s="96"/>
      <c r="F752" s="96"/>
      <c r="G752" s="96"/>
      <c r="H752" s="96"/>
      <c r="I752" s="111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>
      <c r="A753" s="96"/>
      <c r="B753" s="96"/>
      <c r="C753" s="96"/>
      <c r="D753" s="96"/>
      <c r="E753" s="96"/>
      <c r="F753" s="96"/>
      <c r="G753" s="96"/>
      <c r="H753" s="96"/>
      <c r="I753" s="111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>
      <c r="A754" s="96"/>
      <c r="B754" s="96"/>
      <c r="C754" s="96"/>
      <c r="D754" s="96"/>
      <c r="E754" s="96"/>
      <c r="F754" s="96"/>
      <c r="G754" s="96"/>
      <c r="H754" s="96"/>
      <c r="I754" s="111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>
      <c r="A755" s="96"/>
      <c r="B755" s="96"/>
      <c r="C755" s="96"/>
      <c r="D755" s="96"/>
      <c r="E755" s="96"/>
      <c r="F755" s="96"/>
      <c r="G755" s="96"/>
      <c r="H755" s="96"/>
      <c r="I755" s="111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>
      <c r="A756" s="96"/>
      <c r="B756" s="96"/>
      <c r="C756" s="96"/>
      <c r="D756" s="96"/>
      <c r="E756" s="96"/>
      <c r="F756" s="96"/>
      <c r="G756" s="96"/>
      <c r="H756" s="96"/>
      <c r="I756" s="111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>
      <c r="A757" s="96"/>
      <c r="B757" s="96"/>
      <c r="C757" s="96"/>
      <c r="D757" s="96"/>
      <c r="E757" s="96"/>
      <c r="F757" s="96"/>
      <c r="G757" s="96"/>
      <c r="H757" s="96"/>
      <c r="I757" s="111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>
      <c r="A758" s="96"/>
      <c r="B758" s="96"/>
      <c r="C758" s="96"/>
      <c r="D758" s="96"/>
      <c r="E758" s="96"/>
      <c r="F758" s="96"/>
      <c r="G758" s="96"/>
      <c r="H758" s="96"/>
      <c r="I758" s="111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>
      <c r="A759" s="96"/>
      <c r="B759" s="96"/>
      <c r="C759" s="96"/>
      <c r="D759" s="96"/>
      <c r="E759" s="96"/>
      <c r="F759" s="96"/>
      <c r="G759" s="96"/>
      <c r="H759" s="96"/>
      <c r="I759" s="111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>
      <c r="A760" s="96"/>
      <c r="B760" s="96"/>
      <c r="C760" s="96"/>
      <c r="D760" s="96"/>
      <c r="E760" s="96"/>
      <c r="F760" s="96"/>
      <c r="G760" s="96"/>
      <c r="H760" s="96"/>
      <c r="I760" s="111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>
      <c r="A761" s="96"/>
      <c r="B761" s="96"/>
      <c r="C761" s="96"/>
      <c r="D761" s="96"/>
      <c r="E761" s="96"/>
      <c r="F761" s="96"/>
      <c r="G761" s="96"/>
      <c r="H761" s="96"/>
      <c r="I761" s="111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>
      <c r="A762" s="96"/>
      <c r="B762" s="96"/>
      <c r="C762" s="96"/>
      <c r="D762" s="96"/>
      <c r="E762" s="96"/>
      <c r="F762" s="96"/>
      <c r="G762" s="96"/>
      <c r="H762" s="96"/>
      <c r="I762" s="111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>
      <c r="A763" s="96"/>
      <c r="B763" s="96"/>
      <c r="C763" s="96"/>
      <c r="D763" s="96"/>
      <c r="E763" s="96"/>
      <c r="F763" s="96"/>
      <c r="G763" s="96"/>
      <c r="H763" s="96"/>
      <c r="I763" s="111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>
      <c r="A764" s="96"/>
      <c r="B764" s="96"/>
      <c r="C764" s="96"/>
      <c r="D764" s="96"/>
      <c r="E764" s="96"/>
      <c r="F764" s="96"/>
      <c r="G764" s="96"/>
      <c r="H764" s="96"/>
      <c r="I764" s="111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>
      <c r="A765" s="96"/>
      <c r="B765" s="96"/>
      <c r="C765" s="96"/>
      <c r="D765" s="96"/>
      <c r="E765" s="96"/>
      <c r="F765" s="96"/>
      <c r="G765" s="96"/>
      <c r="H765" s="96"/>
      <c r="I765" s="111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>
      <c r="A766" s="96"/>
      <c r="B766" s="96"/>
      <c r="C766" s="96"/>
      <c r="D766" s="96"/>
      <c r="E766" s="96"/>
      <c r="F766" s="96"/>
      <c r="G766" s="96"/>
      <c r="H766" s="96"/>
      <c r="I766" s="111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>
      <c r="A767" s="96"/>
      <c r="B767" s="96"/>
      <c r="C767" s="96"/>
      <c r="D767" s="96"/>
      <c r="E767" s="96"/>
      <c r="F767" s="96"/>
      <c r="G767" s="96"/>
      <c r="H767" s="96"/>
      <c r="I767" s="111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>
      <c r="A768" s="96"/>
      <c r="B768" s="96"/>
      <c r="C768" s="96"/>
      <c r="D768" s="96"/>
      <c r="E768" s="96"/>
      <c r="F768" s="96"/>
      <c r="G768" s="96"/>
      <c r="H768" s="96"/>
      <c r="I768" s="111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>
      <c r="A769" s="96"/>
      <c r="B769" s="96"/>
      <c r="C769" s="96"/>
      <c r="D769" s="96"/>
      <c r="E769" s="96"/>
      <c r="F769" s="96"/>
      <c r="G769" s="96"/>
      <c r="H769" s="96"/>
      <c r="I769" s="111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>
      <c r="A770" s="96"/>
      <c r="B770" s="96"/>
      <c r="C770" s="96"/>
      <c r="D770" s="96"/>
      <c r="E770" s="96"/>
      <c r="F770" s="96"/>
      <c r="G770" s="96"/>
      <c r="H770" s="96"/>
      <c r="I770" s="111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>
      <c r="A771" s="96"/>
      <c r="B771" s="96"/>
      <c r="C771" s="96"/>
      <c r="D771" s="96"/>
      <c r="E771" s="96"/>
      <c r="F771" s="96"/>
      <c r="G771" s="96"/>
      <c r="H771" s="96"/>
      <c r="I771" s="111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>
      <c r="A772" s="96"/>
      <c r="B772" s="96"/>
      <c r="C772" s="96"/>
      <c r="D772" s="96"/>
      <c r="E772" s="96"/>
      <c r="F772" s="96"/>
      <c r="G772" s="96"/>
      <c r="H772" s="96"/>
      <c r="I772" s="111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>
      <c r="A773" s="96"/>
      <c r="B773" s="96"/>
      <c r="C773" s="96"/>
      <c r="D773" s="96"/>
      <c r="E773" s="96"/>
      <c r="F773" s="96"/>
      <c r="G773" s="96"/>
      <c r="H773" s="96"/>
      <c r="I773" s="111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>
      <c r="A774" s="96"/>
      <c r="B774" s="96"/>
      <c r="C774" s="96"/>
      <c r="D774" s="96"/>
      <c r="E774" s="96"/>
      <c r="F774" s="96"/>
      <c r="G774" s="96"/>
      <c r="H774" s="96"/>
      <c r="I774" s="111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>
      <c r="A775" s="96"/>
      <c r="B775" s="96"/>
      <c r="C775" s="96"/>
      <c r="D775" s="96"/>
      <c r="E775" s="96"/>
      <c r="F775" s="96"/>
      <c r="G775" s="96"/>
      <c r="H775" s="96"/>
      <c r="I775" s="111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>
      <c r="A776" s="96"/>
      <c r="B776" s="96"/>
      <c r="C776" s="96"/>
      <c r="D776" s="96"/>
      <c r="E776" s="96"/>
      <c r="F776" s="96"/>
      <c r="G776" s="96"/>
      <c r="H776" s="96"/>
      <c r="I776" s="111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>
      <c r="A777" s="96"/>
      <c r="B777" s="96"/>
      <c r="C777" s="96"/>
      <c r="D777" s="96"/>
      <c r="E777" s="96"/>
      <c r="F777" s="96"/>
      <c r="G777" s="96"/>
      <c r="H777" s="96"/>
      <c r="I777" s="111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>
      <c r="A778" s="96"/>
      <c r="B778" s="96"/>
      <c r="C778" s="96"/>
      <c r="D778" s="96"/>
      <c r="E778" s="96"/>
      <c r="F778" s="96"/>
      <c r="G778" s="96"/>
      <c r="H778" s="96"/>
      <c r="I778" s="111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>
      <c r="A779" s="96"/>
      <c r="B779" s="96"/>
      <c r="C779" s="96"/>
      <c r="D779" s="96"/>
      <c r="E779" s="96"/>
      <c r="F779" s="96"/>
      <c r="G779" s="96"/>
      <c r="H779" s="96"/>
      <c r="I779" s="111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>
      <c r="A780" s="96"/>
      <c r="B780" s="96"/>
      <c r="C780" s="96"/>
      <c r="D780" s="96"/>
      <c r="E780" s="96"/>
      <c r="F780" s="96"/>
      <c r="G780" s="96"/>
      <c r="H780" s="96"/>
      <c r="I780" s="111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>
      <c r="A781" s="96"/>
      <c r="B781" s="96"/>
      <c r="C781" s="96"/>
      <c r="D781" s="96"/>
      <c r="E781" s="96"/>
      <c r="F781" s="96"/>
      <c r="G781" s="96"/>
      <c r="H781" s="96"/>
      <c r="I781" s="111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>
      <c r="A782" s="96"/>
      <c r="B782" s="96"/>
      <c r="C782" s="96"/>
      <c r="D782" s="96"/>
      <c r="E782" s="96"/>
      <c r="F782" s="96"/>
      <c r="G782" s="96"/>
      <c r="H782" s="96"/>
      <c r="I782" s="111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>
      <c r="A783" s="96"/>
      <c r="B783" s="96"/>
      <c r="C783" s="96"/>
      <c r="D783" s="96"/>
      <c r="E783" s="96"/>
      <c r="F783" s="96"/>
      <c r="G783" s="96"/>
      <c r="H783" s="96"/>
      <c r="I783" s="111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>
      <c r="A784" s="96"/>
      <c r="B784" s="96"/>
      <c r="C784" s="96"/>
      <c r="D784" s="96"/>
      <c r="E784" s="96"/>
      <c r="F784" s="96"/>
      <c r="G784" s="96"/>
      <c r="H784" s="96"/>
      <c r="I784" s="111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>
      <c r="A785" s="96"/>
      <c r="B785" s="96"/>
      <c r="C785" s="96"/>
      <c r="D785" s="96"/>
      <c r="E785" s="96"/>
      <c r="F785" s="96"/>
      <c r="G785" s="96"/>
      <c r="H785" s="96"/>
      <c r="I785" s="111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>
      <c r="A786" s="96"/>
      <c r="B786" s="96"/>
      <c r="C786" s="96"/>
      <c r="D786" s="96"/>
      <c r="E786" s="96"/>
      <c r="F786" s="96"/>
      <c r="G786" s="96"/>
      <c r="H786" s="96"/>
      <c r="I786" s="111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>
      <c r="A787" s="96"/>
      <c r="B787" s="96"/>
      <c r="C787" s="96"/>
      <c r="D787" s="96"/>
      <c r="E787" s="96"/>
      <c r="F787" s="96"/>
      <c r="G787" s="96"/>
      <c r="H787" s="96"/>
      <c r="I787" s="111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>
      <c r="A788" s="96"/>
      <c r="B788" s="96"/>
      <c r="C788" s="96"/>
      <c r="D788" s="96"/>
      <c r="E788" s="96"/>
      <c r="F788" s="96"/>
      <c r="G788" s="96"/>
      <c r="H788" s="96"/>
      <c r="I788" s="111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>
      <c r="A789" s="96"/>
      <c r="B789" s="96"/>
      <c r="C789" s="96"/>
      <c r="D789" s="96"/>
      <c r="E789" s="96"/>
      <c r="F789" s="96"/>
      <c r="G789" s="96"/>
      <c r="H789" s="96"/>
      <c r="I789" s="111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>
      <c r="A790" s="96"/>
      <c r="B790" s="96"/>
      <c r="C790" s="96"/>
      <c r="D790" s="96"/>
      <c r="E790" s="96"/>
      <c r="F790" s="96"/>
      <c r="G790" s="96"/>
      <c r="H790" s="96"/>
      <c r="I790" s="111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>
      <c r="A791" s="96"/>
      <c r="B791" s="96"/>
      <c r="C791" s="96"/>
      <c r="D791" s="96"/>
      <c r="E791" s="96"/>
      <c r="F791" s="96"/>
      <c r="G791" s="96"/>
      <c r="H791" s="96"/>
      <c r="I791" s="111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>
      <c r="A792" s="96"/>
      <c r="B792" s="96"/>
      <c r="C792" s="96"/>
      <c r="D792" s="96"/>
      <c r="E792" s="96"/>
      <c r="F792" s="96"/>
      <c r="G792" s="96"/>
      <c r="H792" s="96"/>
      <c r="I792" s="111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>
      <c r="A793" s="96"/>
      <c r="B793" s="96"/>
      <c r="C793" s="96"/>
      <c r="D793" s="96"/>
      <c r="E793" s="96"/>
      <c r="F793" s="96"/>
      <c r="G793" s="96"/>
      <c r="H793" s="96"/>
      <c r="I793" s="111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>
      <c r="A794" s="96"/>
      <c r="B794" s="96"/>
      <c r="C794" s="96"/>
      <c r="D794" s="96"/>
      <c r="E794" s="96"/>
      <c r="F794" s="96"/>
      <c r="G794" s="96"/>
      <c r="H794" s="96"/>
      <c r="I794" s="111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>
      <c r="A795" s="96"/>
      <c r="B795" s="96"/>
      <c r="C795" s="96"/>
      <c r="D795" s="96"/>
      <c r="E795" s="96"/>
      <c r="F795" s="96"/>
      <c r="G795" s="96"/>
      <c r="H795" s="96"/>
      <c r="I795" s="111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>
      <c r="A796" s="96"/>
      <c r="B796" s="96"/>
      <c r="C796" s="96"/>
      <c r="D796" s="96"/>
      <c r="E796" s="96"/>
      <c r="F796" s="96"/>
      <c r="G796" s="96"/>
      <c r="H796" s="96"/>
      <c r="I796" s="111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>
      <c r="A797" s="96"/>
      <c r="B797" s="96"/>
      <c r="C797" s="96"/>
      <c r="D797" s="96"/>
      <c r="E797" s="96"/>
      <c r="F797" s="96"/>
      <c r="G797" s="96"/>
      <c r="H797" s="96"/>
      <c r="I797" s="111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>
      <c r="A798" s="96"/>
      <c r="B798" s="96"/>
      <c r="C798" s="96"/>
      <c r="D798" s="96"/>
      <c r="E798" s="96"/>
      <c r="F798" s="96"/>
      <c r="G798" s="96"/>
      <c r="H798" s="96"/>
      <c r="I798" s="111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>
      <c r="A799" s="96"/>
      <c r="B799" s="96"/>
      <c r="C799" s="96"/>
      <c r="D799" s="96"/>
      <c r="E799" s="96"/>
      <c r="F799" s="96"/>
      <c r="G799" s="96"/>
      <c r="H799" s="96"/>
      <c r="I799" s="111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>
      <c r="A800" s="96"/>
      <c r="B800" s="96"/>
      <c r="C800" s="96"/>
      <c r="D800" s="96"/>
      <c r="E800" s="96"/>
      <c r="F800" s="96"/>
      <c r="G800" s="96"/>
      <c r="H800" s="96"/>
      <c r="I800" s="111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>
      <c r="A801" s="96"/>
      <c r="B801" s="96"/>
      <c r="C801" s="96"/>
      <c r="D801" s="96"/>
      <c r="E801" s="96"/>
      <c r="F801" s="96"/>
      <c r="G801" s="96"/>
      <c r="H801" s="96"/>
      <c r="I801" s="111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>
      <c r="A802" s="96"/>
      <c r="B802" s="96"/>
      <c r="C802" s="96"/>
      <c r="D802" s="96"/>
      <c r="E802" s="96"/>
      <c r="F802" s="96"/>
      <c r="G802" s="96"/>
      <c r="H802" s="96"/>
      <c r="I802" s="111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>
      <c r="A803" s="96"/>
      <c r="B803" s="96"/>
      <c r="C803" s="96"/>
      <c r="D803" s="96"/>
      <c r="E803" s="96"/>
      <c r="F803" s="96"/>
      <c r="G803" s="96"/>
      <c r="H803" s="96"/>
      <c r="I803" s="111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>
      <c r="A804" s="96"/>
      <c r="B804" s="96"/>
      <c r="C804" s="96"/>
      <c r="D804" s="96"/>
      <c r="E804" s="96"/>
      <c r="F804" s="96"/>
      <c r="G804" s="96"/>
      <c r="H804" s="96"/>
      <c r="I804" s="111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>
      <c r="A805" s="96"/>
      <c r="B805" s="96"/>
      <c r="C805" s="96"/>
      <c r="D805" s="96"/>
      <c r="E805" s="96"/>
      <c r="F805" s="96"/>
      <c r="G805" s="96"/>
      <c r="H805" s="96"/>
      <c r="I805" s="111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>
      <c r="A806" s="96"/>
      <c r="B806" s="96"/>
      <c r="C806" s="96"/>
      <c r="D806" s="96"/>
      <c r="E806" s="96"/>
      <c r="F806" s="96"/>
      <c r="G806" s="96"/>
      <c r="H806" s="96"/>
      <c r="I806" s="111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>
      <c r="A807" s="96"/>
      <c r="B807" s="96"/>
      <c r="C807" s="96"/>
      <c r="D807" s="96"/>
      <c r="E807" s="96"/>
      <c r="F807" s="96"/>
      <c r="G807" s="96"/>
      <c r="H807" s="96"/>
      <c r="I807" s="111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>
      <c r="A808" s="96"/>
      <c r="B808" s="96"/>
      <c r="C808" s="96"/>
      <c r="D808" s="96"/>
      <c r="E808" s="96"/>
      <c r="F808" s="96"/>
      <c r="G808" s="96"/>
      <c r="H808" s="96"/>
      <c r="I808" s="111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>
      <c r="A809" s="96"/>
      <c r="B809" s="96"/>
      <c r="C809" s="96"/>
      <c r="D809" s="96"/>
      <c r="E809" s="96"/>
      <c r="F809" s="96"/>
      <c r="G809" s="96"/>
      <c r="H809" s="96"/>
      <c r="I809" s="111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>
      <c r="A810" s="96"/>
      <c r="B810" s="96"/>
      <c r="C810" s="96"/>
      <c r="D810" s="96"/>
      <c r="E810" s="96"/>
      <c r="F810" s="96"/>
      <c r="G810" s="96"/>
      <c r="H810" s="96"/>
      <c r="I810" s="111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>
      <c r="A811" s="96"/>
      <c r="B811" s="96"/>
      <c r="C811" s="96"/>
      <c r="D811" s="96"/>
      <c r="E811" s="96"/>
      <c r="F811" s="96"/>
      <c r="G811" s="96"/>
      <c r="H811" s="96"/>
      <c r="I811" s="111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>
      <c r="A812" s="96"/>
      <c r="B812" s="96"/>
      <c r="C812" s="96"/>
      <c r="D812" s="96"/>
      <c r="E812" s="96"/>
      <c r="F812" s="96"/>
      <c r="G812" s="96"/>
      <c r="H812" s="96"/>
      <c r="I812" s="111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>
      <c r="A813" s="96"/>
      <c r="B813" s="96"/>
      <c r="C813" s="96"/>
      <c r="D813" s="96"/>
      <c r="E813" s="96"/>
      <c r="F813" s="96"/>
      <c r="G813" s="96"/>
      <c r="H813" s="96"/>
      <c r="I813" s="111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>
      <c r="A814" s="96"/>
      <c r="B814" s="96"/>
      <c r="C814" s="96"/>
      <c r="D814" s="96"/>
      <c r="E814" s="96"/>
      <c r="F814" s="96"/>
      <c r="G814" s="96"/>
      <c r="H814" s="96"/>
      <c r="I814" s="111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>
      <c r="A815" s="96"/>
      <c r="B815" s="96"/>
      <c r="C815" s="96"/>
      <c r="D815" s="96"/>
      <c r="E815" s="96"/>
      <c r="F815" s="96"/>
      <c r="G815" s="96"/>
      <c r="H815" s="96"/>
      <c r="I815" s="111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>
      <c r="A816" s="96"/>
      <c r="B816" s="96"/>
      <c r="C816" s="96"/>
      <c r="D816" s="96"/>
      <c r="E816" s="96"/>
      <c r="F816" s="96"/>
      <c r="G816" s="96"/>
      <c r="H816" s="96"/>
      <c r="I816" s="111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>
      <c r="A817" s="96"/>
      <c r="B817" s="96"/>
      <c r="C817" s="96"/>
      <c r="D817" s="96"/>
      <c r="E817" s="96"/>
      <c r="F817" s="96"/>
      <c r="G817" s="96"/>
      <c r="H817" s="96"/>
      <c r="I817" s="111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>
      <c r="A818" s="96"/>
      <c r="B818" s="96"/>
      <c r="C818" s="96"/>
      <c r="D818" s="96"/>
      <c r="E818" s="96"/>
      <c r="F818" s="96"/>
      <c r="G818" s="96"/>
      <c r="H818" s="96"/>
      <c r="I818" s="111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>
      <c r="A819" s="96"/>
      <c r="B819" s="96"/>
      <c r="C819" s="96"/>
      <c r="D819" s="96"/>
      <c r="E819" s="96"/>
      <c r="F819" s="96"/>
      <c r="G819" s="96"/>
      <c r="H819" s="96"/>
      <c r="I819" s="111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>
      <c r="A820" s="96"/>
      <c r="B820" s="96"/>
      <c r="C820" s="96"/>
      <c r="D820" s="96"/>
      <c r="E820" s="96"/>
      <c r="F820" s="96"/>
      <c r="G820" s="96"/>
      <c r="H820" s="96"/>
      <c r="I820" s="111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>
      <c r="A821" s="96"/>
      <c r="B821" s="96"/>
      <c r="C821" s="96"/>
      <c r="D821" s="96"/>
      <c r="E821" s="96"/>
      <c r="F821" s="96"/>
      <c r="G821" s="96"/>
      <c r="H821" s="96"/>
      <c r="I821" s="111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>
      <c r="A822" s="96"/>
      <c r="B822" s="96"/>
      <c r="C822" s="96"/>
      <c r="D822" s="96"/>
      <c r="E822" s="96"/>
      <c r="F822" s="96"/>
      <c r="G822" s="96"/>
      <c r="H822" s="96"/>
      <c r="I822" s="111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>
      <c r="A823" s="96"/>
      <c r="B823" s="96"/>
      <c r="C823" s="96"/>
      <c r="D823" s="96"/>
      <c r="E823" s="96"/>
      <c r="F823" s="96"/>
      <c r="G823" s="96"/>
      <c r="H823" s="96"/>
      <c r="I823" s="111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>
      <c r="A824" s="96"/>
      <c r="B824" s="96"/>
      <c r="C824" s="96"/>
      <c r="D824" s="96"/>
      <c r="E824" s="96"/>
      <c r="F824" s="96"/>
      <c r="G824" s="96"/>
      <c r="H824" s="96"/>
      <c r="I824" s="111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>
      <c r="A825" s="96"/>
      <c r="B825" s="96"/>
      <c r="C825" s="96"/>
      <c r="D825" s="96"/>
      <c r="E825" s="96"/>
      <c r="F825" s="96"/>
      <c r="G825" s="96"/>
      <c r="H825" s="96"/>
      <c r="I825" s="111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>
      <c r="A826" s="96"/>
      <c r="B826" s="96"/>
      <c r="C826" s="96"/>
      <c r="D826" s="96"/>
      <c r="E826" s="96"/>
      <c r="F826" s="96"/>
      <c r="G826" s="96"/>
      <c r="H826" s="96"/>
      <c r="I826" s="111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>
      <c r="A827" s="96"/>
      <c r="B827" s="96"/>
      <c r="C827" s="96"/>
      <c r="D827" s="96"/>
      <c r="E827" s="96"/>
      <c r="F827" s="96"/>
      <c r="G827" s="96"/>
      <c r="H827" s="96"/>
      <c r="I827" s="111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>
      <c r="A828" s="96"/>
      <c r="B828" s="96"/>
      <c r="C828" s="96"/>
      <c r="D828" s="96"/>
      <c r="E828" s="96"/>
      <c r="F828" s="96"/>
      <c r="G828" s="96"/>
      <c r="H828" s="96"/>
      <c r="I828" s="111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>
      <c r="A829" s="96"/>
      <c r="B829" s="96"/>
      <c r="C829" s="96"/>
      <c r="D829" s="96"/>
      <c r="E829" s="96"/>
      <c r="F829" s="96"/>
      <c r="G829" s="96"/>
      <c r="H829" s="96"/>
      <c r="I829" s="111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>
      <c r="A830" s="96"/>
      <c r="B830" s="96"/>
      <c r="C830" s="96"/>
      <c r="D830" s="96"/>
      <c r="E830" s="96"/>
      <c r="F830" s="96"/>
      <c r="G830" s="96"/>
      <c r="H830" s="96"/>
      <c r="I830" s="111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>
      <c r="A831" s="96"/>
      <c r="B831" s="96"/>
      <c r="C831" s="96"/>
      <c r="D831" s="96"/>
      <c r="E831" s="96"/>
      <c r="F831" s="96"/>
      <c r="G831" s="96"/>
      <c r="H831" s="96"/>
      <c r="I831" s="111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>
      <c r="A832" s="96"/>
      <c r="B832" s="96"/>
      <c r="C832" s="96"/>
      <c r="D832" s="96"/>
      <c r="E832" s="96"/>
      <c r="F832" s="96"/>
      <c r="G832" s="96"/>
      <c r="H832" s="96"/>
      <c r="I832" s="111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>
      <c r="A833" s="96"/>
      <c r="B833" s="96"/>
      <c r="C833" s="96"/>
      <c r="D833" s="96"/>
      <c r="E833" s="96"/>
      <c r="F833" s="96"/>
      <c r="G833" s="96"/>
      <c r="H833" s="96"/>
      <c r="I833" s="111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>
      <c r="A834" s="96"/>
      <c r="B834" s="96"/>
      <c r="C834" s="96"/>
      <c r="D834" s="96"/>
      <c r="E834" s="96"/>
      <c r="F834" s="96"/>
      <c r="G834" s="96"/>
      <c r="H834" s="96"/>
      <c r="I834" s="111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>
      <c r="A835" s="96"/>
      <c r="B835" s="96"/>
      <c r="C835" s="96"/>
      <c r="D835" s="96"/>
      <c r="E835" s="96"/>
      <c r="F835" s="96"/>
      <c r="G835" s="96"/>
      <c r="H835" s="96"/>
      <c r="I835" s="111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>
      <c r="A836" s="96"/>
      <c r="B836" s="96"/>
      <c r="C836" s="96"/>
      <c r="D836" s="96"/>
      <c r="E836" s="96"/>
      <c r="F836" s="96"/>
      <c r="G836" s="96"/>
      <c r="H836" s="96"/>
      <c r="I836" s="111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>
      <c r="A837" s="96"/>
      <c r="B837" s="96"/>
      <c r="C837" s="96"/>
      <c r="D837" s="96"/>
      <c r="E837" s="96"/>
      <c r="F837" s="96"/>
      <c r="G837" s="96"/>
      <c r="H837" s="96"/>
      <c r="I837" s="111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>
      <c r="A838" s="96"/>
      <c r="B838" s="96"/>
      <c r="C838" s="96"/>
      <c r="D838" s="96"/>
      <c r="E838" s="96"/>
      <c r="F838" s="96"/>
      <c r="G838" s="96"/>
      <c r="H838" s="96"/>
      <c r="I838" s="111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>
      <c r="A839" s="96"/>
      <c r="B839" s="96"/>
      <c r="C839" s="96"/>
      <c r="D839" s="96"/>
      <c r="E839" s="96"/>
      <c r="F839" s="96"/>
      <c r="G839" s="96"/>
      <c r="H839" s="96"/>
      <c r="I839" s="111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>
      <c r="A840" s="96"/>
      <c r="B840" s="96"/>
      <c r="C840" s="96"/>
      <c r="D840" s="96"/>
      <c r="E840" s="96"/>
      <c r="F840" s="96"/>
      <c r="G840" s="96"/>
      <c r="H840" s="96"/>
      <c r="I840" s="111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>
      <c r="A841" s="96"/>
      <c r="B841" s="96"/>
      <c r="C841" s="96"/>
      <c r="D841" s="96"/>
      <c r="E841" s="96"/>
      <c r="F841" s="96"/>
      <c r="G841" s="96"/>
      <c r="H841" s="96"/>
      <c r="I841" s="111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>
      <c r="A842" s="96"/>
      <c r="B842" s="96"/>
      <c r="C842" s="96"/>
      <c r="D842" s="96"/>
      <c r="E842" s="96"/>
      <c r="F842" s="96"/>
      <c r="G842" s="96"/>
      <c r="H842" s="96"/>
      <c r="I842" s="111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>
      <c r="A843" s="96"/>
      <c r="B843" s="96"/>
      <c r="C843" s="96"/>
      <c r="D843" s="96"/>
      <c r="E843" s="96"/>
      <c r="F843" s="96"/>
      <c r="G843" s="96"/>
      <c r="H843" s="96"/>
      <c r="I843" s="111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>
      <c r="A844" s="96"/>
      <c r="B844" s="96"/>
      <c r="C844" s="96"/>
      <c r="D844" s="96"/>
      <c r="E844" s="96"/>
      <c r="F844" s="96"/>
      <c r="G844" s="96"/>
      <c r="H844" s="96"/>
      <c r="I844" s="111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>
      <c r="A845" s="96"/>
      <c r="B845" s="96"/>
      <c r="C845" s="96"/>
      <c r="D845" s="96"/>
      <c r="E845" s="96"/>
      <c r="F845" s="96"/>
      <c r="G845" s="96"/>
      <c r="H845" s="96"/>
      <c r="I845" s="111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>
      <c r="A846" s="96"/>
      <c r="B846" s="96"/>
      <c r="C846" s="96"/>
      <c r="D846" s="96"/>
      <c r="E846" s="96"/>
      <c r="F846" s="96"/>
      <c r="G846" s="96"/>
      <c r="H846" s="96"/>
      <c r="I846" s="111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>
      <c r="A847" s="96"/>
      <c r="B847" s="96"/>
      <c r="C847" s="96"/>
      <c r="D847" s="96"/>
      <c r="E847" s="96"/>
      <c r="F847" s="96"/>
      <c r="G847" s="96"/>
      <c r="H847" s="96"/>
      <c r="I847" s="111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>
      <c r="A848" s="96"/>
      <c r="B848" s="96"/>
      <c r="C848" s="96"/>
      <c r="D848" s="96"/>
      <c r="E848" s="96"/>
      <c r="F848" s="96"/>
      <c r="G848" s="96"/>
      <c r="H848" s="96"/>
      <c r="I848" s="111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>
      <c r="A849" s="96"/>
      <c r="B849" s="96"/>
      <c r="C849" s="96"/>
      <c r="D849" s="96"/>
      <c r="E849" s="96"/>
      <c r="F849" s="96"/>
      <c r="G849" s="96"/>
      <c r="H849" s="96"/>
      <c r="I849" s="111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>
      <c r="A850" s="96"/>
      <c r="B850" s="96"/>
      <c r="C850" s="96"/>
      <c r="D850" s="96"/>
      <c r="E850" s="96"/>
      <c r="F850" s="96"/>
      <c r="G850" s="96"/>
      <c r="H850" s="96"/>
      <c r="I850" s="111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>
      <c r="A851" s="96"/>
      <c r="B851" s="96"/>
      <c r="C851" s="96"/>
      <c r="D851" s="96"/>
      <c r="E851" s="96"/>
      <c r="F851" s="96"/>
      <c r="G851" s="96"/>
      <c r="H851" s="96"/>
      <c r="I851" s="111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>
      <c r="A852" s="96"/>
      <c r="B852" s="96"/>
      <c r="C852" s="96"/>
      <c r="D852" s="96"/>
      <c r="E852" s="96"/>
      <c r="F852" s="96"/>
      <c r="G852" s="96"/>
      <c r="H852" s="96"/>
      <c r="I852" s="111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>
      <c r="A853" s="96"/>
      <c r="B853" s="96"/>
      <c r="C853" s="96"/>
      <c r="D853" s="96"/>
      <c r="E853" s="96"/>
      <c r="F853" s="96"/>
      <c r="G853" s="96"/>
      <c r="H853" s="96"/>
      <c r="I853" s="111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>
      <c r="A854" s="96"/>
      <c r="B854" s="96"/>
      <c r="C854" s="96"/>
      <c r="D854" s="96"/>
      <c r="E854" s="96"/>
      <c r="F854" s="96"/>
      <c r="G854" s="96"/>
      <c r="H854" s="96"/>
      <c r="I854" s="111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>
      <c r="A855" s="96"/>
      <c r="B855" s="96"/>
      <c r="C855" s="96"/>
      <c r="D855" s="96"/>
      <c r="E855" s="96"/>
      <c r="F855" s="96"/>
      <c r="G855" s="96"/>
      <c r="H855" s="96"/>
      <c r="I855" s="111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>
      <c r="A856" s="96"/>
      <c r="B856" s="96"/>
      <c r="C856" s="96"/>
      <c r="D856" s="96"/>
      <c r="E856" s="96"/>
      <c r="F856" s="96"/>
      <c r="G856" s="96"/>
      <c r="H856" s="96"/>
      <c r="I856" s="111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>
      <c r="A857" s="96"/>
      <c r="B857" s="96"/>
      <c r="C857" s="96"/>
      <c r="D857" s="96"/>
      <c r="E857" s="96"/>
      <c r="F857" s="96"/>
      <c r="G857" s="96"/>
      <c r="H857" s="96"/>
      <c r="I857" s="111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>
      <c r="A858" s="96"/>
      <c r="B858" s="96"/>
      <c r="C858" s="96"/>
      <c r="D858" s="96"/>
      <c r="E858" s="96"/>
      <c r="F858" s="96"/>
      <c r="G858" s="96"/>
      <c r="H858" s="96"/>
      <c r="I858" s="111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>
      <c r="A859" s="96"/>
      <c r="B859" s="96"/>
      <c r="C859" s="96"/>
      <c r="D859" s="96"/>
      <c r="E859" s="96"/>
      <c r="F859" s="96"/>
      <c r="G859" s="96"/>
      <c r="H859" s="96"/>
      <c r="I859" s="111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>
      <c r="A860" s="96"/>
      <c r="B860" s="96"/>
      <c r="C860" s="96"/>
      <c r="D860" s="96"/>
      <c r="E860" s="96"/>
      <c r="F860" s="96"/>
      <c r="G860" s="96"/>
      <c r="H860" s="96"/>
      <c r="I860" s="111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>
      <c r="A861" s="96"/>
      <c r="B861" s="96"/>
      <c r="C861" s="96"/>
      <c r="D861" s="96"/>
      <c r="E861" s="96"/>
      <c r="F861" s="96"/>
      <c r="G861" s="96"/>
      <c r="H861" s="96"/>
      <c r="I861" s="111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>
      <c r="A862" s="96"/>
      <c r="B862" s="96"/>
      <c r="C862" s="96"/>
      <c r="D862" s="96"/>
      <c r="E862" s="96"/>
      <c r="F862" s="96"/>
      <c r="G862" s="96"/>
      <c r="H862" s="96"/>
      <c r="I862" s="111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>
      <c r="A863" s="96"/>
      <c r="B863" s="96"/>
      <c r="C863" s="96"/>
      <c r="D863" s="96"/>
      <c r="E863" s="96"/>
      <c r="F863" s="96"/>
      <c r="G863" s="96"/>
      <c r="H863" s="96"/>
      <c r="I863" s="111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>
      <c r="A864" s="96"/>
      <c r="B864" s="96"/>
      <c r="C864" s="96"/>
      <c r="D864" s="96"/>
      <c r="E864" s="96"/>
      <c r="F864" s="96"/>
      <c r="G864" s="96"/>
      <c r="H864" s="96"/>
      <c r="I864" s="111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>
      <c r="A865" s="96"/>
      <c r="B865" s="96"/>
      <c r="C865" s="96"/>
      <c r="D865" s="96"/>
      <c r="E865" s="96"/>
      <c r="F865" s="96"/>
      <c r="G865" s="96"/>
      <c r="H865" s="96"/>
      <c r="I865" s="111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>
      <c r="A866" s="96"/>
      <c r="B866" s="96"/>
      <c r="C866" s="96"/>
      <c r="D866" s="96"/>
      <c r="E866" s="96"/>
      <c r="F866" s="96"/>
      <c r="G866" s="96"/>
      <c r="H866" s="96"/>
      <c r="I866" s="111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>
      <c r="A867" s="96"/>
      <c r="B867" s="96"/>
      <c r="C867" s="96"/>
      <c r="D867" s="96"/>
      <c r="E867" s="96"/>
      <c r="F867" s="96"/>
      <c r="G867" s="96"/>
      <c r="H867" s="96"/>
      <c r="I867" s="111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>
      <c r="A868" s="96"/>
      <c r="B868" s="96"/>
      <c r="C868" s="96"/>
      <c r="D868" s="96"/>
      <c r="E868" s="96"/>
      <c r="F868" s="96"/>
      <c r="G868" s="96"/>
      <c r="H868" s="96"/>
      <c r="I868" s="111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>
      <c r="A869" s="96"/>
      <c r="B869" s="96"/>
      <c r="C869" s="96"/>
      <c r="D869" s="96"/>
      <c r="E869" s="96"/>
      <c r="F869" s="96"/>
      <c r="G869" s="96"/>
      <c r="H869" s="96"/>
      <c r="I869" s="111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>
      <c r="A870" s="96"/>
      <c r="B870" s="96"/>
      <c r="C870" s="96"/>
      <c r="D870" s="96"/>
      <c r="E870" s="96"/>
      <c r="F870" s="96"/>
      <c r="G870" s="96"/>
      <c r="H870" s="96"/>
      <c r="I870" s="111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>
      <c r="A871" s="96"/>
      <c r="B871" s="96"/>
      <c r="C871" s="96"/>
      <c r="D871" s="96"/>
      <c r="E871" s="96"/>
      <c r="F871" s="96"/>
      <c r="G871" s="96"/>
      <c r="H871" s="96"/>
      <c r="I871" s="111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>
      <c r="A872" s="96"/>
      <c r="B872" s="96"/>
      <c r="C872" s="96"/>
      <c r="D872" s="96"/>
      <c r="E872" s="96"/>
      <c r="F872" s="96"/>
      <c r="G872" s="96"/>
      <c r="H872" s="96"/>
      <c r="I872" s="111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>
      <c r="A873" s="96"/>
      <c r="B873" s="96"/>
      <c r="C873" s="96"/>
      <c r="D873" s="96"/>
      <c r="E873" s="96"/>
      <c r="F873" s="96"/>
      <c r="G873" s="96"/>
      <c r="H873" s="96"/>
      <c r="I873" s="111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>
      <c r="A874" s="96"/>
      <c r="B874" s="96"/>
      <c r="C874" s="96"/>
      <c r="D874" s="96"/>
      <c r="E874" s="96"/>
      <c r="F874" s="96"/>
      <c r="G874" s="96"/>
      <c r="H874" s="96"/>
      <c r="I874" s="111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>
      <c r="A875" s="96"/>
      <c r="B875" s="96"/>
      <c r="C875" s="96"/>
      <c r="D875" s="96"/>
      <c r="E875" s="96"/>
      <c r="F875" s="96"/>
      <c r="G875" s="96"/>
      <c r="H875" s="96"/>
      <c r="I875" s="111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>
      <c r="A876" s="96"/>
      <c r="B876" s="96"/>
      <c r="C876" s="96"/>
      <c r="D876" s="96"/>
      <c r="E876" s="96"/>
      <c r="F876" s="96"/>
      <c r="G876" s="96"/>
      <c r="H876" s="96"/>
      <c r="I876" s="111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>
      <c r="A877" s="96"/>
      <c r="B877" s="96"/>
      <c r="C877" s="96"/>
      <c r="D877" s="96"/>
      <c r="E877" s="96"/>
      <c r="F877" s="96"/>
      <c r="G877" s="96"/>
      <c r="H877" s="96"/>
      <c r="I877" s="111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>
      <c r="A878" s="96"/>
      <c r="B878" s="96"/>
      <c r="C878" s="96"/>
      <c r="D878" s="96"/>
      <c r="E878" s="96"/>
      <c r="F878" s="96"/>
      <c r="G878" s="96"/>
      <c r="H878" s="96"/>
      <c r="I878" s="111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>
      <c r="A879" s="96"/>
      <c r="B879" s="96"/>
      <c r="C879" s="96"/>
      <c r="D879" s="96"/>
      <c r="E879" s="96"/>
      <c r="F879" s="96"/>
      <c r="G879" s="96"/>
      <c r="H879" s="96"/>
      <c r="I879" s="111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>
      <c r="A880" s="96"/>
      <c r="B880" s="96"/>
      <c r="C880" s="96"/>
      <c r="D880" s="96"/>
      <c r="E880" s="96"/>
      <c r="F880" s="96"/>
      <c r="G880" s="96"/>
      <c r="H880" s="96"/>
      <c r="I880" s="111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>
      <c r="A881" s="96"/>
      <c r="B881" s="96"/>
      <c r="C881" s="96"/>
      <c r="D881" s="96"/>
      <c r="E881" s="96"/>
      <c r="F881" s="96"/>
      <c r="G881" s="96"/>
      <c r="H881" s="96"/>
      <c r="I881" s="111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>
      <c r="A882" s="96"/>
      <c r="B882" s="96"/>
      <c r="C882" s="96"/>
      <c r="D882" s="96"/>
      <c r="E882" s="96"/>
      <c r="F882" s="96"/>
      <c r="G882" s="96"/>
      <c r="H882" s="96"/>
      <c r="I882" s="111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>
      <c r="A883" s="96"/>
      <c r="B883" s="96"/>
      <c r="C883" s="96"/>
      <c r="D883" s="96"/>
      <c r="E883" s="96"/>
      <c r="F883" s="96"/>
      <c r="G883" s="96"/>
      <c r="H883" s="96"/>
      <c r="I883" s="111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>
      <c r="A884" s="96"/>
      <c r="B884" s="96"/>
      <c r="C884" s="96"/>
      <c r="D884" s="96"/>
      <c r="E884" s="96"/>
      <c r="F884" s="96"/>
      <c r="G884" s="96"/>
      <c r="H884" s="96"/>
      <c r="I884" s="111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>
      <c r="A885" s="96"/>
      <c r="B885" s="96"/>
      <c r="C885" s="96"/>
      <c r="D885" s="96"/>
      <c r="E885" s="96"/>
      <c r="F885" s="96"/>
      <c r="G885" s="96"/>
      <c r="H885" s="96"/>
      <c r="I885" s="111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>
      <c r="A886" s="96"/>
      <c r="B886" s="96"/>
      <c r="C886" s="96"/>
      <c r="D886" s="96"/>
      <c r="E886" s="96"/>
      <c r="F886" s="96"/>
      <c r="G886" s="96"/>
      <c r="H886" s="96"/>
      <c r="I886" s="111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>
      <c r="A887" s="96"/>
      <c r="B887" s="96"/>
      <c r="C887" s="96"/>
      <c r="D887" s="96"/>
      <c r="E887" s="96"/>
      <c r="F887" s="96"/>
      <c r="G887" s="96"/>
      <c r="H887" s="96"/>
      <c r="I887" s="111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>
      <c r="A888" s="96"/>
      <c r="B888" s="96"/>
      <c r="C888" s="96"/>
      <c r="D888" s="96"/>
      <c r="E888" s="96"/>
      <c r="F888" s="96"/>
      <c r="G888" s="96"/>
      <c r="H888" s="96"/>
      <c r="I888" s="111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>
      <c r="A889" s="96"/>
      <c r="B889" s="96"/>
      <c r="C889" s="96"/>
      <c r="D889" s="96"/>
      <c r="E889" s="96"/>
      <c r="F889" s="96"/>
      <c r="G889" s="96"/>
      <c r="H889" s="96"/>
      <c r="I889" s="111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>
      <c r="A890" s="96"/>
      <c r="B890" s="96"/>
      <c r="C890" s="96"/>
      <c r="D890" s="96"/>
      <c r="E890" s="96"/>
      <c r="F890" s="96"/>
      <c r="G890" s="96"/>
      <c r="H890" s="96"/>
      <c r="I890" s="111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>
      <c r="A891" s="96"/>
      <c r="B891" s="96"/>
      <c r="C891" s="96"/>
      <c r="D891" s="96"/>
      <c r="E891" s="96"/>
      <c r="F891" s="96"/>
      <c r="G891" s="96"/>
      <c r="H891" s="96"/>
      <c r="I891" s="111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>
      <c r="A892" s="96"/>
      <c r="B892" s="96"/>
      <c r="C892" s="96"/>
      <c r="D892" s="96"/>
      <c r="E892" s="96"/>
      <c r="F892" s="96"/>
      <c r="G892" s="96"/>
      <c r="H892" s="96"/>
      <c r="I892" s="111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>
      <c r="A893" s="96"/>
      <c r="B893" s="96"/>
      <c r="C893" s="96"/>
      <c r="D893" s="96"/>
      <c r="E893" s="96"/>
      <c r="F893" s="96"/>
      <c r="G893" s="96"/>
      <c r="H893" s="96"/>
      <c r="I893" s="111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>
      <c r="A894" s="96"/>
      <c r="B894" s="96"/>
      <c r="C894" s="96"/>
      <c r="D894" s="96"/>
      <c r="E894" s="96"/>
      <c r="F894" s="96"/>
      <c r="G894" s="96"/>
      <c r="H894" s="96"/>
      <c r="I894" s="111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>
      <c r="A895" s="96"/>
      <c r="B895" s="96"/>
      <c r="C895" s="96"/>
      <c r="D895" s="96"/>
      <c r="E895" s="96"/>
      <c r="F895" s="96"/>
      <c r="G895" s="96"/>
      <c r="H895" s="96"/>
      <c r="I895" s="111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>
      <c r="A896" s="96"/>
      <c r="B896" s="96"/>
      <c r="C896" s="96"/>
      <c r="D896" s="96"/>
      <c r="E896" s="96"/>
      <c r="F896" s="96"/>
      <c r="G896" s="96"/>
      <c r="H896" s="96"/>
      <c r="I896" s="111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>
      <c r="A897" s="96"/>
      <c r="B897" s="96"/>
      <c r="C897" s="96"/>
      <c r="D897" s="96"/>
      <c r="E897" s="96"/>
      <c r="F897" s="96"/>
      <c r="G897" s="96"/>
      <c r="H897" s="96"/>
      <c r="I897" s="111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>
      <c r="A898" s="96"/>
      <c r="B898" s="96"/>
      <c r="C898" s="96"/>
      <c r="D898" s="96"/>
      <c r="E898" s="96"/>
      <c r="F898" s="96"/>
      <c r="G898" s="96"/>
      <c r="H898" s="96"/>
      <c r="I898" s="111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>
      <c r="A899" s="96"/>
      <c r="B899" s="96"/>
      <c r="C899" s="96"/>
      <c r="D899" s="96"/>
      <c r="E899" s="96"/>
      <c r="F899" s="96"/>
      <c r="G899" s="96"/>
      <c r="H899" s="96"/>
      <c r="I899" s="111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>
      <c r="A900" s="96"/>
      <c r="B900" s="96"/>
      <c r="C900" s="96"/>
      <c r="D900" s="96"/>
      <c r="E900" s="96"/>
      <c r="F900" s="96"/>
      <c r="G900" s="96"/>
      <c r="H900" s="96"/>
      <c r="I900" s="111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>
      <c r="A901" s="96"/>
      <c r="B901" s="96"/>
      <c r="C901" s="96"/>
      <c r="D901" s="96"/>
      <c r="E901" s="96"/>
      <c r="F901" s="96"/>
      <c r="G901" s="96"/>
      <c r="H901" s="96"/>
      <c r="I901" s="111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>
      <c r="A902" s="96"/>
      <c r="B902" s="96"/>
      <c r="C902" s="96"/>
      <c r="D902" s="96"/>
      <c r="E902" s="96"/>
      <c r="F902" s="96"/>
      <c r="G902" s="96"/>
      <c r="H902" s="96"/>
      <c r="I902" s="111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>
      <c r="A903" s="96"/>
      <c r="B903" s="96"/>
      <c r="C903" s="96"/>
      <c r="D903" s="96"/>
      <c r="E903" s="96"/>
      <c r="F903" s="96"/>
      <c r="G903" s="96"/>
      <c r="H903" s="96"/>
      <c r="I903" s="111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>
      <c r="A904" s="96"/>
      <c r="B904" s="96"/>
      <c r="C904" s="96"/>
      <c r="D904" s="96"/>
      <c r="E904" s="96"/>
      <c r="F904" s="96"/>
      <c r="G904" s="96"/>
      <c r="H904" s="96"/>
      <c r="I904" s="111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>
      <c r="A905" s="96"/>
      <c r="B905" s="96"/>
      <c r="C905" s="96"/>
      <c r="D905" s="96"/>
      <c r="E905" s="96"/>
      <c r="F905" s="96"/>
      <c r="G905" s="96"/>
      <c r="H905" s="96"/>
      <c r="I905" s="111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>
      <c r="A906" s="96"/>
      <c r="B906" s="96"/>
      <c r="C906" s="96"/>
      <c r="D906" s="96"/>
      <c r="E906" s="96"/>
      <c r="F906" s="96"/>
      <c r="G906" s="96"/>
      <c r="H906" s="96"/>
      <c r="I906" s="111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>
      <c r="A907" s="96"/>
      <c r="B907" s="96"/>
      <c r="C907" s="96"/>
      <c r="D907" s="96"/>
      <c r="E907" s="96"/>
      <c r="F907" s="96"/>
      <c r="G907" s="96"/>
      <c r="H907" s="96"/>
      <c r="I907" s="111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>
      <c r="A908" s="96"/>
      <c r="B908" s="96"/>
      <c r="C908" s="96"/>
      <c r="D908" s="96"/>
      <c r="E908" s="96"/>
      <c r="F908" s="96"/>
      <c r="G908" s="96"/>
      <c r="H908" s="96"/>
      <c r="I908" s="111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>
      <c r="A909" s="96"/>
      <c r="B909" s="96"/>
      <c r="C909" s="96"/>
      <c r="D909" s="96"/>
      <c r="E909" s="96"/>
      <c r="F909" s="96"/>
      <c r="G909" s="96"/>
      <c r="H909" s="96"/>
      <c r="I909" s="111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>
      <c r="A910" s="96"/>
      <c r="B910" s="96"/>
      <c r="C910" s="96"/>
      <c r="D910" s="96"/>
      <c r="E910" s="96"/>
      <c r="F910" s="96"/>
      <c r="G910" s="96"/>
      <c r="H910" s="96"/>
      <c r="I910" s="111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>
      <c r="A911" s="96"/>
      <c r="B911" s="96"/>
      <c r="C911" s="96"/>
      <c r="D911" s="96"/>
      <c r="E911" s="96"/>
      <c r="F911" s="96"/>
      <c r="G911" s="96"/>
      <c r="H911" s="96"/>
      <c r="I911" s="111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>
      <c r="A912" s="96"/>
      <c r="B912" s="96"/>
      <c r="C912" s="96"/>
      <c r="D912" s="96"/>
      <c r="E912" s="96"/>
      <c r="F912" s="96"/>
      <c r="G912" s="96"/>
      <c r="H912" s="96"/>
      <c r="I912" s="111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>
      <c r="A913" s="96"/>
      <c r="B913" s="96"/>
      <c r="C913" s="96"/>
      <c r="D913" s="96"/>
      <c r="E913" s="96"/>
      <c r="F913" s="96"/>
      <c r="G913" s="96"/>
      <c r="H913" s="96"/>
      <c r="I913" s="111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>
      <c r="A914" s="96"/>
      <c r="B914" s="96"/>
      <c r="C914" s="96"/>
      <c r="D914" s="96"/>
      <c r="E914" s="96"/>
      <c r="F914" s="96"/>
      <c r="G914" s="96"/>
      <c r="H914" s="96"/>
      <c r="I914" s="111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>
      <c r="A915" s="96"/>
      <c r="B915" s="96"/>
      <c r="C915" s="96"/>
      <c r="D915" s="96"/>
      <c r="E915" s="96"/>
      <c r="F915" s="96"/>
      <c r="G915" s="96"/>
      <c r="H915" s="96"/>
      <c r="I915" s="111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>
      <c r="A916" s="96"/>
      <c r="B916" s="96"/>
      <c r="C916" s="96"/>
      <c r="D916" s="96"/>
      <c r="E916" s="96"/>
      <c r="F916" s="96"/>
      <c r="G916" s="96"/>
      <c r="H916" s="96"/>
      <c r="I916" s="111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>
      <c r="A917" s="96"/>
      <c r="B917" s="96"/>
      <c r="C917" s="96"/>
      <c r="D917" s="96"/>
      <c r="E917" s="96"/>
      <c r="F917" s="96"/>
      <c r="G917" s="96"/>
      <c r="H917" s="96"/>
      <c r="I917" s="111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>
      <c r="A918" s="96"/>
      <c r="B918" s="96"/>
      <c r="C918" s="96"/>
      <c r="D918" s="96"/>
      <c r="E918" s="96"/>
      <c r="F918" s="96"/>
      <c r="G918" s="96"/>
      <c r="H918" s="96"/>
      <c r="I918" s="111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>
      <c r="A919" s="96"/>
      <c r="B919" s="96"/>
      <c r="C919" s="96"/>
      <c r="D919" s="96"/>
      <c r="E919" s="96"/>
      <c r="F919" s="96"/>
      <c r="G919" s="96"/>
      <c r="H919" s="96"/>
      <c r="I919" s="111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>
      <c r="A920" s="96"/>
      <c r="B920" s="96"/>
      <c r="C920" s="96"/>
      <c r="D920" s="96"/>
      <c r="E920" s="96"/>
      <c r="F920" s="96"/>
      <c r="G920" s="96"/>
      <c r="H920" s="96"/>
      <c r="I920" s="111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>
      <c r="A921" s="96"/>
      <c r="B921" s="96"/>
      <c r="C921" s="96"/>
      <c r="D921" s="96"/>
      <c r="E921" s="96"/>
      <c r="F921" s="96"/>
      <c r="G921" s="96"/>
      <c r="H921" s="96"/>
      <c r="I921" s="111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>
      <c r="A922" s="96"/>
      <c r="B922" s="96"/>
      <c r="C922" s="96"/>
      <c r="D922" s="96"/>
      <c r="E922" s="96"/>
      <c r="F922" s="96"/>
      <c r="G922" s="96"/>
      <c r="H922" s="96"/>
      <c r="I922" s="111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>
      <c r="A923" s="96"/>
      <c r="B923" s="96"/>
      <c r="C923" s="96"/>
      <c r="D923" s="96"/>
      <c r="E923" s="96"/>
      <c r="F923" s="96"/>
      <c r="G923" s="96"/>
      <c r="H923" s="96"/>
      <c r="I923" s="111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>
      <c r="A924" s="96"/>
      <c r="B924" s="96"/>
      <c r="C924" s="96"/>
      <c r="D924" s="96"/>
      <c r="E924" s="96"/>
      <c r="F924" s="96"/>
      <c r="G924" s="96"/>
      <c r="H924" s="96"/>
      <c r="I924" s="111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>
      <c r="A925" s="96"/>
      <c r="B925" s="96"/>
      <c r="C925" s="96"/>
      <c r="D925" s="96"/>
      <c r="E925" s="96"/>
      <c r="F925" s="96"/>
      <c r="G925" s="96"/>
      <c r="H925" s="96"/>
      <c r="I925" s="111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>
      <c r="A926" s="96"/>
      <c r="B926" s="96"/>
      <c r="C926" s="96"/>
      <c r="D926" s="96"/>
      <c r="E926" s="96"/>
      <c r="F926" s="96"/>
      <c r="G926" s="96"/>
      <c r="H926" s="96"/>
      <c r="I926" s="111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>
      <c r="A927" s="96"/>
      <c r="B927" s="96"/>
      <c r="C927" s="96"/>
      <c r="D927" s="96"/>
      <c r="E927" s="96"/>
      <c r="F927" s="96"/>
      <c r="G927" s="96"/>
      <c r="H927" s="96"/>
      <c r="I927" s="111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>
      <c r="A928" s="96"/>
      <c r="B928" s="96"/>
      <c r="C928" s="96"/>
      <c r="D928" s="96"/>
      <c r="E928" s="96"/>
      <c r="F928" s="96"/>
      <c r="G928" s="96"/>
      <c r="H928" s="96"/>
      <c r="I928" s="111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>
      <c r="A929" s="96"/>
      <c r="B929" s="96"/>
      <c r="C929" s="96"/>
      <c r="D929" s="96"/>
      <c r="E929" s="96"/>
      <c r="F929" s="96"/>
      <c r="G929" s="96"/>
      <c r="H929" s="96"/>
      <c r="I929" s="111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>
      <c r="A930" s="96"/>
      <c r="B930" s="96"/>
      <c r="C930" s="96"/>
      <c r="D930" s="96"/>
      <c r="E930" s="96"/>
      <c r="F930" s="96"/>
      <c r="G930" s="96"/>
      <c r="H930" s="96"/>
      <c r="I930" s="111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>
      <c r="A931" s="96"/>
      <c r="B931" s="96"/>
      <c r="C931" s="96"/>
      <c r="D931" s="96"/>
      <c r="E931" s="96"/>
      <c r="F931" s="96"/>
      <c r="G931" s="96"/>
      <c r="H931" s="96"/>
      <c r="I931" s="111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>
      <c r="A932" s="96"/>
      <c r="B932" s="96"/>
      <c r="C932" s="96"/>
      <c r="D932" s="96"/>
      <c r="E932" s="96"/>
      <c r="F932" s="96"/>
      <c r="G932" s="96"/>
      <c r="H932" s="96"/>
      <c r="I932" s="111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>
      <c r="A933" s="96"/>
      <c r="B933" s="96"/>
      <c r="C933" s="96"/>
      <c r="D933" s="96"/>
      <c r="E933" s="96"/>
      <c r="F933" s="96"/>
      <c r="G933" s="96"/>
      <c r="H933" s="96"/>
      <c r="I933" s="111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>
      <c r="A934" s="96"/>
      <c r="B934" s="96"/>
      <c r="C934" s="96"/>
      <c r="D934" s="96"/>
      <c r="E934" s="96"/>
      <c r="F934" s="96"/>
      <c r="G934" s="96"/>
      <c r="H934" s="96"/>
      <c r="I934" s="111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>
      <c r="A935" s="96"/>
      <c r="B935" s="96"/>
      <c r="C935" s="96"/>
      <c r="D935" s="96"/>
      <c r="E935" s="96"/>
      <c r="F935" s="96"/>
      <c r="G935" s="96"/>
      <c r="H935" s="96"/>
      <c r="I935" s="111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>
      <c r="A936" s="96"/>
      <c r="B936" s="96"/>
      <c r="C936" s="96"/>
      <c r="D936" s="96"/>
      <c r="E936" s="96"/>
      <c r="F936" s="96"/>
      <c r="G936" s="96"/>
      <c r="H936" s="96"/>
      <c r="I936" s="111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>
      <c r="A937" s="96"/>
      <c r="B937" s="96"/>
      <c r="C937" s="96"/>
      <c r="D937" s="96"/>
      <c r="E937" s="96"/>
      <c r="F937" s="96"/>
      <c r="G937" s="96"/>
      <c r="H937" s="96"/>
      <c r="I937" s="111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>
      <c r="A938" s="96"/>
      <c r="B938" s="96"/>
      <c r="C938" s="96"/>
      <c r="D938" s="96"/>
      <c r="E938" s="96"/>
      <c r="F938" s="96"/>
      <c r="G938" s="96"/>
      <c r="H938" s="96"/>
      <c r="I938" s="111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>
      <c r="A939" s="96"/>
      <c r="B939" s="96"/>
      <c r="C939" s="96"/>
      <c r="D939" s="96"/>
      <c r="E939" s="96"/>
      <c r="F939" s="96"/>
      <c r="G939" s="96"/>
      <c r="H939" s="96"/>
      <c r="I939" s="111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>
      <c r="A940" s="96"/>
      <c r="B940" s="96"/>
      <c r="C940" s="96"/>
      <c r="D940" s="96"/>
      <c r="E940" s="96"/>
      <c r="F940" s="96"/>
      <c r="G940" s="96"/>
      <c r="H940" s="96"/>
      <c r="I940" s="111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>
      <c r="A941" s="96"/>
      <c r="B941" s="96"/>
      <c r="C941" s="96"/>
      <c r="D941" s="96"/>
      <c r="E941" s="96"/>
      <c r="F941" s="96"/>
      <c r="G941" s="96"/>
      <c r="H941" s="96"/>
      <c r="I941" s="111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>
      <c r="A942" s="96"/>
      <c r="B942" s="96"/>
      <c r="C942" s="96"/>
      <c r="D942" s="96"/>
      <c r="E942" s="96"/>
      <c r="F942" s="96"/>
      <c r="G942" s="96"/>
      <c r="H942" s="96"/>
      <c r="I942" s="111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>
      <c r="A943" s="96"/>
      <c r="B943" s="96"/>
      <c r="C943" s="96"/>
      <c r="D943" s="96"/>
      <c r="E943" s="96"/>
      <c r="F943" s="96"/>
      <c r="G943" s="96"/>
      <c r="H943" s="96"/>
      <c r="I943" s="111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>
      <c r="A944" s="96"/>
      <c r="B944" s="96"/>
      <c r="C944" s="96"/>
      <c r="D944" s="96"/>
      <c r="E944" s="96"/>
      <c r="F944" s="96"/>
      <c r="G944" s="96"/>
      <c r="H944" s="96"/>
      <c r="I944" s="111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>
      <c r="A945" s="96"/>
      <c r="B945" s="96"/>
      <c r="C945" s="96"/>
      <c r="D945" s="96"/>
      <c r="E945" s="96"/>
      <c r="F945" s="96"/>
      <c r="G945" s="96"/>
      <c r="H945" s="96"/>
      <c r="I945" s="111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>
      <c r="A946" s="96"/>
      <c r="B946" s="96"/>
      <c r="C946" s="96"/>
      <c r="D946" s="96"/>
      <c r="E946" s="96"/>
      <c r="F946" s="96"/>
      <c r="G946" s="96"/>
      <c r="H946" s="96"/>
      <c r="I946" s="111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>
      <c r="A947" s="96"/>
      <c r="B947" s="96"/>
      <c r="C947" s="96"/>
      <c r="D947" s="96"/>
      <c r="E947" s="96"/>
      <c r="F947" s="96"/>
      <c r="G947" s="96"/>
      <c r="H947" s="96"/>
      <c r="I947" s="111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>
      <c r="A948" s="96"/>
      <c r="B948" s="96"/>
      <c r="C948" s="96"/>
      <c r="D948" s="96"/>
      <c r="E948" s="96"/>
      <c r="F948" s="96"/>
      <c r="G948" s="96"/>
      <c r="H948" s="96"/>
      <c r="I948" s="111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>
      <c r="A949" s="96"/>
      <c r="B949" s="96"/>
      <c r="C949" s="96"/>
      <c r="D949" s="96"/>
      <c r="E949" s="96"/>
      <c r="F949" s="96"/>
      <c r="G949" s="96"/>
      <c r="H949" s="96"/>
      <c r="I949" s="111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>
      <c r="A950" s="96"/>
      <c r="B950" s="96"/>
      <c r="C950" s="96"/>
      <c r="D950" s="96"/>
      <c r="E950" s="96"/>
      <c r="F950" s="96"/>
      <c r="G950" s="96"/>
      <c r="H950" s="96"/>
      <c r="I950" s="111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>
      <c r="A951" s="96"/>
      <c r="B951" s="96"/>
      <c r="C951" s="96"/>
      <c r="D951" s="96"/>
      <c r="E951" s="96"/>
      <c r="F951" s="96"/>
      <c r="G951" s="96"/>
      <c r="H951" s="96"/>
      <c r="I951" s="111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>
      <c r="A952" s="96"/>
      <c r="B952" s="96"/>
      <c r="C952" s="96"/>
      <c r="D952" s="96"/>
      <c r="E952" s="96"/>
      <c r="F952" s="96"/>
      <c r="G952" s="96"/>
      <c r="H952" s="96"/>
      <c r="I952" s="111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>
      <c r="A953" s="96"/>
      <c r="B953" s="96"/>
      <c r="C953" s="96"/>
      <c r="D953" s="96"/>
      <c r="E953" s="96"/>
      <c r="F953" s="96"/>
      <c r="G953" s="96"/>
      <c r="H953" s="96"/>
      <c r="I953" s="111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>
      <c r="A954" s="96"/>
      <c r="B954" s="96"/>
      <c r="C954" s="96"/>
      <c r="D954" s="96"/>
      <c r="E954" s="96"/>
      <c r="F954" s="96"/>
      <c r="G954" s="96"/>
      <c r="H954" s="96"/>
      <c r="I954" s="111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>
      <c r="A955" s="96"/>
      <c r="B955" s="96"/>
      <c r="C955" s="96"/>
      <c r="D955" s="96"/>
      <c r="E955" s="96"/>
      <c r="F955" s="96"/>
      <c r="G955" s="96"/>
      <c r="H955" s="96"/>
      <c r="I955" s="111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>
      <c r="A956" s="96"/>
      <c r="B956" s="96"/>
      <c r="C956" s="96"/>
      <c r="D956" s="96"/>
      <c r="E956" s="96"/>
      <c r="F956" s="96"/>
      <c r="G956" s="96"/>
      <c r="H956" s="96"/>
      <c r="I956" s="111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>
      <c r="A957" s="96"/>
      <c r="B957" s="96"/>
      <c r="C957" s="96"/>
      <c r="D957" s="96"/>
      <c r="E957" s="96"/>
      <c r="F957" s="96"/>
      <c r="G957" s="96"/>
      <c r="H957" s="96"/>
      <c r="I957" s="111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>
      <c r="A958" s="96"/>
      <c r="B958" s="96"/>
      <c r="C958" s="96"/>
      <c r="D958" s="96"/>
      <c r="E958" s="96"/>
      <c r="F958" s="96"/>
      <c r="G958" s="96"/>
      <c r="H958" s="96"/>
      <c r="I958" s="111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>
      <c r="A959" s="96"/>
      <c r="B959" s="96"/>
      <c r="C959" s="96"/>
      <c r="D959" s="96"/>
      <c r="E959" s="96"/>
      <c r="F959" s="96"/>
      <c r="G959" s="96"/>
      <c r="H959" s="96"/>
      <c r="I959" s="111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>
      <c r="A960" s="96"/>
      <c r="B960" s="96"/>
      <c r="C960" s="96"/>
      <c r="D960" s="96"/>
      <c r="E960" s="96"/>
      <c r="F960" s="96"/>
      <c r="G960" s="96"/>
      <c r="H960" s="96"/>
      <c r="I960" s="111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>
      <c r="A961" s="96"/>
      <c r="B961" s="96"/>
      <c r="C961" s="96"/>
      <c r="D961" s="96"/>
      <c r="E961" s="96"/>
      <c r="F961" s="96"/>
      <c r="G961" s="96"/>
      <c r="H961" s="96"/>
      <c r="I961" s="111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>
      <c r="A962" s="96"/>
      <c r="B962" s="96"/>
      <c r="C962" s="96"/>
      <c r="D962" s="96"/>
      <c r="E962" s="96"/>
      <c r="F962" s="96"/>
      <c r="G962" s="96"/>
      <c r="H962" s="96"/>
      <c r="I962" s="111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>
      <c r="A963" s="96"/>
      <c r="B963" s="96"/>
      <c r="C963" s="96"/>
      <c r="D963" s="96"/>
      <c r="E963" s="96"/>
      <c r="F963" s="96"/>
      <c r="G963" s="96"/>
      <c r="H963" s="96"/>
      <c r="I963" s="111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>
      <c r="A964" s="96"/>
      <c r="B964" s="96"/>
      <c r="C964" s="96"/>
      <c r="D964" s="96"/>
      <c r="E964" s="96"/>
      <c r="F964" s="96"/>
      <c r="G964" s="96"/>
      <c r="H964" s="96"/>
      <c r="I964" s="111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>
      <c r="A965" s="96"/>
      <c r="B965" s="96"/>
      <c r="C965" s="96"/>
      <c r="D965" s="96"/>
      <c r="E965" s="96"/>
      <c r="F965" s="96"/>
      <c r="G965" s="96"/>
      <c r="H965" s="96"/>
      <c r="I965" s="111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>
      <c r="A966" s="96"/>
      <c r="B966" s="96"/>
      <c r="C966" s="96"/>
      <c r="D966" s="96"/>
      <c r="E966" s="96"/>
      <c r="F966" s="96"/>
      <c r="G966" s="96"/>
      <c r="H966" s="96"/>
      <c r="I966" s="111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>
      <c r="A967" s="96"/>
      <c r="B967" s="96"/>
      <c r="C967" s="96"/>
      <c r="D967" s="96"/>
      <c r="E967" s="96"/>
      <c r="F967" s="96"/>
      <c r="G967" s="96"/>
      <c r="H967" s="96"/>
      <c r="I967" s="111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>
      <c r="A968" s="96"/>
      <c r="B968" s="96"/>
      <c r="C968" s="96"/>
      <c r="D968" s="96"/>
      <c r="E968" s="96"/>
      <c r="F968" s="96"/>
      <c r="G968" s="96"/>
      <c r="H968" s="96"/>
      <c r="I968" s="111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>
      <c r="A969" s="96"/>
      <c r="B969" s="96"/>
      <c r="C969" s="96"/>
      <c r="D969" s="96"/>
      <c r="E969" s="96"/>
      <c r="F969" s="96"/>
      <c r="G969" s="96"/>
      <c r="H969" s="96"/>
      <c r="I969" s="111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>
      <c r="A970" s="96"/>
      <c r="B970" s="96"/>
      <c r="C970" s="96"/>
      <c r="D970" s="96"/>
      <c r="E970" s="96"/>
      <c r="F970" s="96"/>
      <c r="G970" s="96"/>
      <c r="H970" s="96"/>
      <c r="I970" s="111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>
      <c r="A971" s="96"/>
      <c r="B971" s="96"/>
      <c r="C971" s="96"/>
      <c r="D971" s="96"/>
      <c r="E971" s="96"/>
      <c r="F971" s="96"/>
      <c r="G971" s="96"/>
      <c r="H971" s="96"/>
      <c r="I971" s="111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>
      <c r="A972" s="96"/>
      <c r="B972" s="96"/>
      <c r="C972" s="96"/>
      <c r="D972" s="96"/>
      <c r="E972" s="96"/>
      <c r="F972" s="96"/>
      <c r="G972" s="96"/>
      <c r="H972" s="96"/>
      <c r="I972" s="111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>
      <c r="A973" s="96"/>
      <c r="B973" s="96"/>
      <c r="C973" s="96"/>
      <c r="D973" s="96"/>
      <c r="E973" s="96"/>
      <c r="F973" s="96"/>
      <c r="G973" s="96"/>
      <c r="H973" s="96"/>
      <c r="I973" s="111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>
      <c r="A974" s="96"/>
      <c r="B974" s="96"/>
      <c r="C974" s="96"/>
      <c r="D974" s="96"/>
      <c r="E974" s="96"/>
      <c r="F974" s="96"/>
      <c r="G974" s="96"/>
      <c r="H974" s="96"/>
      <c r="I974" s="111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>
      <c r="A975" s="96"/>
      <c r="B975" s="96"/>
      <c r="C975" s="96"/>
      <c r="D975" s="96"/>
      <c r="E975" s="96"/>
      <c r="F975" s="96"/>
      <c r="G975" s="96"/>
      <c r="H975" s="96"/>
      <c r="I975" s="111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>
      <c r="A976" s="96"/>
      <c r="B976" s="96"/>
      <c r="C976" s="96"/>
      <c r="D976" s="96"/>
      <c r="E976" s="96"/>
      <c r="F976" s="96"/>
      <c r="G976" s="96"/>
      <c r="H976" s="96"/>
      <c r="I976" s="111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>
      <c r="A977" s="96"/>
      <c r="B977" s="96"/>
      <c r="C977" s="96"/>
      <c r="D977" s="96"/>
      <c r="E977" s="96"/>
      <c r="F977" s="96"/>
      <c r="G977" s="96"/>
      <c r="H977" s="96"/>
      <c r="I977" s="111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>
      <c r="A978" s="96"/>
      <c r="B978" s="96"/>
      <c r="C978" s="96"/>
      <c r="D978" s="96"/>
      <c r="E978" s="96"/>
      <c r="F978" s="96"/>
      <c r="G978" s="96"/>
      <c r="H978" s="96"/>
      <c r="I978" s="111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>
      <c r="A979" s="96"/>
      <c r="B979" s="96"/>
      <c r="C979" s="96"/>
      <c r="D979" s="96"/>
      <c r="E979" s="96"/>
      <c r="F979" s="96"/>
      <c r="G979" s="96"/>
      <c r="H979" s="96"/>
      <c r="I979" s="111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>
      <c r="A980" s="96"/>
      <c r="B980" s="96"/>
      <c r="C980" s="96"/>
      <c r="D980" s="96"/>
      <c r="E980" s="96"/>
      <c r="F980" s="96"/>
      <c r="G980" s="96"/>
      <c r="H980" s="96"/>
      <c r="I980" s="111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>
      <c r="A981" s="96"/>
      <c r="B981" s="96"/>
      <c r="C981" s="96"/>
      <c r="D981" s="96"/>
      <c r="E981" s="96"/>
      <c r="F981" s="96"/>
      <c r="G981" s="96"/>
      <c r="H981" s="96"/>
      <c r="I981" s="111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>
      <c r="A982" s="96"/>
      <c r="B982" s="96"/>
      <c r="C982" s="96"/>
      <c r="D982" s="96"/>
      <c r="E982" s="96"/>
      <c r="F982" s="96"/>
      <c r="G982" s="96"/>
      <c r="H982" s="96"/>
      <c r="I982" s="111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>
      <c r="A983" s="96"/>
      <c r="B983" s="96"/>
      <c r="C983" s="96"/>
      <c r="D983" s="96"/>
      <c r="E983" s="96"/>
      <c r="F983" s="96"/>
      <c r="G983" s="96"/>
      <c r="H983" s="96"/>
      <c r="I983" s="111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>
      <c r="A984" s="96"/>
      <c r="B984" s="96"/>
      <c r="C984" s="96"/>
      <c r="D984" s="96"/>
      <c r="E984" s="96"/>
      <c r="F984" s="96"/>
      <c r="G984" s="96"/>
      <c r="H984" s="96"/>
      <c r="I984" s="111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>
      <c r="A985" s="96"/>
      <c r="B985" s="96"/>
      <c r="C985" s="96"/>
      <c r="D985" s="96"/>
      <c r="E985" s="96"/>
      <c r="F985" s="96"/>
      <c r="G985" s="96"/>
      <c r="H985" s="96"/>
      <c r="I985" s="111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>
      <c r="A986" s="96"/>
      <c r="B986" s="96"/>
      <c r="C986" s="96"/>
      <c r="D986" s="96"/>
      <c r="E986" s="96"/>
      <c r="F986" s="96"/>
      <c r="G986" s="96"/>
      <c r="H986" s="96"/>
      <c r="I986" s="111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>
      <c r="A987" s="96"/>
      <c r="B987" s="96"/>
      <c r="C987" s="96"/>
      <c r="D987" s="96"/>
      <c r="E987" s="96"/>
      <c r="F987" s="96"/>
      <c r="G987" s="96"/>
      <c r="H987" s="96"/>
      <c r="I987" s="111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>
      <c r="A988" s="96"/>
      <c r="B988" s="96"/>
      <c r="C988" s="96"/>
      <c r="D988" s="96"/>
      <c r="E988" s="96"/>
      <c r="F988" s="96"/>
      <c r="G988" s="96"/>
      <c r="H988" s="96"/>
      <c r="I988" s="111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>
      <c r="A989" s="96"/>
      <c r="B989" s="96"/>
      <c r="C989" s="96"/>
      <c r="D989" s="96"/>
      <c r="E989" s="96"/>
      <c r="F989" s="96"/>
      <c r="G989" s="96"/>
      <c r="H989" s="96"/>
      <c r="I989" s="111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>
      <c r="A990" s="96"/>
      <c r="B990" s="96"/>
      <c r="C990" s="96"/>
      <c r="D990" s="96"/>
      <c r="E990" s="96"/>
      <c r="F990" s="96"/>
      <c r="G990" s="96"/>
      <c r="H990" s="96"/>
      <c r="I990" s="111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>
      <c r="A991" s="96"/>
      <c r="B991" s="96"/>
      <c r="C991" s="96"/>
      <c r="D991" s="96"/>
      <c r="E991" s="96"/>
      <c r="F991" s="96"/>
      <c r="G991" s="96"/>
      <c r="H991" s="96"/>
      <c r="I991" s="111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>
      <c r="A992" s="96"/>
      <c r="B992" s="96"/>
      <c r="C992" s="96"/>
      <c r="D992" s="96"/>
      <c r="E992" s="96"/>
      <c r="F992" s="96"/>
      <c r="G992" s="96"/>
      <c r="H992" s="96"/>
      <c r="I992" s="111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>
      <c r="A993" s="96"/>
      <c r="B993" s="96"/>
      <c r="C993" s="96"/>
      <c r="D993" s="96"/>
      <c r="E993" s="96"/>
      <c r="F993" s="96"/>
      <c r="G993" s="96"/>
      <c r="H993" s="96"/>
      <c r="I993" s="111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>
      <c r="A994" s="96"/>
      <c r="B994" s="96"/>
      <c r="C994" s="96"/>
      <c r="D994" s="96"/>
      <c r="E994" s="96"/>
      <c r="F994" s="96"/>
      <c r="G994" s="96"/>
      <c r="H994" s="96"/>
      <c r="I994" s="111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>
      <c r="A995" s="96"/>
      <c r="B995" s="96"/>
      <c r="C995" s="96"/>
      <c r="D995" s="96"/>
      <c r="E995" s="96"/>
      <c r="F995" s="96"/>
      <c r="G995" s="96"/>
      <c r="H995" s="96"/>
      <c r="I995" s="111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>
      <c r="A996" s="96"/>
      <c r="B996" s="96"/>
      <c r="C996" s="96"/>
      <c r="D996" s="96"/>
      <c r="E996" s="96"/>
      <c r="F996" s="96"/>
      <c r="G996" s="96"/>
      <c r="H996" s="96"/>
      <c r="I996" s="111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>
      <c r="A997" s="96"/>
      <c r="B997" s="96"/>
      <c r="C997" s="96"/>
      <c r="D997" s="96"/>
      <c r="E997" s="96"/>
      <c r="F997" s="96"/>
      <c r="G997" s="96"/>
      <c r="H997" s="96"/>
      <c r="I997" s="111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>
      <c r="A998" s="96"/>
      <c r="B998" s="96"/>
      <c r="C998" s="96"/>
      <c r="D998" s="96"/>
      <c r="E998" s="96"/>
      <c r="F998" s="96"/>
      <c r="G998" s="96"/>
      <c r="H998" s="96"/>
      <c r="I998" s="111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>
      <c r="A999" s="96"/>
      <c r="B999" s="96"/>
      <c r="C999" s="96"/>
      <c r="D999" s="96"/>
      <c r="E999" s="96"/>
      <c r="F999" s="96"/>
      <c r="G999" s="96"/>
      <c r="H999" s="96"/>
      <c r="I999" s="111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>
      <c r="A1000" s="96"/>
      <c r="B1000" s="96"/>
      <c r="C1000" s="96"/>
      <c r="D1000" s="96"/>
      <c r="E1000" s="96"/>
      <c r="F1000" s="96"/>
      <c r="G1000" s="96"/>
      <c r="H1000" s="96"/>
      <c r="I1000" s="111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 spans="1:26">
      <c r="A1001" s="96"/>
      <c r="B1001" s="96"/>
      <c r="C1001" s="96"/>
      <c r="D1001" s="96"/>
      <c r="E1001" s="96"/>
      <c r="F1001" s="96"/>
      <c r="G1001" s="96"/>
      <c r="H1001" s="96"/>
      <c r="I1001" s="111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 spans="1:26">
      <c r="A1002" s="96"/>
      <c r="B1002" s="96"/>
      <c r="C1002" s="96"/>
      <c r="D1002" s="96"/>
      <c r="E1002" s="96"/>
      <c r="F1002" s="96"/>
      <c r="G1002" s="96"/>
      <c r="H1002" s="96"/>
      <c r="I1002" s="111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  <row r="1003" spans="1:26">
      <c r="A1003" s="96"/>
      <c r="B1003" s="96"/>
      <c r="C1003" s="96"/>
      <c r="D1003" s="96"/>
      <c r="E1003" s="96"/>
      <c r="F1003" s="96"/>
      <c r="G1003" s="96"/>
      <c r="H1003" s="96"/>
      <c r="I1003" s="111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</row>
    <row r="1004" spans="1:26">
      <c r="A1004" s="96"/>
      <c r="B1004" s="96"/>
      <c r="C1004" s="96"/>
      <c r="D1004" s="96"/>
      <c r="E1004" s="96"/>
      <c r="F1004" s="96"/>
      <c r="G1004" s="96"/>
      <c r="H1004" s="96"/>
      <c r="I1004" s="111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</row>
    <row r="1005" spans="1:26">
      <c r="A1005" s="96"/>
      <c r="B1005" s="96"/>
      <c r="C1005" s="96"/>
      <c r="D1005" s="96"/>
      <c r="E1005" s="96"/>
      <c r="F1005" s="96"/>
      <c r="G1005" s="96"/>
      <c r="H1005" s="96"/>
      <c r="I1005" s="111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</row>
    <row r="1006" spans="1:26">
      <c r="A1006" s="96"/>
      <c r="B1006" s="96"/>
      <c r="C1006" s="96"/>
      <c r="D1006" s="96"/>
      <c r="E1006" s="96"/>
      <c r="F1006" s="96"/>
      <c r="G1006" s="96"/>
      <c r="H1006" s="96"/>
      <c r="I1006" s="111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</row>
    <row r="1007" spans="1:26">
      <c r="A1007" s="96"/>
      <c r="B1007" s="96"/>
      <c r="C1007" s="96"/>
      <c r="D1007" s="96"/>
      <c r="E1007" s="96"/>
      <c r="F1007" s="96"/>
      <c r="G1007" s="96"/>
      <c r="H1007" s="96"/>
      <c r="I1007" s="111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</row>
    <row r="1008" spans="1:26">
      <c r="A1008" s="96"/>
      <c r="B1008" s="96"/>
      <c r="C1008" s="96"/>
      <c r="D1008" s="96"/>
      <c r="E1008" s="96"/>
      <c r="F1008" s="96"/>
      <c r="G1008" s="96"/>
      <c r="H1008" s="96"/>
      <c r="I1008" s="111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</row>
    <row r="1009" spans="1:26">
      <c r="A1009" s="96"/>
      <c r="B1009" s="96"/>
      <c r="C1009" s="96"/>
      <c r="D1009" s="96"/>
      <c r="E1009" s="96"/>
      <c r="F1009" s="96"/>
      <c r="G1009" s="96"/>
      <c r="H1009" s="96"/>
      <c r="I1009" s="111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</row>
    <row r="1010" spans="1:26">
      <c r="A1010" s="96"/>
      <c r="B1010" s="96"/>
      <c r="C1010" s="96"/>
      <c r="D1010" s="96"/>
      <c r="E1010" s="96"/>
      <c r="F1010" s="96"/>
      <c r="G1010" s="96"/>
      <c r="H1010" s="96"/>
      <c r="I1010" s="111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</row>
    <row r="1011" spans="1:26">
      <c r="A1011" s="96"/>
      <c r="B1011" s="96"/>
      <c r="C1011" s="96"/>
      <c r="D1011" s="96"/>
      <c r="E1011" s="96"/>
      <c r="F1011" s="96"/>
      <c r="G1011" s="96"/>
      <c r="H1011" s="96"/>
      <c r="I1011" s="111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</row>
    <row r="1012" spans="1:26">
      <c r="A1012" s="96"/>
      <c r="B1012" s="96"/>
      <c r="C1012" s="96"/>
      <c r="D1012" s="96"/>
      <c r="E1012" s="96"/>
      <c r="F1012" s="96"/>
      <c r="G1012" s="96"/>
      <c r="H1012" s="96"/>
      <c r="I1012" s="111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</row>
    <row r="1013" spans="1:26">
      <c r="A1013" s="96"/>
      <c r="B1013" s="96"/>
      <c r="C1013" s="96"/>
      <c r="D1013" s="96"/>
      <c r="E1013" s="96"/>
      <c r="F1013" s="96"/>
      <c r="G1013" s="96"/>
      <c r="H1013" s="96"/>
      <c r="I1013" s="111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</row>
    <row r="1014" spans="1:26">
      <c r="A1014" s="96"/>
      <c r="B1014" s="96"/>
      <c r="C1014" s="96"/>
      <c r="D1014" s="96"/>
      <c r="E1014" s="96"/>
      <c r="F1014" s="96"/>
      <c r="G1014" s="96"/>
      <c r="H1014" s="96"/>
      <c r="I1014" s="111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</row>
    <row r="1015" spans="1:26">
      <c r="A1015" s="96"/>
      <c r="B1015" s="96"/>
      <c r="C1015" s="96"/>
      <c r="D1015" s="96"/>
      <c r="E1015" s="96"/>
      <c r="F1015" s="96"/>
      <c r="G1015" s="96"/>
      <c r="H1015" s="96"/>
      <c r="I1015" s="111"/>
      <c r="J1015" s="96"/>
      <c r="K1015" s="96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</row>
    <row r="1016" spans="1:26">
      <c r="A1016" s="96"/>
      <c r="B1016" s="96"/>
      <c r="C1016" s="96"/>
      <c r="D1016" s="96"/>
      <c r="E1016" s="96"/>
      <c r="F1016" s="96"/>
      <c r="G1016" s="96"/>
      <c r="H1016" s="96"/>
      <c r="I1016" s="111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</row>
    <row r="1017" spans="1:26">
      <c r="A1017" s="96"/>
      <c r="B1017" s="96"/>
      <c r="C1017" s="96"/>
      <c r="D1017" s="96"/>
      <c r="E1017" s="96"/>
      <c r="F1017" s="96"/>
      <c r="G1017" s="96"/>
      <c r="H1017" s="96"/>
      <c r="I1017" s="111"/>
      <c r="J1017" s="96"/>
      <c r="K1017" s="96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</row>
  </sheetData>
  <mergeCells count="4">
    <mergeCell ref="A1:L2"/>
    <mergeCell ref="A38:L39"/>
    <mergeCell ref="A58:L59"/>
    <mergeCell ref="A78:L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7"/>
  <sheetViews>
    <sheetView view="pageBreakPreview" topLeftCell="A186" zoomScaleNormal="100" zoomScaleSheetLayoutView="100" workbookViewId="0">
      <selection activeCell="D80" sqref="D80"/>
    </sheetView>
  </sheetViews>
  <sheetFormatPr defaultColWidth="9" defaultRowHeight="21"/>
  <cols>
    <col min="1" max="1" width="32.75" style="7" customWidth="1"/>
    <col min="2" max="2" width="7.875" style="27" customWidth="1"/>
    <col min="3" max="3" width="11.25" style="21" bestFit="1" customWidth="1"/>
    <col min="4" max="4" width="14" style="34" bestFit="1" customWidth="1"/>
    <col min="5" max="5" width="11.25" style="21" bestFit="1" customWidth="1"/>
    <col min="6" max="6" width="14" style="34" bestFit="1" customWidth="1"/>
    <col min="7" max="9" width="9" style="7"/>
    <col min="10" max="10" width="18.625" style="7" customWidth="1"/>
    <col min="11" max="16384" width="9" style="7"/>
  </cols>
  <sheetData>
    <row r="1" spans="1:6" ht="21.75">
      <c r="A1" s="1250" t="s">
        <v>1725</v>
      </c>
      <c r="B1" s="1250"/>
      <c r="C1" s="1250"/>
      <c r="D1" s="1250"/>
      <c r="E1" s="1250"/>
      <c r="F1" s="1250"/>
    </row>
    <row r="2" spans="1:6" ht="21.75">
      <c r="A2" s="1250" t="s">
        <v>1750</v>
      </c>
      <c r="B2" s="1250"/>
      <c r="C2" s="1250"/>
      <c r="D2" s="1250"/>
      <c r="E2" s="1250"/>
      <c r="F2" s="1250"/>
    </row>
    <row r="3" spans="1:6" ht="21.75">
      <c r="A3" s="1250" t="s">
        <v>3996</v>
      </c>
      <c r="B3" s="1250"/>
      <c r="C3" s="1250"/>
      <c r="D3" s="1250"/>
      <c r="E3" s="1250"/>
      <c r="F3" s="1250"/>
    </row>
    <row r="4" spans="1:6">
      <c r="A4" s="1251" t="s">
        <v>1726</v>
      </c>
      <c r="B4" s="1252" t="s">
        <v>1727</v>
      </c>
      <c r="C4" s="1254" t="s">
        <v>1728</v>
      </c>
      <c r="D4" s="1254"/>
      <c r="E4" s="1254" t="s">
        <v>1743</v>
      </c>
      <c r="F4" s="1254"/>
    </row>
    <row r="5" spans="1:6">
      <c r="A5" s="1251"/>
      <c r="B5" s="1253"/>
      <c r="C5" s="6" t="s">
        <v>1744</v>
      </c>
      <c r="D5" s="28" t="s">
        <v>1745</v>
      </c>
      <c r="E5" s="6" t="s">
        <v>1744</v>
      </c>
      <c r="F5" s="28" t="s">
        <v>1745</v>
      </c>
    </row>
    <row r="6" spans="1:6" ht="21.75">
      <c r="A6" s="8" t="s">
        <v>1729</v>
      </c>
      <c r="B6" s="23"/>
      <c r="C6" s="9"/>
      <c r="D6" s="29"/>
      <c r="E6" s="9"/>
      <c r="F6" s="29"/>
    </row>
    <row r="7" spans="1:6" ht="21.75">
      <c r="A7" s="10" t="s">
        <v>1746</v>
      </c>
      <c r="B7" s="22"/>
      <c r="C7" s="11"/>
      <c r="D7" s="33"/>
      <c r="E7" s="11"/>
      <c r="F7" s="30"/>
    </row>
    <row r="8" spans="1:6" ht="21.75">
      <c r="A8" s="10" t="s">
        <v>1747</v>
      </c>
      <c r="B8" s="22"/>
      <c r="C8" s="11">
        <f>อาคาร!A16</f>
        <v>6</v>
      </c>
      <c r="D8" s="33">
        <f>อาคาร!E16</f>
        <v>14661018</v>
      </c>
      <c r="E8" s="11"/>
      <c r="F8" s="30"/>
    </row>
    <row r="9" spans="1:6" ht="21.75">
      <c r="A9" s="10" t="s">
        <v>1748</v>
      </c>
      <c r="B9" s="22"/>
      <c r="C9" s="11"/>
      <c r="D9" s="33"/>
      <c r="E9" s="11"/>
      <c r="F9" s="30"/>
    </row>
    <row r="10" spans="1:6" ht="21.75">
      <c r="A10" s="10" t="s">
        <v>1749</v>
      </c>
      <c r="B10" s="22"/>
      <c r="C10" s="11"/>
      <c r="D10" s="33"/>
      <c r="E10" s="11"/>
      <c r="F10" s="30"/>
    </row>
    <row r="11" spans="1:6" ht="21.75">
      <c r="A11" s="10" t="s">
        <v>1751</v>
      </c>
      <c r="B11" s="22"/>
      <c r="C11" s="11"/>
      <c r="D11" s="33"/>
      <c r="E11" s="11"/>
      <c r="F11" s="30"/>
    </row>
    <row r="12" spans="1:6" ht="21.75">
      <c r="A12" s="10" t="s">
        <v>1752</v>
      </c>
      <c r="B12" s="22"/>
      <c r="C12" s="11"/>
      <c r="D12" s="33"/>
      <c r="E12" s="79"/>
      <c r="F12" s="30"/>
    </row>
    <row r="13" spans="1:6" ht="21.75">
      <c r="A13" s="10" t="s">
        <v>1753</v>
      </c>
      <c r="B13" s="22"/>
      <c r="C13" s="11"/>
      <c r="D13" s="33"/>
      <c r="E13" s="79"/>
      <c r="F13" s="30"/>
    </row>
    <row r="14" spans="1:6" ht="21.75">
      <c r="A14" s="10" t="s">
        <v>1754</v>
      </c>
      <c r="B14" s="22"/>
      <c r="C14" s="11"/>
      <c r="D14" s="33"/>
      <c r="E14" s="79"/>
      <c r="F14" s="30"/>
    </row>
    <row r="15" spans="1:6" ht="21.75">
      <c r="A15" s="10" t="s">
        <v>1755</v>
      </c>
      <c r="B15" s="22"/>
      <c r="C15" s="11"/>
      <c r="D15" s="33"/>
      <c r="E15" s="79"/>
      <c r="F15" s="30"/>
    </row>
    <row r="16" spans="1:6" ht="21.75">
      <c r="A16" s="10" t="s">
        <v>1756</v>
      </c>
      <c r="B16" s="22"/>
      <c r="C16" s="11"/>
      <c r="D16" s="33"/>
      <c r="E16" s="79"/>
      <c r="F16" s="30"/>
    </row>
    <row r="17" spans="1:6" ht="21.75">
      <c r="A17" s="10" t="s">
        <v>3248</v>
      </c>
      <c r="B17" s="22"/>
      <c r="C17" s="11"/>
      <c r="D17" s="33"/>
      <c r="E17" s="79"/>
      <c r="F17" s="30"/>
    </row>
    <row r="18" spans="1:6" ht="21.75">
      <c r="A18" s="10" t="s">
        <v>1949</v>
      </c>
      <c r="B18" s="22"/>
      <c r="C18" s="11"/>
      <c r="D18" s="33"/>
      <c r="E18" s="79"/>
      <c r="F18" s="30"/>
    </row>
    <row r="19" spans="1:6" ht="21.75">
      <c r="A19" s="10" t="s">
        <v>1757</v>
      </c>
      <c r="B19" s="22"/>
      <c r="C19" s="11"/>
      <c r="D19" s="33"/>
      <c r="E19" s="79"/>
      <c r="F19" s="30"/>
    </row>
    <row r="20" spans="1:6" ht="21.75">
      <c r="A20" s="10" t="s">
        <v>1758</v>
      </c>
      <c r="B20" s="22"/>
      <c r="C20" s="11"/>
      <c r="D20" s="33"/>
      <c r="E20" s="79"/>
      <c r="F20" s="30"/>
    </row>
    <row r="21" spans="1:6" ht="21.75">
      <c r="A21" s="10" t="s">
        <v>3239</v>
      </c>
      <c r="B21" s="22"/>
      <c r="C21" s="11">
        <f>สิ่งปลูกสร้าง!A9</f>
        <v>1</v>
      </c>
      <c r="D21" s="33">
        <f>สิ่งปลูกสร้าง!E9</f>
        <v>152000</v>
      </c>
      <c r="E21" s="79"/>
      <c r="F21" s="30"/>
    </row>
    <row r="22" spans="1:6" ht="21.75">
      <c r="A22" s="10" t="s">
        <v>3240</v>
      </c>
      <c r="B22" s="22"/>
      <c r="C22" s="11">
        <f>สิ่งปลูกสร้าง!A118</f>
        <v>106</v>
      </c>
      <c r="D22" s="33">
        <f>สิ่งปลูกสร้าง!E118</f>
        <v>459829.99999999983</v>
      </c>
      <c r="E22" s="79"/>
      <c r="F22" s="30"/>
    </row>
    <row r="23" spans="1:6" ht="21.75">
      <c r="A23" s="10" t="s">
        <v>3241</v>
      </c>
      <c r="B23" s="22"/>
      <c r="C23" s="11"/>
      <c r="D23" s="33"/>
      <c r="E23" s="79"/>
      <c r="F23" s="30"/>
    </row>
    <row r="24" spans="1:6" ht="21.75">
      <c r="A24" s="10" t="s">
        <v>3242</v>
      </c>
      <c r="B24" s="22"/>
      <c r="C24" s="11"/>
      <c r="D24" s="33"/>
      <c r="E24" s="79"/>
      <c r="F24" s="30"/>
    </row>
    <row r="25" spans="1:6" ht="21.75">
      <c r="A25" s="10" t="s">
        <v>3243</v>
      </c>
      <c r="B25" s="22"/>
      <c r="C25" s="11"/>
      <c r="D25" s="137"/>
      <c r="E25" s="79"/>
      <c r="F25" s="30"/>
    </row>
    <row r="26" spans="1:6" ht="21.75">
      <c r="A26" s="12" t="s">
        <v>3244</v>
      </c>
      <c r="B26" s="24"/>
      <c r="C26" s="13"/>
      <c r="D26" s="33"/>
      <c r="E26" s="79"/>
      <c r="F26" s="30"/>
    </row>
    <row r="27" spans="1:6" ht="21.75">
      <c r="A27" s="78" t="s">
        <v>3245</v>
      </c>
      <c r="B27" s="22"/>
      <c r="C27" s="11"/>
      <c r="D27" s="33"/>
      <c r="E27" s="11"/>
      <c r="F27" s="30"/>
    </row>
    <row r="28" spans="1:6" ht="21.75">
      <c r="A28" s="12" t="s">
        <v>3246</v>
      </c>
      <c r="B28" s="24"/>
      <c r="C28" s="13">
        <f>สิ่งปลูกสร้าง!A121</f>
        <v>1</v>
      </c>
      <c r="D28" s="138">
        <f>สิ่งปลูกสร้าง!E121</f>
        <v>199500</v>
      </c>
      <c r="E28" s="11"/>
      <c r="F28" s="31"/>
    </row>
    <row r="29" spans="1:6" ht="21.75">
      <c r="A29" s="12" t="s">
        <v>3247</v>
      </c>
      <c r="B29" s="24"/>
      <c r="C29" s="13">
        <f>สิ่งปลูกสร้าง!A124</f>
        <v>1</v>
      </c>
      <c r="D29" s="138">
        <f>สิ่งปลูกสร้าง!E124</f>
        <v>299000</v>
      </c>
      <c r="E29" s="13"/>
      <c r="F29" s="31"/>
    </row>
    <row r="30" spans="1:6" ht="21.75">
      <c r="A30" s="78" t="s">
        <v>3249</v>
      </c>
      <c r="B30" s="22"/>
      <c r="C30" s="11">
        <f>สิ่งปลูกสร้าง!A138</f>
        <v>12</v>
      </c>
      <c r="D30" s="33">
        <f>สิ่งปลูกสร้าง!E138</f>
        <v>146541</v>
      </c>
      <c r="E30" s="11"/>
      <c r="F30" s="30"/>
    </row>
    <row r="31" spans="1:6" ht="21.75">
      <c r="A31" s="78" t="s">
        <v>3250</v>
      </c>
      <c r="B31" s="22"/>
      <c r="C31" s="11">
        <f>สิ่งปลูกสร้าง!A141</f>
        <v>1</v>
      </c>
      <c r="D31" s="33">
        <f>สิ่งปลูกสร้าง!E141</f>
        <v>30000</v>
      </c>
      <c r="E31" s="11"/>
      <c r="F31" s="30"/>
    </row>
    <row r="32" spans="1:6" ht="21.75">
      <c r="A32" s="78" t="s">
        <v>3251</v>
      </c>
      <c r="B32" s="22"/>
      <c r="C32" s="11">
        <f>สิ่งปลูกสร้าง!A144</f>
        <v>1</v>
      </c>
      <c r="D32" s="33">
        <f>สิ่งปลูกสร้าง!E144</f>
        <v>9150</v>
      </c>
      <c r="E32" s="11"/>
      <c r="F32" s="30"/>
    </row>
    <row r="33" spans="1:6" ht="21.75">
      <c r="A33" s="78" t="s">
        <v>3252</v>
      </c>
      <c r="B33" s="22"/>
      <c r="C33" s="11">
        <f>สิ่งปลูกสร้าง!A147</f>
        <v>1</v>
      </c>
      <c r="D33" s="33">
        <f>สิ่งปลูกสร้าง!E147</f>
        <v>476000</v>
      </c>
      <c r="E33" s="81"/>
      <c r="F33" s="77"/>
    </row>
    <row r="34" spans="1:6" ht="21.75">
      <c r="A34" s="78" t="s">
        <v>3253</v>
      </c>
      <c r="B34" s="22"/>
      <c r="C34" s="11">
        <f>สิ่งปลูกสร้าง!A150</f>
        <v>1</v>
      </c>
      <c r="D34" s="33">
        <f>สิ่งปลูกสร้าง!E150</f>
        <v>80900.73</v>
      </c>
      <c r="E34" s="80"/>
      <c r="F34" s="30"/>
    </row>
    <row r="35" spans="1:6" ht="22.5" thickBot="1">
      <c r="A35" s="74" t="s">
        <v>1730</v>
      </c>
      <c r="B35" s="75"/>
      <c r="C35" s="949">
        <f>C34+C33+C32+C31+C30+C29+C28+C22+C21+C8</f>
        <v>131</v>
      </c>
      <c r="D35" s="950">
        <f>D34+D33+D32+D31+D30+D29+D28+D22+D21+D8</f>
        <v>16513939.73</v>
      </c>
      <c r="E35" s="951">
        <f>SUM(F3)</f>
        <v>0</v>
      </c>
      <c r="F35" s="952"/>
    </row>
    <row r="36" spans="1:6" ht="22.5" thickTop="1">
      <c r="A36" s="70"/>
      <c r="B36" s="71"/>
      <c r="C36" s="72"/>
      <c r="D36" s="73"/>
      <c r="E36" s="72"/>
      <c r="F36" s="73"/>
    </row>
    <row r="37" spans="1:6" ht="21.75">
      <c r="A37" s="15" t="s">
        <v>1759</v>
      </c>
      <c r="B37" s="26"/>
      <c r="C37" s="16"/>
      <c r="D37" s="32"/>
      <c r="E37" s="16"/>
      <c r="F37" s="32"/>
    </row>
    <row r="38" spans="1:6" ht="21.75">
      <c r="A38" s="17" t="s">
        <v>1760</v>
      </c>
      <c r="B38" s="22"/>
      <c r="C38" s="11"/>
      <c r="D38" s="30"/>
      <c r="E38" s="11"/>
      <c r="F38" s="33"/>
    </row>
    <row r="39" spans="1:6" ht="21.75">
      <c r="A39" s="10" t="s">
        <v>1761</v>
      </c>
      <c r="B39" s="22"/>
      <c r="C39" s="52">
        <f>สำนักงาน!A40</f>
        <v>31</v>
      </c>
      <c r="D39" s="53">
        <f>สำนักงาน!E40</f>
        <v>472051.91000000003</v>
      </c>
      <c r="E39" s="52"/>
      <c r="F39" s="53"/>
    </row>
    <row r="40" spans="1:6" ht="21.75">
      <c r="A40" s="10" t="s">
        <v>1762</v>
      </c>
      <c r="B40" s="22"/>
      <c r="C40" s="52">
        <f>สำนักงาน!A274</f>
        <v>227</v>
      </c>
      <c r="D40" s="53">
        <f>สำนักงาน!E274</f>
        <v>1163306.06</v>
      </c>
      <c r="E40" s="52">
        <f>'ส่งคลัง (ต)'!A24</f>
        <v>14</v>
      </c>
      <c r="F40" s="53">
        <f>'ส่งคลัง (ต)'!E24</f>
        <v>57260</v>
      </c>
    </row>
    <row r="41" spans="1:6" ht="21" customHeight="1">
      <c r="A41" s="10" t="s">
        <v>1763</v>
      </c>
      <c r="B41" s="22"/>
      <c r="C41" s="52">
        <f>สำนักงาน!A764</f>
        <v>487</v>
      </c>
      <c r="D41" s="53">
        <f>สำนักงาน!E764</f>
        <v>879613.6</v>
      </c>
      <c r="E41" s="52">
        <f>'ส่งคลัง (ต)'!A146</f>
        <v>118</v>
      </c>
      <c r="F41" s="53">
        <f>'ส่งคลัง (ต)'!E146</f>
        <v>152760</v>
      </c>
    </row>
    <row r="42" spans="1:6" ht="21.75">
      <c r="A42" s="10" t="s">
        <v>1764</v>
      </c>
      <c r="B42" s="22"/>
      <c r="C42" s="52"/>
      <c r="D42" s="53"/>
      <c r="E42" s="52"/>
      <c r="F42" s="53"/>
    </row>
    <row r="43" spans="1:6" ht="21.75">
      <c r="A43" s="10" t="s">
        <v>1765</v>
      </c>
      <c r="B43" s="22"/>
      <c r="C43" s="52">
        <f>สำนักงาน!A802</f>
        <v>35</v>
      </c>
      <c r="D43" s="53">
        <f>สำนักงาน!E802</f>
        <v>450936</v>
      </c>
      <c r="E43" s="52"/>
      <c r="F43" s="53"/>
    </row>
    <row r="44" spans="1:6" ht="21.75">
      <c r="A44" s="10" t="s">
        <v>1766</v>
      </c>
      <c r="B44" s="22"/>
      <c r="C44" s="52">
        <f>สำนักงาน!A827</f>
        <v>22</v>
      </c>
      <c r="D44" s="53">
        <f>สำนักงาน!E827</f>
        <v>123850</v>
      </c>
      <c r="E44" s="52">
        <f>'ส่งคลัง (ต)'!A154</f>
        <v>5</v>
      </c>
      <c r="F44" s="53">
        <f>'ส่งคลัง (ต)'!E154</f>
        <v>7550</v>
      </c>
    </row>
    <row r="45" spans="1:6" ht="21.75">
      <c r="A45" s="10" t="s">
        <v>1767</v>
      </c>
      <c r="B45" s="22"/>
      <c r="C45" s="52">
        <f>สำนักงาน!A831</f>
        <v>1</v>
      </c>
      <c r="D45" s="53">
        <f>สำนักงาน!E831</f>
        <v>30000</v>
      </c>
      <c r="E45" s="52"/>
      <c r="F45" s="53"/>
    </row>
    <row r="46" spans="1:6" ht="21" customHeight="1">
      <c r="A46" s="10" t="s">
        <v>1768</v>
      </c>
      <c r="B46" s="22"/>
      <c r="C46" s="52">
        <f>สำนักงาน!A971</f>
        <v>141</v>
      </c>
      <c r="D46" s="53">
        <f>สำนักงาน!E971</f>
        <v>1116504</v>
      </c>
      <c r="E46" s="52">
        <f>'ส่งคลัง (ต)'!A187</f>
        <v>27</v>
      </c>
      <c r="F46" s="53">
        <f>'ส่งคลัง (ต)'!E187</f>
        <v>139937</v>
      </c>
    </row>
    <row r="47" spans="1:6" ht="21.75">
      <c r="A47" s="10" t="s">
        <v>1769</v>
      </c>
      <c r="B47" s="22"/>
      <c r="C47" s="52">
        <f>สำนักงาน!A977</f>
        <v>3</v>
      </c>
      <c r="D47" s="53">
        <f>สำนักงาน!E977</f>
        <v>12242</v>
      </c>
      <c r="E47" s="52"/>
      <c r="F47" s="53"/>
    </row>
    <row r="48" spans="1:6" ht="21.75">
      <c r="A48" s="10" t="s">
        <v>1770</v>
      </c>
      <c r="B48" s="22"/>
      <c r="C48" s="52">
        <f>สำนักงาน!A981</f>
        <v>1</v>
      </c>
      <c r="D48" s="53">
        <f>สำนักงาน!E981</f>
        <v>800</v>
      </c>
      <c r="E48" s="52"/>
      <c r="F48" s="53"/>
    </row>
    <row r="49" spans="1:6" ht="21.75">
      <c r="A49" s="10" t="s">
        <v>1771</v>
      </c>
      <c r="B49" s="22"/>
      <c r="C49" s="52">
        <f>สำนักงาน!A984</f>
        <v>1</v>
      </c>
      <c r="D49" s="53">
        <f>สำนักงาน!E984</f>
        <v>2500</v>
      </c>
      <c r="E49" s="52"/>
      <c r="F49" s="53"/>
    </row>
    <row r="50" spans="1:6" ht="21.75">
      <c r="A50" s="10" t="s">
        <v>1772</v>
      </c>
      <c r="B50" s="22"/>
      <c r="C50" s="52"/>
      <c r="D50" s="53"/>
      <c r="E50" s="52"/>
      <c r="F50" s="53"/>
    </row>
    <row r="51" spans="1:6" ht="21.75">
      <c r="A51" s="10" t="s">
        <v>1773</v>
      </c>
      <c r="B51" s="22"/>
      <c r="C51" s="52"/>
      <c r="D51" s="53"/>
      <c r="E51" s="52"/>
      <c r="F51" s="53"/>
    </row>
    <row r="52" spans="1:6" ht="21.75">
      <c r="A52" s="10" t="s">
        <v>1774</v>
      </c>
      <c r="B52" s="22"/>
      <c r="C52" s="52">
        <f>สำนักงาน!A988</f>
        <v>1</v>
      </c>
      <c r="D52" s="53">
        <f>สำนักงาน!E988</f>
        <v>8600</v>
      </c>
      <c r="E52" s="52"/>
      <c r="F52" s="53"/>
    </row>
    <row r="53" spans="1:6" ht="21.75">
      <c r="A53" s="10" t="s">
        <v>1775</v>
      </c>
      <c r="B53" s="22"/>
      <c r="C53" s="52">
        <f>สำนักงาน!A994</f>
        <v>3</v>
      </c>
      <c r="D53" s="53">
        <f>สำนักงาน!E994</f>
        <v>9600</v>
      </c>
      <c r="E53" s="52"/>
      <c r="F53" s="53"/>
    </row>
    <row r="54" spans="1:6" ht="21.75">
      <c r="A54" s="10" t="s">
        <v>1776</v>
      </c>
      <c r="B54" s="22"/>
      <c r="C54" s="52"/>
      <c r="D54" s="53"/>
      <c r="E54" s="52"/>
      <c r="F54" s="53"/>
    </row>
    <row r="55" spans="1:6" ht="21.75">
      <c r="A55" s="10" t="s">
        <v>1777</v>
      </c>
      <c r="B55" s="22"/>
      <c r="C55" s="52"/>
      <c r="D55" s="53"/>
      <c r="E55" s="52"/>
      <c r="F55" s="53"/>
    </row>
    <row r="56" spans="1:6" ht="21.75">
      <c r="A56" s="10" t="s">
        <v>1778</v>
      </c>
      <c r="B56" s="22"/>
      <c r="C56" s="52"/>
      <c r="D56" s="53"/>
      <c r="E56" s="52"/>
      <c r="F56" s="53"/>
    </row>
    <row r="57" spans="1:6" ht="21" customHeight="1">
      <c r="A57" s="10" t="s">
        <v>1779</v>
      </c>
      <c r="B57" s="22"/>
      <c r="C57" s="52">
        <f>สำนักงาน!A1106</f>
        <v>110</v>
      </c>
      <c r="D57" s="53">
        <f>สำนักงาน!E1106</f>
        <v>5984665.120000001</v>
      </c>
      <c r="E57" s="52"/>
      <c r="F57" s="53"/>
    </row>
    <row r="58" spans="1:6" ht="21.75">
      <c r="A58" s="10" t="s">
        <v>1780</v>
      </c>
      <c r="B58" s="22"/>
      <c r="C58" s="52"/>
      <c r="D58" s="53"/>
      <c r="E58" s="52"/>
      <c r="F58" s="53"/>
    </row>
    <row r="59" spans="1:6" ht="21.75">
      <c r="A59" s="10" t="s">
        <v>1781</v>
      </c>
      <c r="B59" s="22"/>
      <c r="C59" s="52"/>
      <c r="D59" s="53"/>
      <c r="E59" s="52"/>
      <c r="F59" s="53"/>
    </row>
    <row r="60" spans="1:6" ht="21.75">
      <c r="A60" s="10" t="s">
        <v>1782</v>
      </c>
      <c r="B60" s="22"/>
      <c r="C60" s="52">
        <f>สำนักงาน!A1113</f>
        <v>4</v>
      </c>
      <c r="D60" s="53">
        <f>สำนักงาน!E1113</f>
        <v>9830</v>
      </c>
      <c r="E60" s="52"/>
      <c r="F60" s="53"/>
    </row>
    <row r="61" spans="1:6" ht="21.75">
      <c r="A61" s="10" t="s">
        <v>1783</v>
      </c>
      <c r="B61" s="22"/>
      <c r="C61" s="52">
        <f>สำนักงาน!A1119</f>
        <v>3</v>
      </c>
      <c r="D61" s="53">
        <f>สำนักงาน!E1119</f>
        <v>23000</v>
      </c>
      <c r="E61" s="52">
        <f>'ส่งคลัง (ต)'!A193</f>
        <v>3</v>
      </c>
      <c r="F61" s="53">
        <f>'ส่งคลัง (ต)'!E193</f>
        <v>13945</v>
      </c>
    </row>
    <row r="62" spans="1:6" ht="21.75">
      <c r="A62" s="10" t="s">
        <v>1784</v>
      </c>
      <c r="B62" s="22"/>
      <c r="C62" s="52"/>
      <c r="D62" s="53"/>
      <c r="E62" s="52"/>
      <c r="F62" s="53"/>
    </row>
    <row r="63" spans="1:6" ht="21.75">
      <c r="A63" s="10" t="s">
        <v>1785</v>
      </c>
      <c r="B63" s="22"/>
      <c r="C63" s="52"/>
      <c r="D63" s="53"/>
      <c r="E63" s="52"/>
      <c r="F63" s="53"/>
    </row>
    <row r="64" spans="1:6" ht="21.75">
      <c r="A64" s="10" t="s">
        <v>1786</v>
      </c>
      <c r="B64" s="22"/>
      <c r="C64" s="52">
        <f>สำนักงาน!A1124</f>
        <v>2</v>
      </c>
      <c r="D64" s="53">
        <f>สำนักงาน!E1124</f>
        <v>28900</v>
      </c>
      <c r="E64" s="52"/>
      <c r="F64" s="53"/>
    </row>
    <row r="65" spans="1:6" ht="21.75">
      <c r="A65" s="10" t="s">
        <v>1787</v>
      </c>
      <c r="B65" s="22"/>
      <c r="C65" s="52"/>
      <c r="D65" s="53"/>
      <c r="E65" s="52"/>
      <c r="F65" s="53"/>
    </row>
    <row r="66" spans="1:6" ht="21.75">
      <c r="A66" s="10" t="s">
        <v>2869</v>
      </c>
      <c r="B66" s="22"/>
      <c r="C66" s="52">
        <f>สำนักงาน!A1136</f>
        <v>9</v>
      </c>
      <c r="D66" s="53">
        <f>สำนักงาน!E1136</f>
        <v>495000</v>
      </c>
      <c r="E66" s="52"/>
      <c r="F66" s="53"/>
    </row>
    <row r="67" spans="1:6" ht="21.75">
      <c r="A67" s="10" t="s">
        <v>1788</v>
      </c>
      <c r="B67" s="22"/>
      <c r="C67" s="52">
        <f>สำนักงาน!A1192</f>
        <v>54</v>
      </c>
      <c r="D67" s="53">
        <f>สำนักงาน!E1192</f>
        <v>145270</v>
      </c>
      <c r="E67" s="52"/>
      <c r="F67" s="53"/>
    </row>
    <row r="68" spans="1:6" ht="21.75">
      <c r="A68" s="10" t="s">
        <v>3237</v>
      </c>
      <c r="B68" s="22"/>
      <c r="C68" s="52"/>
      <c r="D68" s="53"/>
      <c r="E68" s="52"/>
      <c r="F68" s="53"/>
    </row>
    <row r="69" spans="1:6" ht="21.75">
      <c r="A69" s="67" t="s">
        <v>2179</v>
      </c>
      <c r="B69" s="22"/>
      <c r="C69" s="52">
        <f>สำนักงาน!A1211</f>
        <v>17</v>
      </c>
      <c r="D69" s="53">
        <f>สำนักงาน!E1211</f>
        <v>237505</v>
      </c>
      <c r="E69" s="52"/>
      <c r="F69" s="53"/>
    </row>
    <row r="70" spans="1:6" ht="21.75">
      <c r="A70" s="10" t="s">
        <v>1789</v>
      </c>
      <c r="B70" s="22"/>
      <c r="C70" s="52"/>
      <c r="D70" s="53"/>
      <c r="E70" s="52"/>
      <c r="F70" s="53"/>
    </row>
    <row r="71" spans="1:6" ht="21.75">
      <c r="A71" s="10" t="s">
        <v>1790</v>
      </c>
      <c r="B71" s="22"/>
      <c r="C71" s="52">
        <f>สำนักงาน!A1220</f>
        <v>7</v>
      </c>
      <c r="D71" s="53">
        <f>สำนักงาน!E1220</f>
        <v>48137</v>
      </c>
      <c r="E71" s="52"/>
      <c r="F71" s="53"/>
    </row>
    <row r="72" spans="1:6" ht="21.75">
      <c r="A72" s="10" t="s">
        <v>1791</v>
      </c>
      <c r="B72" s="22"/>
      <c r="C72" s="52">
        <f>สำนักงาน!A1224</f>
        <v>1</v>
      </c>
      <c r="D72" s="53">
        <f>สำนักงาน!E1224</f>
        <v>9900</v>
      </c>
      <c r="E72" s="52"/>
      <c r="F72" s="53"/>
    </row>
    <row r="73" spans="1:6" ht="21.75">
      <c r="A73" s="10" t="s">
        <v>1792</v>
      </c>
      <c r="B73" s="22"/>
      <c r="C73" s="52"/>
      <c r="D73" s="53"/>
      <c r="E73" s="52"/>
      <c r="F73" s="53"/>
    </row>
    <row r="74" spans="1:6" ht="21.75">
      <c r="A74" s="10" t="s">
        <v>1793</v>
      </c>
      <c r="B74" s="22"/>
      <c r="C74" s="52">
        <f>สำนักงาน!A1231</f>
        <v>4</v>
      </c>
      <c r="D74" s="53">
        <f>สำนักงาน!E1231</f>
        <v>178000</v>
      </c>
      <c r="E74" s="52"/>
      <c r="F74" s="53"/>
    </row>
    <row r="75" spans="1:6" ht="21.75">
      <c r="A75" s="10" t="s">
        <v>1794</v>
      </c>
      <c r="B75" s="22"/>
      <c r="C75" s="52"/>
      <c r="D75" s="53"/>
      <c r="E75" s="52"/>
      <c r="F75" s="53"/>
    </row>
    <row r="76" spans="1:6" ht="21.75">
      <c r="A76" s="10" t="s">
        <v>1795</v>
      </c>
      <c r="B76" s="22"/>
      <c r="C76" s="52">
        <f>สำนักงาน!A1237</f>
        <v>3</v>
      </c>
      <c r="D76" s="53">
        <f>สำนักงาน!E1237</f>
        <v>14160</v>
      </c>
      <c r="E76" s="52">
        <f>'ส่งคลัง (ต)'!A197</f>
        <v>1</v>
      </c>
      <c r="F76" s="53">
        <f>'ส่งคลัง (ต)'!E197</f>
        <v>8500</v>
      </c>
    </row>
    <row r="77" spans="1:6" ht="21.75">
      <c r="A77" s="10" t="s">
        <v>1796</v>
      </c>
      <c r="B77" s="22"/>
      <c r="C77" s="52">
        <f>สำนักงาน!A1245</f>
        <v>5</v>
      </c>
      <c r="D77" s="53">
        <f>สำนักงาน!E1245</f>
        <v>41500</v>
      </c>
      <c r="E77" s="52"/>
      <c r="F77" s="53"/>
    </row>
    <row r="78" spans="1:6" ht="21.75">
      <c r="A78" s="10" t="s">
        <v>1797</v>
      </c>
      <c r="B78" s="22"/>
      <c r="C78" s="52">
        <f>สำนักงาน!A1249</f>
        <v>1</v>
      </c>
      <c r="D78" s="53">
        <f>สำนักงาน!E1249</f>
        <v>50000</v>
      </c>
      <c r="E78" s="52"/>
      <c r="F78" s="53"/>
    </row>
    <row r="79" spans="1:6" ht="21.75">
      <c r="A79" s="10" t="s">
        <v>1798</v>
      </c>
      <c r="B79" s="22"/>
      <c r="C79" s="52">
        <f>สำนักงาน!A1291</f>
        <v>38</v>
      </c>
      <c r="D79" s="53">
        <f>สำนักงาน!E1291</f>
        <v>195300</v>
      </c>
      <c r="E79" s="52"/>
      <c r="F79" s="53"/>
    </row>
    <row r="80" spans="1:6" ht="21.75">
      <c r="A80" s="10" t="s">
        <v>1799</v>
      </c>
      <c r="B80" s="22"/>
      <c r="C80" s="52">
        <f>สำนักงาน!A1294</f>
        <v>1</v>
      </c>
      <c r="D80" s="53">
        <f>สำนักงาน!E1294</f>
        <v>234009</v>
      </c>
      <c r="E80" s="52"/>
      <c r="F80" s="53"/>
    </row>
    <row r="81" spans="1:6" ht="21.75">
      <c r="A81" s="10" t="s">
        <v>1800</v>
      </c>
      <c r="B81" s="22"/>
      <c r="C81" s="52">
        <f>สำนักงาน!A1297</f>
        <v>1</v>
      </c>
      <c r="D81" s="53">
        <f>สำนักงาน!E1297</f>
        <v>9400</v>
      </c>
      <c r="E81" s="52"/>
      <c r="F81" s="53"/>
    </row>
    <row r="82" spans="1:6" ht="21.75">
      <c r="A82" s="10" t="s">
        <v>1801</v>
      </c>
      <c r="B82" s="22"/>
      <c r="C82" s="52"/>
      <c r="D82" s="54"/>
      <c r="E82" s="52"/>
      <c r="F82" s="54"/>
    </row>
    <row r="83" spans="1:6" ht="21.75">
      <c r="A83" s="10" t="s">
        <v>1802</v>
      </c>
      <c r="B83" s="22"/>
      <c r="C83" s="52"/>
      <c r="D83" s="54"/>
      <c r="E83" s="52"/>
      <c r="F83" s="54"/>
    </row>
    <row r="84" spans="1:6" ht="21.75">
      <c r="A84" s="10" t="s">
        <v>1803</v>
      </c>
      <c r="B84" s="22"/>
      <c r="C84" s="52"/>
      <c r="D84" s="54"/>
      <c r="E84" s="52"/>
      <c r="F84" s="54"/>
    </row>
    <row r="85" spans="1:6" ht="22.5" thickBot="1">
      <c r="A85" s="55" t="s">
        <v>1723</v>
      </c>
      <c r="B85" s="22"/>
      <c r="C85" s="945">
        <f>SUM(C39:C84)</f>
        <v>1213</v>
      </c>
      <c r="D85" s="946">
        <f>SUM(D39:D84)</f>
        <v>11974579.690000001</v>
      </c>
      <c r="E85" s="947">
        <f>E76+E61+E46+E44+E41+E40</f>
        <v>168</v>
      </c>
      <c r="F85" s="948">
        <f>F76+F61+F46+F44+F41+F40</f>
        <v>379952</v>
      </c>
    </row>
    <row r="86" spans="1:6" ht="22.5" thickTop="1">
      <c r="A86" s="17" t="s">
        <v>2364</v>
      </c>
      <c r="B86" s="22"/>
      <c r="C86" s="11"/>
      <c r="D86" s="30"/>
      <c r="E86" s="11"/>
      <c r="F86" s="30"/>
    </row>
    <row r="87" spans="1:6" ht="21.75">
      <c r="A87" s="10" t="s">
        <v>1805</v>
      </c>
      <c r="B87" s="22"/>
      <c r="C87" s="11"/>
      <c r="D87" s="33"/>
      <c r="E87" s="11"/>
      <c r="F87" s="30"/>
    </row>
    <row r="88" spans="1:6" ht="21" customHeight="1">
      <c r="A88" s="10" t="s">
        <v>1806</v>
      </c>
      <c r="B88" s="22"/>
      <c r="C88" s="11">
        <f>ยานพาหนะฯ!A24</f>
        <v>7</v>
      </c>
      <c r="D88" s="33">
        <f>ยานพาหนะฯ!E24</f>
        <v>3863800</v>
      </c>
      <c r="E88" s="11"/>
      <c r="F88" s="30"/>
    </row>
    <row r="89" spans="1:6" ht="21.75">
      <c r="A89" s="10" t="s">
        <v>1807</v>
      </c>
      <c r="B89" s="22"/>
      <c r="C89" s="11">
        <f>ยานพาหนะฯ!A62</f>
        <v>9</v>
      </c>
      <c r="D89" s="33">
        <f>ยานพาหนะฯ!E62</f>
        <v>49547812</v>
      </c>
      <c r="E89" s="11"/>
      <c r="F89" s="30"/>
    </row>
    <row r="90" spans="1:6" ht="21.75">
      <c r="A90" s="10" t="s">
        <v>1808</v>
      </c>
      <c r="B90" s="22"/>
      <c r="C90" s="11">
        <f>ยานพาหนะฯ!A89</f>
        <v>6</v>
      </c>
      <c r="D90" s="33">
        <f>ยานพาหนะฯ!E89</f>
        <v>14605151.82</v>
      </c>
      <c r="E90" s="11"/>
      <c r="F90" s="30"/>
    </row>
    <row r="91" spans="1:6" ht="21.75">
      <c r="A91" s="10" t="s">
        <v>1809</v>
      </c>
      <c r="B91" s="22"/>
      <c r="C91" s="11"/>
      <c r="D91" s="33"/>
      <c r="E91" s="11"/>
      <c r="F91" s="30"/>
    </row>
    <row r="92" spans="1:6" ht="21.75">
      <c r="A92" s="10" t="s">
        <v>1810</v>
      </c>
      <c r="B92" s="22"/>
      <c r="C92" s="11"/>
      <c r="D92" s="33"/>
      <c r="E92" s="11"/>
      <c r="F92" s="30"/>
    </row>
    <row r="93" spans="1:6" ht="21.75">
      <c r="A93" s="10" t="s">
        <v>1811</v>
      </c>
      <c r="B93" s="22"/>
      <c r="C93" s="11"/>
      <c r="D93" s="33"/>
      <c r="E93" s="11"/>
      <c r="F93" s="30"/>
    </row>
    <row r="94" spans="1:6" ht="21.75">
      <c r="A94" s="10" t="s">
        <v>1812</v>
      </c>
      <c r="B94" s="22"/>
      <c r="C94" s="11"/>
      <c r="D94" s="33"/>
      <c r="E94" s="11"/>
      <c r="F94" s="30"/>
    </row>
    <row r="95" spans="1:6" ht="21.75">
      <c r="A95" s="10" t="s">
        <v>1813</v>
      </c>
      <c r="B95" s="22"/>
      <c r="C95" s="11"/>
      <c r="D95" s="33"/>
      <c r="E95" s="11"/>
      <c r="F95" s="30"/>
    </row>
    <row r="96" spans="1:6" ht="21.75">
      <c r="A96" s="10" t="s">
        <v>1814</v>
      </c>
      <c r="B96" s="22"/>
      <c r="C96" s="11"/>
      <c r="D96" s="33"/>
      <c r="E96" s="11"/>
      <c r="F96" s="30"/>
    </row>
    <row r="97" spans="1:6" ht="21.75">
      <c r="A97" s="10" t="s">
        <v>1815</v>
      </c>
      <c r="B97" s="22"/>
      <c r="C97" s="11"/>
      <c r="D97" s="33"/>
      <c r="E97" s="11"/>
      <c r="F97" s="30"/>
    </row>
    <row r="98" spans="1:6" ht="21.75">
      <c r="A98" s="10" t="s">
        <v>1816</v>
      </c>
      <c r="B98" s="22"/>
      <c r="C98" s="11">
        <f>ยานพาหนะฯ!A97</f>
        <v>4</v>
      </c>
      <c r="D98" s="33">
        <f>ยานพาหนะฯ!E97</f>
        <v>378000</v>
      </c>
      <c r="E98" s="11"/>
      <c r="F98" s="30"/>
    </row>
    <row r="99" spans="1:6" ht="21.75">
      <c r="A99" s="10" t="s">
        <v>1817</v>
      </c>
      <c r="B99" s="22"/>
      <c r="C99" s="11">
        <f>ยานพาหนะฯ!A128</f>
        <v>29</v>
      </c>
      <c r="D99" s="33">
        <f>ยานพาหนะฯ!E128</f>
        <v>178100</v>
      </c>
      <c r="E99" s="11"/>
      <c r="F99" s="30"/>
    </row>
    <row r="100" spans="1:6" ht="21.75">
      <c r="A100" s="18" t="s">
        <v>1818</v>
      </c>
      <c r="B100" s="22"/>
      <c r="C100" s="11"/>
      <c r="D100" s="33"/>
      <c r="E100" s="11"/>
      <c r="F100" s="30"/>
    </row>
    <row r="101" spans="1:6" ht="21.75">
      <c r="A101" s="10" t="s">
        <v>1819</v>
      </c>
      <c r="B101" s="22"/>
      <c r="C101" s="11">
        <f>ยานพาหนะฯ!A132</f>
        <v>2</v>
      </c>
      <c r="D101" s="33">
        <f>ยานพาหนะฯ!E132</f>
        <v>929900</v>
      </c>
      <c r="E101" s="11"/>
      <c r="F101" s="30"/>
    </row>
    <row r="102" spans="1:6" ht="21.75">
      <c r="A102" s="10" t="s">
        <v>1820</v>
      </c>
      <c r="B102" s="22"/>
      <c r="C102" s="11"/>
      <c r="D102" s="33"/>
      <c r="E102" s="11"/>
      <c r="F102" s="30"/>
    </row>
    <row r="103" spans="1:6" ht="21.75">
      <c r="A103" s="10" t="s">
        <v>1821</v>
      </c>
      <c r="B103" s="22"/>
      <c r="C103" s="11"/>
      <c r="D103" s="33"/>
      <c r="E103" s="11"/>
      <c r="F103" s="30"/>
    </row>
    <row r="104" spans="1:6" ht="21.75">
      <c r="A104" s="10" t="s">
        <v>1822</v>
      </c>
      <c r="B104" s="22"/>
      <c r="C104" s="11"/>
      <c r="D104" s="33"/>
      <c r="E104" s="11"/>
      <c r="F104" s="30"/>
    </row>
    <row r="105" spans="1:6" ht="21.75">
      <c r="A105" s="10" t="s">
        <v>1823</v>
      </c>
      <c r="B105" s="22"/>
      <c r="C105" s="11"/>
      <c r="D105" s="33"/>
      <c r="E105" s="11"/>
      <c r="F105" s="30"/>
    </row>
    <row r="106" spans="1:6" ht="21.75">
      <c r="A106" s="10" t="s">
        <v>1824</v>
      </c>
      <c r="B106" s="22"/>
      <c r="C106" s="11"/>
      <c r="D106" s="33"/>
      <c r="E106" s="11"/>
      <c r="F106" s="30"/>
    </row>
    <row r="107" spans="1:6" ht="21.75">
      <c r="A107" s="10" t="s">
        <v>1825</v>
      </c>
      <c r="B107" s="22"/>
      <c r="C107" s="11">
        <f>ยานพาหนะฯ!A135</f>
        <v>1</v>
      </c>
      <c r="D107" s="33">
        <f>ยานพาหนะฯ!E135</f>
        <v>19000</v>
      </c>
      <c r="E107" s="11"/>
      <c r="F107" s="30"/>
    </row>
    <row r="108" spans="1:6" ht="21.75">
      <c r="A108" s="10" t="s">
        <v>1826</v>
      </c>
      <c r="B108" s="22"/>
      <c r="C108" s="11"/>
      <c r="D108" s="30"/>
      <c r="E108" s="11"/>
      <c r="F108" s="30"/>
    </row>
    <row r="109" spans="1:6" ht="21.75">
      <c r="A109" s="10" t="s">
        <v>1827</v>
      </c>
      <c r="B109" s="22"/>
      <c r="C109" s="11"/>
      <c r="D109" s="30"/>
      <c r="E109" s="11"/>
      <c r="F109" s="30"/>
    </row>
    <row r="110" spans="1:6" ht="21.75">
      <c r="A110" s="10" t="s">
        <v>1828</v>
      </c>
      <c r="B110" s="22"/>
      <c r="C110" s="11"/>
      <c r="D110" s="30"/>
      <c r="E110" s="11"/>
      <c r="F110" s="30"/>
    </row>
    <row r="111" spans="1:6" ht="21.75">
      <c r="A111" s="10" t="s">
        <v>1804</v>
      </c>
      <c r="B111" s="22"/>
      <c r="C111" s="11"/>
      <c r="D111" s="30"/>
      <c r="E111" s="11"/>
      <c r="F111" s="30"/>
    </row>
    <row r="112" spans="1:6" ht="22.5" thickBot="1">
      <c r="A112" s="55" t="s">
        <v>1723</v>
      </c>
      <c r="B112" s="22"/>
      <c r="C112" s="953">
        <f>SUM(C87:C111)</f>
        <v>58</v>
      </c>
      <c r="D112" s="946">
        <f>SUM(D87:D111)</f>
        <v>69521763.819999993</v>
      </c>
      <c r="E112" s="954">
        <v>0</v>
      </c>
      <c r="F112" s="955"/>
    </row>
    <row r="113" spans="1:6" ht="22.5" thickTop="1">
      <c r="A113" s="17" t="s">
        <v>2365</v>
      </c>
      <c r="B113" s="22"/>
      <c r="C113" s="16"/>
      <c r="D113" s="32"/>
      <c r="E113" s="16"/>
      <c r="F113" s="32"/>
    </row>
    <row r="114" spans="1:6" ht="21.75">
      <c r="A114" s="10" t="s">
        <v>1829</v>
      </c>
      <c r="B114" s="22"/>
      <c r="C114" s="11"/>
      <c r="D114" s="30"/>
      <c r="E114" s="11"/>
      <c r="F114" s="30"/>
    </row>
    <row r="115" spans="1:6" ht="21.75">
      <c r="A115" s="10" t="s">
        <v>1830</v>
      </c>
      <c r="B115" s="22"/>
      <c r="C115" s="11">
        <f>การเกษตร!A37</f>
        <v>20</v>
      </c>
      <c r="D115" s="33">
        <f>การเกษตร!E37</f>
        <v>159550</v>
      </c>
      <c r="E115" s="11">
        <f>'ส่งคลัง (ต)'!A204</f>
        <v>1</v>
      </c>
      <c r="F115" s="30">
        <f>'ส่งคลัง (ต)'!E204</f>
        <v>9000</v>
      </c>
    </row>
    <row r="116" spans="1:6" ht="21.75">
      <c r="A116" s="10" t="s">
        <v>2870</v>
      </c>
      <c r="B116" s="22"/>
      <c r="C116" s="11">
        <f>การเกษตร!A54</f>
        <v>5</v>
      </c>
      <c r="D116" s="33">
        <f>การเกษตร!E54</f>
        <v>74000</v>
      </c>
      <c r="E116" s="11"/>
      <c r="F116" s="30"/>
    </row>
    <row r="117" spans="1:6" ht="21.75">
      <c r="A117" s="10" t="s">
        <v>1831</v>
      </c>
      <c r="B117" s="22"/>
      <c r="C117" s="11"/>
      <c r="D117" s="30"/>
      <c r="E117" s="11"/>
      <c r="F117" s="30"/>
    </row>
    <row r="118" spans="1:6" ht="21.75">
      <c r="A118" s="10" t="s">
        <v>1832</v>
      </c>
      <c r="B118" s="22"/>
      <c r="C118" s="11"/>
      <c r="D118" s="30"/>
      <c r="E118" s="11"/>
      <c r="F118" s="30"/>
    </row>
    <row r="119" spans="1:6" ht="21.75">
      <c r="A119" s="10" t="s">
        <v>1833</v>
      </c>
      <c r="B119" s="22"/>
      <c r="C119" s="11"/>
      <c r="D119" s="30"/>
      <c r="E119" s="11"/>
      <c r="F119" s="30"/>
    </row>
    <row r="120" spans="1:6" ht="21.75">
      <c r="A120" s="10" t="s">
        <v>1834</v>
      </c>
      <c r="B120" s="22"/>
      <c r="C120" s="11"/>
      <c r="D120" s="30"/>
      <c r="E120" s="11"/>
      <c r="F120" s="30"/>
    </row>
    <row r="121" spans="1:6" ht="21.75">
      <c r="A121" s="10" t="s">
        <v>1835</v>
      </c>
      <c r="B121" s="22"/>
      <c r="C121" s="11"/>
      <c r="D121" s="30"/>
      <c r="E121" s="11"/>
      <c r="F121" s="30"/>
    </row>
    <row r="122" spans="1:6" ht="21.75">
      <c r="A122" s="10" t="s">
        <v>1836</v>
      </c>
      <c r="B122" s="22"/>
      <c r="C122" s="11"/>
      <c r="D122" s="30"/>
      <c r="E122" s="11"/>
      <c r="F122" s="30"/>
    </row>
    <row r="123" spans="1:6" ht="22.5" thickBot="1">
      <c r="A123" s="55" t="s">
        <v>1723</v>
      </c>
      <c r="B123" s="22"/>
      <c r="C123" s="953">
        <f>SUM(C114:C122)</f>
        <v>25</v>
      </c>
      <c r="D123" s="946">
        <f>SUM(D114:D122)</f>
        <v>233550</v>
      </c>
      <c r="E123" s="954">
        <f>E115</f>
        <v>1</v>
      </c>
      <c r="F123" s="955">
        <f>F115</f>
        <v>9000</v>
      </c>
    </row>
    <row r="124" spans="1:6" ht="22.5" thickTop="1">
      <c r="A124" s="55"/>
      <c r="B124" s="22"/>
      <c r="C124" s="139"/>
      <c r="D124" s="140"/>
      <c r="E124" s="13"/>
      <c r="F124" s="31"/>
    </row>
    <row r="125" spans="1:6" ht="21.75">
      <c r="A125" s="17" t="s">
        <v>2366</v>
      </c>
      <c r="B125" s="22"/>
      <c r="C125" s="11"/>
      <c r="D125" s="33"/>
      <c r="E125" s="11"/>
      <c r="F125" s="33"/>
    </row>
    <row r="126" spans="1:6" ht="21.75">
      <c r="A126" s="1072" t="s">
        <v>4029</v>
      </c>
      <c r="B126" s="22"/>
      <c r="C126" s="11">
        <f>ไฟฟ้าและวิทยุ!A14</f>
        <v>5</v>
      </c>
      <c r="D126" s="33">
        <f>ไฟฟ้าและวิทยุ!E14</f>
        <v>324840</v>
      </c>
      <c r="E126" s="11"/>
      <c r="F126" s="33"/>
    </row>
    <row r="127" spans="1:6" ht="21.75">
      <c r="A127" s="19" t="s">
        <v>1837</v>
      </c>
      <c r="B127" s="22"/>
      <c r="C127" s="52">
        <f>ไฟฟ้าและวิทยุ!A20</f>
        <v>4</v>
      </c>
      <c r="D127" s="53">
        <f>ไฟฟ้าและวิทยุ!E20</f>
        <v>145604.79999999999</v>
      </c>
      <c r="E127" s="52"/>
      <c r="F127" s="53"/>
    </row>
    <row r="128" spans="1:6" ht="21" customHeight="1">
      <c r="A128" s="10" t="s">
        <v>1838</v>
      </c>
      <c r="B128" s="22"/>
      <c r="C128" s="52">
        <f>ไฟฟ้าและวิทยุ!A25</f>
        <v>2</v>
      </c>
      <c r="D128" s="53">
        <f>ไฟฟ้าและวิทยุ!E25</f>
        <v>395241</v>
      </c>
      <c r="E128" s="52"/>
      <c r="F128" s="54"/>
    </row>
    <row r="129" spans="1:6" ht="21.75">
      <c r="A129" s="10" t="s">
        <v>1839</v>
      </c>
      <c r="B129" s="22"/>
      <c r="C129" s="52">
        <f>ไฟฟ้าและวิทยุ!A31</f>
        <v>4</v>
      </c>
      <c r="D129" s="53">
        <f>ไฟฟ้าและวิทยุ!E31</f>
        <v>49500</v>
      </c>
      <c r="E129" s="52"/>
      <c r="F129" s="54"/>
    </row>
    <row r="130" spans="1:6" ht="21.75">
      <c r="A130" s="10" t="s">
        <v>1840</v>
      </c>
      <c r="B130" s="22"/>
      <c r="C130" s="52"/>
      <c r="D130" s="53"/>
      <c r="E130" s="52"/>
      <c r="F130" s="54"/>
    </row>
    <row r="131" spans="1:6" ht="21.75">
      <c r="A131" s="10" t="s">
        <v>1841</v>
      </c>
      <c r="B131" s="22"/>
      <c r="C131" s="52">
        <f>ไฟฟ้าและวิทยุ!A71</f>
        <v>38</v>
      </c>
      <c r="D131" s="53">
        <f>ไฟฟ้าและวิทยุ!E71</f>
        <v>382168.29999999993</v>
      </c>
      <c r="E131" s="52"/>
      <c r="F131" s="54"/>
    </row>
    <row r="132" spans="1:6" ht="21" customHeight="1">
      <c r="A132" s="10" t="s">
        <v>1842</v>
      </c>
      <c r="B132" s="22"/>
      <c r="C132" s="52">
        <f>ไฟฟ้าและวิทยุ!A102</f>
        <v>29</v>
      </c>
      <c r="D132" s="53">
        <f>ไฟฟ้าและวิทยุ!E102</f>
        <v>228458.39999999994</v>
      </c>
      <c r="E132" s="52"/>
      <c r="F132" s="54"/>
    </row>
    <row r="133" spans="1:6" ht="21.75">
      <c r="A133" s="10" t="s">
        <v>1843</v>
      </c>
      <c r="B133" s="22"/>
      <c r="C133" s="52">
        <f>ไฟฟ้าและวิทยุ!A105</f>
        <v>1</v>
      </c>
      <c r="D133" s="53">
        <f>ไฟฟ้าและวิทยุ!E105</f>
        <v>28002</v>
      </c>
      <c r="E133" s="52"/>
      <c r="F133" s="54"/>
    </row>
    <row r="134" spans="1:6" ht="21.75">
      <c r="A134" s="20" t="s">
        <v>4030</v>
      </c>
      <c r="B134" s="22"/>
      <c r="C134" s="52">
        <f>ไฟฟ้าและวิทยุ!A109</f>
        <v>2</v>
      </c>
      <c r="D134" s="53">
        <f>ไฟฟ้าและวิทยุ!E109</f>
        <v>11880</v>
      </c>
      <c r="E134" s="52"/>
      <c r="F134" s="54"/>
    </row>
    <row r="135" spans="1:6" ht="21.75">
      <c r="A135" s="10" t="s">
        <v>1844</v>
      </c>
      <c r="B135" s="22"/>
      <c r="C135" s="52">
        <f>ไฟฟ้าและวิทยุ!A124</f>
        <v>13</v>
      </c>
      <c r="D135" s="53">
        <f>ไฟฟ้าและวิทยุ!E124</f>
        <v>156000</v>
      </c>
      <c r="E135" s="52"/>
      <c r="F135" s="54"/>
    </row>
    <row r="136" spans="1:6" ht="21.75">
      <c r="A136" s="10" t="s">
        <v>1845</v>
      </c>
      <c r="B136" s="22"/>
      <c r="C136" s="52">
        <f>ไฟฟ้าและวิทยุ!A128</f>
        <v>1</v>
      </c>
      <c r="D136" s="53">
        <f>ไฟฟ้าและวิทยุ!E128</f>
        <v>15000</v>
      </c>
      <c r="E136" s="52"/>
      <c r="F136" s="54"/>
    </row>
    <row r="137" spans="1:6" ht="21.75">
      <c r="A137" s="10" t="s">
        <v>1846</v>
      </c>
      <c r="B137" s="22"/>
      <c r="C137" s="52">
        <f>ไฟฟ้าและวิทยุ!A180</f>
        <v>50</v>
      </c>
      <c r="D137" s="53">
        <f>ไฟฟ้าและวิทยุ!E180</f>
        <v>606600</v>
      </c>
      <c r="E137" s="52"/>
      <c r="F137" s="54"/>
    </row>
    <row r="138" spans="1:6" ht="21.75">
      <c r="A138" s="10" t="s">
        <v>1847</v>
      </c>
      <c r="B138" s="22"/>
      <c r="C138" s="52">
        <f>ไฟฟ้าและวิทยุ!A183</f>
        <v>1</v>
      </c>
      <c r="D138" s="53">
        <f>ไฟฟ้าและวิทยุ!E183</f>
        <v>30360</v>
      </c>
      <c r="E138" s="52">
        <f>'ส่งคลัง (ต)'!A210</f>
        <v>1</v>
      </c>
      <c r="F138" s="54">
        <f>'ส่งคลัง (ต)'!E210</f>
        <v>4200</v>
      </c>
    </row>
    <row r="139" spans="1:6" ht="21.75">
      <c r="A139" s="10" t="s">
        <v>1848</v>
      </c>
      <c r="B139" s="22"/>
      <c r="C139" s="52"/>
      <c r="D139" s="53"/>
      <c r="E139" s="52"/>
      <c r="F139" s="54"/>
    </row>
    <row r="140" spans="1:6" ht="21.75">
      <c r="A140" s="10" t="s">
        <v>1849</v>
      </c>
      <c r="B140" s="22"/>
      <c r="C140" s="52"/>
      <c r="D140" s="53"/>
      <c r="E140" s="52"/>
      <c r="F140" s="54"/>
    </row>
    <row r="141" spans="1:6" ht="21.75">
      <c r="A141" s="10" t="s">
        <v>1850</v>
      </c>
      <c r="B141" s="22"/>
      <c r="C141" s="52">
        <f>ไฟฟ้าและวิทยุ!A188</f>
        <v>3</v>
      </c>
      <c r="D141" s="53">
        <f>ไฟฟ้าและวิทยุ!E188</f>
        <v>18500</v>
      </c>
      <c r="E141" s="52"/>
      <c r="F141" s="54"/>
    </row>
    <row r="142" spans="1:6" ht="21.75">
      <c r="A142" s="10" t="s">
        <v>1986</v>
      </c>
      <c r="B142" s="22"/>
      <c r="C142" s="52"/>
      <c r="D142" s="53"/>
      <c r="E142" s="52"/>
      <c r="F142" s="54"/>
    </row>
    <row r="143" spans="1:6" ht="21.75">
      <c r="A143" s="10" t="s">
        <v>4031</v>
      </c>
      <c r="B143" s="22"/>
      <c r="C143" s="52">
        <f>ไฟฟ้าและวิทยุ!A191</f>
        <v>1</v>
      </c>
      <c r="D143" s="53">
        <f>ไฟฟ้าและวิทยุ!E191</f>
        <v>27500</v>
      </c>
      <c r="E143" s="52"/>
      <c r="F143" s="54"/>
    </row>
    <row r="144" spans="1:6" ht="21.75">
      <c r="A144" s="10" t="s">
        <v>1851</v>
      </c>
      <c r="B144" s="22"/>
      <c r="C144" s="52">
        <f>ไฟฟ้าและวิทยุ!A194</f>
        <v>1</v>
      </c>
      <c r="D144" s="53">
        <f>ไฟฟ้าและวิทยุ!E194</f>
        <v>17000</v>
      </c>
      <c r="E144" s="52"/>
      <c r="F144" s="54"/>
    </row>
    <row r="145" spans="1:6" ht="21.75">
      <c r="A145" s="10" t="s">
        <v>1852</v>
      </c>
      <c r="B145" s="22"/>
      <c r="C145" s="52"/>
      <c r="D145" s="53"/>
      <c r="E145" s="52"/>
      <c r="F145" s="54"/>
    </row>
    <row r="146" spans="1:6" ht="22.5" thickBot="1">
      <c r="A146" s="55" t="s">
        <v>1723</v>
      </c>
      <c r="B146" s="22"/>
      <c r="C146" s="953">
        <f>SUM(C126:C145)</f>
        <v>155</v>
      </c>
      <c r="D146" s="946">
        <f>SUM(D126:D145)</f>
        <v>2436654.5</v>
      </c>
      <c r="E146" s="953">
        <f>E138</f>
        <v>1</v>
      </c>
      <c r="F146" s="946">
        <f>F138</f>
        <v>4200</v>
      </c>
    </row>
    <row r="147" spans="1:6" ht="22.5" thickTop="1">
      <c r="A147" s="55"/>
      <c r="B147" s="22"/>
      <c r="C147" s="139"/>
      <c r="D147" s="140"/>
      <c r="E147" s="139"/>
      <c r="F147" s="140"/>
    </row>
    <row r="148" spans="1:6" ht="21.75">
      <c r="A148" s="17" t="s">
        <v>2367</v>
      </c>
      <c r="B148" s="22"/>
      <c r="C148" s="11"/>
      <c r="D148" s="33"/>
      <c r="E148" s="11"/>
      <c r="F148" s="33"/>
    </row>
    <row r="149" spans="1:6" ht="21.75">
      <c r="A149" s="10" t="s">
        <v>1853</v>
      </c>
      <c r="B149" s="22"/>
      <c r="C149" s="52">
        <f>โฆษณา!A15</f>
        <v>6</v>
      </c>
      <c r="D149" s="53">
        <f>โฆษณา!E15</f>
        <v>61200</v>
      </c>
      <c r="E149" s="52"/>
      <c r="F149" s="54"/>
    </row>
    <row r="150" spans="1:6" ht="21.75">
      <c r="A150" s="10" t="s">
        <v>4032</v>
      </c>
      <c r="B150" s="22"/>
      <c r="C150" s="52">
        <f>โฆษณา!A21</f>
        <v>3</v>
      </c>
      <c r="D150" s="53">
        <f>โฆษณา!E21</f>
        <v>582000</v>
      </c>
      <c r="E150" s="52"/>
      <c r="F150" s="54"/>
    </row>
    <row r="151" spans="1:6" ht="21.75">
      <c r="A151" s="10" t="s">
        <v>1854</v>
      </c>
      <c r="B151" s="22"/>
      <c r="C151" s="52"/>
      <c r="D151" s="53"/>
      <c r="E151" s="52"/>
      <c r="F151" s="54"/>
    </row>
    <row r="152" spans="1:6" ht="21.75">
      <c r="A152" s="10" t="s">
        <v>4033</v>
      </c>
      <c r="B152" s="22"/>
      <c r="C152" s="52">
        <f>โฆษณา!A28</f>
        <v>4</v>
      </c>
      <c r="D152" s="53">
        <f>โฆษณา!E28</f>
        <v>156990</v>
      </c>
      <c r="E152" s="52"/>
      <c r="F152" s="54"/>
    </row>
    <row r="153" spans="1:6" ht="21.75">
      <c r="A153" s="10" t="s">
        <v>3416</v>
      </c>
      <c r="B153" s="22"/>
      <c r="C153" s="52"/>
      <c r="D153" s="53"/>
      <c r="E153" s="52"/>
      <c r="F153" s="54"/>
    </row>
    <row r="154" spans="1:6" ht="21.75">
      <c r="A154" s="10" t="s">
        <v>1855</v>
      </c>
      <c r="B154" s="22"/>
      <c r="C154" s="52">
        <f>โฆษณา!A32</f>
        <v>1</v>
      </c>
      <c r="D154" s="53">
        <f>โฆษณา!E32</f>
        <v>18990</v>
      </c>
      <c r="E154" s="52"/>
      <c r="F154" s="54"/>
    </row>
    <row r="155" spans="1:6" ht="21.75">
      <c r="A155" s="10" t="s">
        <v>1856</v>
      </c>
      <c r="B155" s="22"/>
      <c r="C155" s="52"/>
      <c r="D155" s="53"/>
      <c r="E155" s="52"/>
      <c r="F155" s="54"/>
    </row>
    <row r="156" spans="1:6" ht="21.75">
      <c r="A156" s="10" t="s">
        <v>2189</v>
      </c>
      <c r="B156" s="22"/>
      <c r="C156" s="52">
        <f>โฆษณา!A37</f>
        <v>2</v>
      </c>
      <c r="D156" s="53">
        <f>โฆษณา!E37</f>
        <v>295913</v>
      </c>
      <c r="E156" s="52"/>
      <c r="F156" s="54"/>
    </row>
    <row r="157" spans="1:6" ht="21.75">
      <c r="A157" s="10" t="s">
        <v>1857</v>
      </c>
      <c r="B157" s="22"/>
      <c r="C157" s="52">
        <f>โฆษณา!A64</f>
        <v>24</v>
      </c>
      <c r="D157" s="53">
        <f>โฆษณา!E64</f>
        <v>1059803.3900000001</v>
      </c>
      <c r="E157" s="52"/>
      <c r="F157" s="54"/>
    </row>
    <row r="158" spans="1:6" ht="21.75">
      <c r="A158" s="10" t="s">
        <v>1858</v>
      </c>
      <c r="B158" s="22"/>
      <c r="C158" s="52"/>
      <c r="D158" s="53"/>
      <c r="E158" s="52"/>
      <c r="F158" s="54"/>
    </row>
    <row r="159" spans="1:6" ht="21.75">
      <c r="A159" s="10" t="s">
        <v>2871</v>
      </c>
      <c r="B159" s="22"/>
      <c r="C159" s="52">
        <f>โฆษณา!A72</f>
        <v>4</v>
      </c>
      <c r="D159" s="53">
        <f>โฆษณา!E72</f>
        <v>234800</v>
      </c>
      <c r="E159" s="52"/>
      <c r="F159" s="54"/>
    </row>
    <row r="160" spans="1:6" ht="21.75">
      <c r="A160" s="10" t="s">
        <v>3238</v>
      </c>
      <c r="B160" s="22"/>
      <c r="C160" s="68">
        <f>โฆษณา!A76</f>
        <v>1</v>
      </c>
      <c r="D160" s="136">
        <f>โฆษณา!E76</f>
        <v>70486.25</v>
      </c>
      <c r="E160" s="68"/>
      <c r="F160" s="69"/>
    </row>
    <row r="161" spans="1:6" ht="21.75">
      <c r="A161" s="10" t="s">
        <v>3417</v>
      </c>
      <c r="B161" s="22"/>
      <c r="C161" s="68">
        <f>โฆษณา!A80</f>
        <v>1</v>
      </c>
      <c r="D161" s="136">
        <f>โฆษณา!E80</f>
        <v>12000</v>
      </c>
      <c r="E161" s="68"/>
      <c r="F161" s="69"/>
    </row>
    <row r="162" spans="1:6" ht="22.5" thickBot="1">
      <c r="A162" s="55" t="s">
        <v>1723</v>
      </c>
      <c r="B162" s="22"/>
      <c r="C162" s="953">
        <f>C161+C160+C159+C157+C156+C154+C152+C150+C149</f>
        <v>46</v>
      </c>
      <c r="D162" s="946">
        <f>D161+D160+D159+D157+D156+D154+D152+D150+D149</f>
        <v>2492182.64</v>
      </c>
      <c r="E162" s="954">
        <v>0</v>
      </c>
      <c r="F162" s="955"/>
    </row>
    <row r="163" spans="1:6" ht="22.5" thickTop="1">
      <c r="A163" s="55"/>
      <c r="B163" s="22"/>
      <c r="C163" s="139"/>
      <c r="D163" s="140"/>
      <c r="E163" s="13"/>
      <c r="F163" s="31"/>
    </row>
    <row r="164" spans="1:6" ht="21.75">
      <c r="A164" s="17" t="s">
        <v>2368</v>
      </c>
      <c r="B164" s="22"/>
      <c r="C164" s="11"/>
      <c r="D164" s="33"/>
      <c r="E164" s="11"/>
      <c r="F164" s="33"/>
    </row>
    <row r="165" spans="1:6" ht="21.75">
      <c r="A165" s="10" t="s">
        <v>1859</v>
      </c>
      <c r="B165" s="22"/>
      <c r="C165" s="11"/>
      <c r="D165" s="33"/>
      <c r="E165" s="11"/>
      <c r="F165" s="30"/>
    </row>
    <row r="166" spans="1:6" ht="21.75">
      <c r="A166" s="10" t="s">
        <v>1860</v>
      </c>
      <c r="B166" s="22"/>
      <c r="C166" s="11"/>
      <c r="D166" s="33"/>
      <c r="E166" s="11"/>
      <c r="F166" s="30"/>
    </row>
    <row r="167" spans="1:6" ht="21.75">
      <c r="A167" s="10" t="s">
        <v>1861</v>
      </c>
      <c r="B167" s="22"/>
      <c r="C167" s="11"/>
      <c r="D167" s="33"/>
      <c r="E167" s="11"/>
      <c r="F167" s="30"/>
    </row>
    <row r="168" spans="1:6" ht="21.75">
      <c r="A168" s="10" t="s">
        <v>1862</v>
      </c>
      <c r="B168" s="22"/>
      <c r="C168" s="11"/>
      <c r="D168" s="33"/>
      <c r="E168" s="11"/>
      <c r="F168" s="30"/>
    </row>
    <row r="169" spans="1:6" ht="21.75">
      <c r="A169" s="10" t="s">
        <v>1863</v>
      </c>
      <c r="B169" s="22"/>
      <c r="C169" s="11"/>
      <c r="D169" s="33"/>
      <c r="E169" s="11"/>
      <c r="F169" s="30"/>
    </row>
    <row r="170" spans="1:6" ht="21.75">
      <c r="A170" s="10" t="s">
        <v>1864</v>
      </c>
      <c r="B170" s="22"/>
      <c r="C170" s="11"/>
      <c r="D170" s="33"/>
      <c r="E170" s="11"/>
      <c r="F170" s="30"/>
    </row>
    <row r="171" spans="1:6" ht="21.75">
      <c r="A171" s="10" t="s">
        <v>1865</v>
      </c>
      <c r="B171" s="22"/>
      <c r="C171" s="11"/>
      <c r="D171" s="33"/>
      <c r="E171" s="11"/>
      <c r="F171" s="30"/>
    </row>
    <row r="172" spans="1:6" ht="21.75">
      <c r="A172" s="10" t="s">
        <v>1866</v>
      </c>
      <c r="B172" s="22"/>
      <c r="C172" s="11"/>
      <c r="D172" s="33"/>
      <c r="E172" s="11"/>
      <c r="F172" s="30"/>
    </row>
    <row r="173" spans="1:6" ht="21.75">
      <c r="A173" s="10" t="s">
        <v>1867</v>
      </c>
      <c r="B173" s="22"/>
      <c r="C173" s="11"/>
      <c r="D173" s="33"/>
      <c r="E173" s="11"/>
      <c r="F173" s="30"/>
    </row>
    <row r="174" spans="1:6" ht="21.75">
      <c r="A174" s="10" t="s">
        <v>1868</v>
      </c>
      <c r="B174" s="22"/>
      <c r="C174" s="11"/>
      <c r="D174" s="33"/>
      <c r="E174" s="11"/>
      <c r="F174" s="30"/>
    </row>
    <row r="175" spans="1:6" ht="21.75">
      <c r="A175" s="10" t="s">
        <v>1869</v>
      </c>
      <c r="B175" s="22"/>
      <c r="C175" s="11"/>
      <c r="D175" s="33"/>
      <c r="E175" s="11"/>
      <c r="F175" s="30"/>
    </row>
    <row r="176" spans="1:6" ht="21.75">
      <c r="A176" s="10" t="s">
        <v>1870</v>
      </c>
      <c r="B176" s="22"/>
      <c r="C176" s="11"/>
      <c r="D176" s="33"/>
      <c r="E176" s="11"/>
      <c r="F176" s="30"/>
    </row>
    <row r="177" spans="1:6" ht="21.75">
      <c r="A177" s="10" t="s">
        <v>1871</v>
      </c>
      <c r="B177" s="22"/>
      <c r="C177" s="11"/>
      <c r="D177" s="33"/>
      <c r="E177" s="11"/>
      <c r="F177" s="30"/>
    </row>
    <row r="178" spans="1:6" ht="21.75">
      <c r="A178" s="10" t="s">
        <v>1872</v>
      </c>
      <c r="B178" s="22"/>
      <c r="C178" s="11"/>
      <c r="D178" s="33"/>
      <c r="E178" s="11"/>
      <c r="F178" s="30"/>
    </row>
    <row r="179" spans="1:6" ht="21.75">
      <c r="A179" s="10" t="s">
        <v>1873</v>
      </c>
      <c r="B179" s="22"/>
      <c r="C179" s="11"/>
      <c r="D179" s="33"/>
      <c r="E179" s="11"/>
      <c r="F179" s="30"/>
    </row>
    <row r="180" spans="1:6" ht="21.75">
      <c r="A180" s="10" t="s">
        <v>1874</v>
      </c>
      <c r="B180" s="22"/>
      <c r="C180" s="11"/>
      <c r="D180" s="33"/>
      <c r="E180" s="11"/>
      <c r="F180" s="30"/>
    </row>
    <row r="181" spans="1:6" ht="21.75">
      <c r="A181" s="10" t="s">
        <v>1875</v>
      </c>
      <c r="B181" s="22"/>
      <c r="C181" s="11"/>
      <c r="D181" s="33"/>
      <c r="E181" s="11"/>
      <c r="F181" s="30"/>
    </row>
    <row r="182" spans="1:6" ht="21.75">
      <c r="A182" s="10" t="s">
        <v>1876</v>
      </c>
      <c r="B182" s="22"/>
      <c r="C182" s="11">
        <f>วิทยาศาสตร์!A17</f>
        <v>8</v>
      </c>
      <c r="D182" s="33">
        <f>วิทยาศาสตร์!E17</f>
        <v>819440</v>
      </c>
      <c r="E182" s="11"/>
      <c r="F182" s="30"/>
    </row>
    <row r="183" spans="1:6" ht="21.75">
      <c r="A183" s="10" t="s">
        <v>1877</v>
      </c>
      <c r="B183" s="22"/>
      <c r="C183" s="11"/>
      <c r="D183" s="33"/>
      <c r="E183" s="11"/>
      <c r="F183" s="30"/>
    </row>
    <row r="184" spans="1:6" ht="21.75">
      <c r="A184" s="10" t="s">
        <v>1878</v>
      </c>
      <c r="B184" s="22"/>
      <c r="C184" s="11"/>
      <c r="D184" s="33"/>
      <c r="E184" s="11"/>
      <c r="F184" s="30"/>
    </row>
    <row r="185" spans="1:6" ht="21.75">
      <c r="A185" s="10" t="s">
        <v>1879</v>
      </c>
      <c r="B185" s="22"/>
      <c r="C185" s="11"/>
      <c r="D185" s="33"/>
      <c r="E185" s="11"/>
      <c r="F185" s="30"/>
    </row>
    <row r="186" spans="1:6" ht="21.75">
      <c r="A186" s="10" t="s">
        <v>1880</v>
      </c>
      <c r="B186" s="22"/>
      <c r="C186" s="11"/>
      <c r="D186" s="33"/>
      <c r="E186" s="11"/>
      <c r="F186" s="30"/>
    </row>
    <row r="187" spans="1:6" ht="21.75">
      <c r="A187" s="10" t="s">
        <v>1881</v>
      </c>
      <c r="B187" s="22"/>
      <c r="C187" s="11"/>
      <c r="D187" s="33"/>
      <c r="E187" s="11"/>
      <c r="F187" s="30"/>
    </row>
    <row r="188" spans="1:6" ht="21.75">
      <c r="A188" s="10" t="s">
        <v>1882</v>
      </c>
      <c r="B188" s="22"/>
      <c r="C188" s="11"/>
      <c r="D188" s="33"/>
      <c r="E188" s="11"/>
      <c r="F188" s="30"/>
    </row>
    <row r="189" spans="1:6" ht="21.75">
      <c r="A189" s="10" t="s">
        <v>1883</v>
      </c>
      <c r="B189" s="22"/>
      <c r="C189" s="11"/>
      <c r="D189" s="33"/>
      <c r="E189" s="11"/>
      <c r="F189" s="30"/>
    </row>
    <row r="190" spans="1:6" ht="21.75">
      <c r="A190" s="10" t="s">
        <v>1884</v>
      </c>
      <c r="B190" s="22"/>
      <c r="C190" s="11"/>
      <c r="D190" s="33"/>
      <c r="E190" s="11"/>
      <c r="F190" s="30"/>
    </row>
    <row r="191" spans="1:6" ht="21.75">
      <c r="A191" s="10" t="s">
        <v>1885</v>
      </c>
      <c r="B191" s="22"/>
      <c r="C191" s="11"/>
      <c r="D191" s="33"/>
      <c r="E191" s="11"/>
      <c r="F191" s="30"/>
    </row>
    <row r="192" spans="1:6" ht="21.75">
      <c r="A192" s="10" t="s">
        <v>1886</v>
      </c>
      <c r="B192" s="22"/>
      <c r="C192" s="11"/>
      <c r="D192" s="33"/>
      <c r="E192" s="11"/>
      <c r="F192" s="30"/>
    </row>
    <row r="193" spans="1:6" ht="21.75">
      <c r="A193" s="10" t="s">
        <v>1887</v>
      </c>
      <c r="B193" s="22"/>
      <c r="C193" s="11"/>
      <c r="D193" s="33"/>
      <c r="E193" s="11"/>
      <c r="F193" s="30"/>
    </row>
    <row r="194" spans="1:6" ht="21.75">
      <c r="A194" s="10" t="s">
        <v>1888</v>
      </c>
      <c r="B194" s="22"/>
      <c r="C194" s="11"/>
      <c r="D194" s="33"/>
      <c r="E194" s="11"/>
      <c r="F194" s="30"/>
    </row>
    <row r="195" spans="1:6" ht="21.75">
      <c r="A195" s="10" t="s">
        <v>1889</v>
      </c>
      <c r="B195" s="22"/>
      <c r="C195" s="11"/>
      <c r="D195" s="33"/>
      <c r="E195" s="11"/>
      <c r="F195" s="30"/>
    </row>
    <row r="196" spans="1:6" ht="21.75">
      <c r="A196" s="10" t="s">
        <v>1890</v>
      </c>
      <c r="B196" s="22"/>
      <c r="C196" s="11"/>
      <c r="D196" s="33"/>
      <c r="E196" s="11"/>
      <c r="F196" s="30"/>
    </row>
    <row r="197" spans="1:6" ht="21.75">
      <c r="A197" s="10" t="s">
        <v>1891</v>
      </c>
      <c r="B197" s="22"/>
      <c r="C197" s="11"/>
      <c r="D197" s="33"/>
      <c r="E197" s="11"/>
      <c r="F197" s="30"/>
    </row>
    <row r="198" spans="1:6" ht="21.75">
      <c r="A198" s="10" t="s">
        <v>1892</v>
      </c>
      <c r="B198" s="22"/>
      <c r="C198" s="11"/>
      <c r="D198" s="33"/>
      <c r="E198" s="11"/>
      <c r="F198" s="30"/>
    </row>
    <row r="199" spans="1:6" ht="21.75">
      <c r="A199" s="10" t="s">
        <v>1893</v>
      </c>
      <c r="B199" s="22"/>
      <c r="C199" s="11"/>
      <c r="D199" s="33"/>
      <c r="E199" s="11"/>
      <c r="F199" s="30"/>
    </row>
    <row r="200" spans="1:6" ht="21.75">
      <c r="A200" s="10" t="s">
        <v>1894</v>
      </c>
      <c r="B200" s="22"/>
      <c r="C200" s="11"/>
      <c r="D200" s="33"/>
      <c r="E200" s="11"/>
      <c r="F200" s="30"/>
    </row>
    <row r="201" spans="1:6" ht="21.75">
      <c r="A201" s="10" t="s">
        <v>1895</v>
      </c>
      <c r="B201" s="22"/>
      <c r="C201" s="11"/>
      <c r="D201" s="33"/>
      <c r="E201" s="11"/>
      <c r="F201" s="30"/>
    </row>
    <row r="202" spans="1:6" ht="21.75">
      <c r="A202" s="10" t="s">
        <v>4035</v>
      </c>
      <c r="B202" s="22"/>
      <c r="C202" s="11">
        <f>วิทยาศาสตร์!A34</f>
        <v>12</v>
      </c>
      <c r="D202" s="33">
        <f>วิทยาศาสตร์!E34</f>
        <v>26270</v>
      </c>
      <c r="E202" s="11"/>
      <c r="F202" s="30"/>
    </row>
    <row r="203" spans="1:6" ht="21.75">
      <c r="A203" s="10" t="s">
        <v>1896</v>
      </c>
      <c r="B203" s="22"/>
      <c r="C203" s="11"/>
      <c r="D203" s="33"/>
      <c r="E203" s="11"/>
      <c r="F203" s="30"/>
    </row>
    <row r="204" spans="1:6" ht="22.5" thickBot="1">
      <c r="A204" s="55" t="s">
        <v>1723</v>
      </c>
      <c r="B204" s="22"/>
      <c r="C204" s="953">
        <f>C202+C182</f>
        <v>20</v>
      </c>
      <c r="D204" s="946">
        <f>D202+D182</f>
        <v>845710</v>
      </c>
      <c r="E204" s="954">
        <v>0</v>
      </c>
      <c r="F204" s="955"/>
    </row>
    <row r="205" spans="1:6" ht="22.5" thickTop="1">
      <c r="A205" s="55"/>
      <c r="B205" s="22"/>
      <c r="C205" s="139"/>
      <c r="D205" s="140"/>
      <c r="E205" s="13"/>
      <c r="F205" s="31"/>
    </row>
    <row r="206" spans="1:6" ht="21.75">
      <c r="A206" s="17" t="s">
        <v>2369</v>
      </c>
      <c r="B206" s="22"/>
      <c r="C206" s="11"/>
      <c r="D206" s="33"/>
      <c r="E206" s="11"/>
      <c r="F206" s="33"/>
    </row>
    <row r="207" spans="1:6" ht="21.75">
      <c r="A207" s="10" t="s">
        <v>2179</v>
      </c>
      <c r="B207" s="22"/>
      <c r="C207" s="11">
        <f>งานบ้านงานครัว!A22</f>
        <v>13</v>
      </c>
      <c r="D207" s="33">
        <f>งานบ้านงานครัว!E22</f>
        <v>78800</v>
      </c>
      <c r="E207" s="11"/>
      <c r="F207" s="30"/>
    </row>
    <row r="208" spans="1:6" ht="21.75">
      <c r="A208" s="10" t="s">
        <v>1897</v>
      </c>
      <c r="B208" s="22"/>
      <c r="C208" s="11">
        <f>งานบ้านงานครัว!A42</f>
        <v>16</v>
      </c>
      <c r="D208" s="33">
        <f>งานบ้านงานครัว!E42</f>
        <v>93920</v>
      </c>
      <c r="E208" s="11"/>
      <c r="F208" s="30"/>
    </row>
    <row r="209" spans="1:6" ht="21.75">
      <c r="A209" s="10" t="s">
        <v>1898</v>
      </c>
      <c r="B209" s="22"/>
      <c r="C209" s="11">
        <f>งานบ้านงานครัว!A52</f>
        <v>7</v>
      </c>
      <c r="D209" s="33">
        <f>งานบ้านงานครัว!E52</f>
        <v>25890</v>
      </c>
      <c r="E209" s="11"/>
      <c r="F209" s="30"/>
    </row>
    <row r="210" spans="1:6" ht="21.75">
      <c r="A210" s="10" t="s">
        <v>1899</v>
      </c>
      <c r="B210" s="22"/>
      <c r="C210" s="11">
        <f>งานบ้านงานครัว!A86</f>
        <v>31</v>
      </c>
      <c r="D210" s="33">
        <f>งานบ้านงานครัว!E86</f>
        <v>194044.5</v>
      </c>
      <c r="E210" s="11"/>
      <c r="F210" s="30"/>
    </row>
    <row r="211" spans="1:6" ht="21.75">
      <c r="A211" s="10" t="s">
        <v>1900</v>
      </c>
      <c r="B211" s="22"/>
      <c r="C211" s="11"/>
      <c r="D211" s="33"/>
      <c r="E211" s="11"/>
      <c r="F211" s="30"/>
    </row>
    <row r="212" spans="1:6" ht="21.75">
      <c r="A212" s="10" t="s">
        <v>1901</v>
      </c>
      <c r="B212" s="22"/>
      <c r="C212" s="11"/>
      <c r="D212" s="33"/>
      <c r="E212" s="11"/>
      <c r="F212" s="30"/>
    </row>
    <row r="213" spans="1:6" ht="21.75">
      <c r="A213" s="10" t="s">
        <v>1902</v>
      </c>
      <c r="B213" s="22"/>
      <c r="C213" s="11"/>
      <c r="D213" s="33"/>
      <c r="E213" s="11"/>
      <c r="F213" s="30"/>
    </row>
    <row r="214" spans="1:6" ht="21.75">
      <c r="A214" s="10" t="s">
        <v>1903</v>
      </c>
      <c r="B214" s="22"/>
      <c r="C214" s="11"/>
      <c r="D214" s="33"/>
      <c r="E214" s="11"/>
      <c r="F214" s="30"/>
    </row>
    <row r="215" spans="1:6" ht="21.75">
      <c r="A215" s="10" t="s">
        <v>1904</v>
      </c>
      <c r="B215" s="22"/>
      <c r="C215" s="11">
        <f>งานบ้านงานครัว!A92</f>
        <v>3</v>
      </c>
      <c r="D215" s="33">
        <f>งานบ้านงานครัว!E92</f>
        <v>20780</v>
      </c>
      <c r="E215" s="11"/>
      <c r="F215" s="30"/>
    </row>
    <row r="216" spans="1:6" ht="21.75">
      <c r="A216" s="10" t="s">
        <v>1905</v>
      </c>
      <c r="B216" s="22"/>
      <c r="C216" s="11"/>
      <c r="D216" s="33"/>
      <c r="E216" s="11"/>
      <c r="F216" s="30"/>
    </row>
    <row r="217" spans="1:6" ht="21.75">
      <c r="A217" s="10" t="s">
        <v>1906</v>
      </c>
      <c r="B217" s="22"/>
      <c r="C217" s="11"/>
      <c r="D217" s="33"/>
      <c r="E217" s="11"/>
      <c r="F217" s="30"/>
    </row>
    <row r="218" spans="1:6" ht="21.75">
      <c r="A218" s="10" t="s">
        <v>1907</v>
      </c>
      <c r="B218" s="22"/>
      <c r="C218" s="11"/>
      <c r="D218" s="33"/>
      <c r="E218" s="11"/>
      <c r="F218" s="30"/>
    </row>
    <row r="219" spans="1:6" ht="21.75">
      <c r="A219" s="10" t="s">
        <v>1908</v>
      </c>
      <c r="B219" s="22"/>
      <c r="C219" s="11"/>
      <c r="D219" s="33"/>
      <c r="E219" s="11"/>
      <c r="F219" s="30"/>
    </row>
    <row r="220" spans="1:6" ht="21.75">
      <c r="A220" s="10" t="s">
        <v>1909</v>
      </c>
      <c r="B220" s="22"/>
      <c r="C220" s="11"/>
      <c r="D220" s="33"/>
      <c r="E220" s="11"/>
      <c r="F220" s="30"/>
    </row>
    <row r="221" spans="1:6" ht="21.75">
      <c r="A221" s="10" t="s">
        <v>1910</v>
      </c>
      <c r="B221" s="22"/>
      <c r="C221" s="11"/>
      <c r="D221" s="33"/>
      <c r="E221" s="11"/>
      <c r="F221" s="30"/>
    </row>
    <row r="222" spans="1:6" ht="21.75">
      <c r="A222" s="10" t="s">
        <v>1911</v>
      </c>
      <c r="B222" s="22"/>
      <c r="C222" s="11"/>
      <c r="D222" s="33"/>
      <c r="E222" s="11"/>
      <c r="F222" s="30"/>
    </row>
    <row r="223" spans="1:6" ht="21.75">
      <c r="A223" s="10" t="s">
        <v>1912</v>
      </c>
      <c r="B223" s="22"/>
      <c r="C223" s="11">
        <f>งานบ้านงานครัว!A96</f>
        <v>1</v>
      </c>
      <c r="D223" s="33">
        <f>งานบ้านงานครัว!E96</f>
        <v>14850</v>
      </c>
      <c r="E223" s="11"/>
      <c r="F223" s="30"/>
    </row>
    <row r="224" spans="1:6" ht="22.5" thickBot="1">
      <c r="A224" s="55" t="s">
        <v>1723</v>
      </c>
      <c r="B224" s="22"/>
      <c r="C224" s="953">
        <f>C223+C215+C210+C209+C208+C207</f>
        <v>71</v>
      </c>
      <c r="D224" s="946">
        <f>D223+D215+D210+D209+D208+D207</f>
        <v>428284.5</v>
      </c>
      <c r="E224" s="954">
        <v>0</v>
      </c>
      <c r="F224" s="955"/>
    </row>
    <row r="225" spans="1:6" ht="22.5" thickTop="1">
      <c r="A225" s="55"/>
      <c r="B225" s="22"/>
      <c r="C225" s="139"/>
      <c r="D225" s="140"/>
      <c r="E225" s="13"/>
      <c r="F225" s="31"/>
    </row>
    <row r="226" spans="1:6" ht="21.75">
      <c r="A226" s="17" t="s">
        <v>2370</v>
      </c>
      <c r="B226" s="22"/>
      <c r="C226" s="11"/>
      <c r="D226" s="33"/>
      <c r="E226" s="11"/>
      <c r="F226" s="33"/>
    </row>
    <row r="227" spans="1:6" ht="21.75">
      <c r="A227" s="10" t="s">
        <v>1913</v>
      </c>
      <c r="B227" s="22"/>
      <c r="C227" s="11"/>
      <c r="D227" s="33"/>
      <c r="E227" s="11"/>
      <c r="F227" s="30"/>
    </row>
    <row r="228" spans="1:6" ht="21.75">
      <c r="A228" s="10" t="s">
        <v>1914</v>
      </c>
      <c r="B228" s="22"/>
      <c r="C228" s="11">
        <f>โรงงาน!A10</f>
        <v>1</v>
      </c>
      <c r="D228" s="33">
        <f>โรงงาน!E10</f>
        <v>14980</v>
      </c>
      <c r="E228" s="11"/>
      <c r="F228" s="30"/>
    </row>
    <row r="229" spans="1:6" ht="21.75">
      <c r="A229" s="10" t="s">
        <v>1915</v>
      </c>
      <c r="B229" s="22"/>
      <c r="C229" s="11"/>
      <c r="D229" s="33"/>
      <c r="E229" s="11"/>
      <c r="F229" s="30"/>
    </row>
    <row r="230" spans="1:6" ht="21.75">
      <c r="A230" s="10" t="s">
        <v>1916</v>
      </c>
      <c r="B230" s="22"/>
      <c r="C230" s="11"/>
      <c r="D230" s="33"/>
      <c r="E230" s="11"/>
      <c r="F230" s="30"/>
    </row>
    <row r="231" spans="1:6" ht="21.75">
      <c r="A231" s="10" t="s">
        <v>1917</v>
      </c>
      <c r="B231" s="22"/>
      <c r="C231" s="11">
        <f>โรงงาน!A27</f>
        <v>10</v>
      </c>
      <c r="D231" s="33">
        <f>โรงงาน!E27</f>
        <v>89200</v>
      </c>
      <c r="E231" s="11"/>
      <c r="F231" s="30"/>
    </row>
    <row r="232" spans="1:6" ht="21.75">
      <c r="A232" s="10" t="s">
        <v>1918</v>
      </c>
      <c r="B232" s="22"/>
      <c r="C232" s="11"/>
      <c r="D232" s="33"/>
      <c r="E232" s="11"/>
      <c r="F232" s="30"/>
    </row>
    <row r="233" spans="1:6" ht="21.75">
      <c r="A233" s="10" t="s">
        <v>1919</v>
      </c>
      <c r="B233" s="22"/>
      <c r="C233" s="11"/>
      <c r="D233" s="33"/>
      <c r="E233" s="11"/>
      <c r="F233" s="30"/>
    </row>
    <row r="234" spans="1:6" ht="21.75">
      <c r="A234" s="10" t="s">
        <v>1920</v>
      </c>
      <c r="B234" s="22"/>
      <c r="C234" s="11"/>
      <c r="D234" s="33"/>
      <c r="E234" s="11"/>
      <c r="F234" s="30"/>
    </row>
    <row r="235" spans="1:6" ht="21.75">
      <c r="A235" s="10" t="s">
        <v>1921</v>
      </c>
      <c r="B235" s="22"/>
      <c r="C235" s="11"/>
      <c r="D235" s="33"/>
      <c r="E235" s="11"/>
      <c r="F235" s="30"/>
    </row>
    <row r="236" spans="1:6" ht="21.75">
      <c r="A236" s="10" t="s">
        <v>1922</v>
      </c>
      <c r="B236" s="22"/>
      <c r="C236" s="11"/>
      <c r="D236" s="33"/>
      <c r="E236" s="11"/>
      <c r="F236" s="30"/>
    </row>
    <row r="237" spans="1:6" ht="21.75">
      <c r="A237" s="10" t="s">
        <v>1923</v>
      </c>
      <c r="B237" s="22"/>
      <c r="C237" s="11"/>
      <c r="D237" s="33"/>
      <c r="E237" s="11"/>
      <c r="F237" s="30"/>
    </row>
    <row r="238" spans="1:6" ht="21.75">
      <c r="A238" s="10" t="s">
        <v>1924</v>
      </c>
      <c r="B238" s="22"/>
      <c r="C238" s="11"/>
      <c r="D238" s="33"/>
      <c r="E238" s="11"/>
      <c r="F238" s="30"/>
    </row>
    <row r="239" spans="1:6" ht="21.75">
      <c r="A239" s="10" t="s">
        <v>1925</v>
      </c>
      <c r="B239" s="22"/>
      <c r="C239" s="11"/>
      <c r="D239" s="33"/>
      <c r="E239" s="11"/>
      <c r="F239" s="30"/>
    </row>
    <row r="240" spans="1:6" ht="21.75">
      <c r="A240" s="10" t="s">
        <v>1926</v>
      </c>
      <c r="B240" s="22"/>
      <c r="C240" s="11"/>
      <c r="D240" s="33"/>
      <c r="E240" s="11"/>
      <c r="F240" s="30"/>
    </row>
    <row r="241" spans="1:6" ht="21.75">
      <c r="A241" s="10" t="s">
        <v>1927</v>
      </c>
      <c r="B241" s="22"/>
      <c r="C241" s="11"/>
      <c r="D241" s="33"/>
      <c r="E241" s="11"/>
      <c r="F241" s="30"/>
    </row>
    <row r="242" spans="1:6" ht="21.75">
      <c r="A242" s="10" t="s">
        <v>1928</v>
      </c>
      <c r="B242" s="22"/>
      <c r="C242" s="11"/>
      <c r="D242" s="33"/>
      <c r="E242" s="11"/>
      <c r="F242" s="30"/>
    </row>
    <row r="243" spans="1:6" ht="21.75">
      <c r="A243" s="10" t="s">
        <v>1929</v>
      </c>
      <c r="B243" s="22"/>
      <c r="C243" s="11"/>
      <c r="D243" s="33"/>
      <c r="E243" s="11"/>
      <c r="F243" s="30"/>
    </row>
    <row r="244" spans="1:6" ht="21.75">
      <c r="A244" s="10" t="s">
        <v>1930</v>
      </c>
      <c r="B244" s="22"/>
      <c r="C244" s="11"/>
      <c r="D244" s="33"/>
      <c r="E244" s="11"/>
      <c r="F244" s="30"/>
    </row>
    <row r="245" spans="1:6" ht="21.75">
      <c r="A245" s="10" t="s">
        <v>1931</v>
      </c>
      <c r="B245" s="22"/>
      <c r="C245" s="11">
        <f>โรงงาน!A30</f>
        <v>1</v>
      </c>
      <c r="D245" s="33">
        <f>โรงงาน!E30</f>
        <v>18500</v>
      </c>
      <c r="E245" s="11"/>
      <c r="F245" s="30"/>
    </row>
    <row r="246" spans="1:6" ht="21.75">
      <c r="A246" s="10" t="s">
        <v>1932</v>
      </c>
      <c r="B246" s="22"/>
      <c r="C246" s="11"/>
      <c r="D246" s="33"/>
      <c r="E246" s="11"/>
      <c r="F246" s="30"/>
    </row>
    <row r="247" spans="1:6" ht="21.75">
      <c r="A247" s="10" t="s">
        <v>1933</v>
      </c>
      <c r="B247" s="22"/>
      <c r="C247" s="11"/>
      <c r="D247" s="33"/>
      <c r="E247" s="11"/>
      <c r="F247" s="30"/>
    </row>
    <row r="248" spans="1:6" ht="21.75">
      <c r="A248" s="10" t="s">
        <v>1934</v>
      </c>
      <c r="B248" s="22"/>
      <c r="C248" s="11"/>
      <c r="D248" s="33"/>
      <c r="E248" s="11"/>
      <c r="F248" s="30"/>
    </row>
    <row r="249" spans="1:6" ht="21.75">
      <c r="A249" s="10" t="s">
        <v>1935</v>
      </c>
      <c r="B249" s="22"/>
      <c r="C249" s="11"/>
      <c r="D249" s="33"/>
      <c r="E249" s="11"/>
      <c r="F249" s="30"/>
    </row>
    <row r="250" spans="1:6" ht="21.75">
      <c r="A250" s="10" t="s">
        <v>1936</v>
      </c>
      <c r="B250" s="22"/>
      <c r="C250" s="11"/>
      <c r="D250" s="33"/>
      <c r="E250" s="11"/>
      <c r="F250" s="30"/>
    </row>
    <row r="251" spans="1:6" ht="22.5" thickBot="1">
      <c r="A251" s="55" t="s">
        <v>1723</v>
      </c>
      <c r="B251" s="22"/>
      <c r="C251" s="953">
        <f>C245+C231+C228</f>
        <v>12</v>
      </c>
      <c r="D251" s="946">
        <f>D245+D231+D228</f>
        <v>122680</v>
      </c>
      <c r="E251" s="954">
        <v>0</v>
      </c>
      <c r="F251" s="955"/>
    </row>
    <row r="252" spans="1:6" ht="22.5" thickTop="1">
      <c r="A252" s="55"/>
      <c r="B252" s="22"/>
      <c r="C252" s="139"/>
      <c r="D252" s="140"/>
      <c r="E252" s="13"/>
      <c r="F252" s="31"/>
    </row>
    <row r="253" spans="1:6" ht="21.75">
      <c r="A253" s="17" t="s">
        <v>2371</v>
      </c>
      <c r="B253" s="22"/>
      <c r="C253" s="11"/>
      <c r="D253" s="33"/>
      <c r="E253" s="11"/>
      <c r="F253" s="33"/>
    </row>
    <row r="254" spans="1:6" ht="21.75">
      <c r="A254" s="10" t="s">
        <v>1937</v>
      </c>
      <c r="B254" s="22"/>
      <c r="C254" s="11">
        <f>อื่นๆ!A29</f>
        <v>20</v>
      </c>
      <c r="D254" s="33">
        <f>อื่นๆ!E29</f>
        <v>894000</v>
      </c>
      <c r="E254" s="11"/>
      <c r="F254" s="30"/>
    </row>
    <row r="255" spans="1:6" ht="22.5" thickBot="1">
      <c r="A255" s="55" t="s">
        <v>1723</v>
      </c>
      <c r="B255" s="22"/>
      <c r="C255" s="953">
        <f>C254</f>
        <v>20</v>
      </c>
      <c r="D255" s="946">
        <f>D254</f>
        <v>894000</v>
      </c>
      <c r="E255" s="954">
        <v>0</v>
      </c>
      <c r="F255" s="955"/>
    </row>
    <row r="256" spans="1:6" ht="22.5" thickTop="1">
      <c r="A256" s="55"/>
      <c r="B256" s="22"/>
      <c r="C256" s="139"/>
      <c r="D256" s="140"/>
      <c r="E256" s="13"/>
      <c r="F256" s="31"/>
    </row>
    <row r="257" spans="1:6" ht="21.75">
      <c r="A257" s="17" t="s">
        <v>2372</v>
      </c>
      <c r="B257" s="22"/>
      <c r="C257" s="11"/>
      <c r="D257" s="33"/>
      <c r="E257" s="11"/>
      <c r="F257" s="33"/>
    </row>
    <row r="258" spans="1:6" ht="21.75">
      <c r="A258" s="10" t="s">
        <v>1938</v>
      </c>
      <c r="B258" s="22"/>
      <c r="C258" s="11"/>
      <c r="D258" s="33"/>
      <c r="E258" s="11"/>
      <c r="F258" s="30"/>
    </row>
    <row r="259" spans="1:6" ht="21.75">
      <c r="A259" s="10" t="s">
        <v>1939</v>
      </c>
      <c r="B259" s="22"/>
      <c r="C259" s="11"/>
      <c r="D259" s="33"/>
      <c r="E259" s="11"/>
      <c r="F259" s="30"/>
    </row>
    <row r="260" spans="1:6" ht="21.75">
      <c r="A260" s="10" t="s">
        <v>1940</v>
      </c>
      <c r="B260" s="22"/>
      <c r="C260" s="11"/>
      <c r="D260" s="33"/>
      <c r="E260" s="11"/>
      <c r="F260" s="30"/>
    </row>
    <row r="261" spans="1:6" ht="21.75">
      <c r="A261" s="10" t="s">
        <v>1941</v>
      </c>
      <c r="B261" s="22"/>
      <c r="C261" s="11">
        <f>กีฬา!A13</f>
        <v>4</v>
      </c>
      <c r="D261" s="33">
        <f>กีฬา!E13</f>
        <v>125800</v>
      </c>
      <c r="E261" s="11"/>
      <c r="F261" s="30"/>
    </row>
    <row r="262" spans="1:6" ht="21.75">
      <c r="A262" s="10" t="s">
        <v>1942</v>
      </c>
      <c r="B262" s="22"/>
      <c r="C262" s="11"/>
      <c r="D262" s="33"/>
      <c r="E262" s="11"/>
      <c r="F262" s="30"/>
    </row>
    <row r="263" spans="1:6" ht="21.75">
      <c r="A263" s="10" t="s">
        <v>1943</v>
      </c>
      <c r="B263" s="22"/>
      <c r="C263" s="11">
        <f>กีฬา!A16</f>
        <v>1</v>
      </c>
      <c r="D263" s="33">
        <f>กีฬา!E16</f>
        <v>18000</v>
      </c>
      <c r="E263" s="11"/>
      <c r="F263" s="30"/>
    </row>
    <row r="264" spans="1:6" ht="21.75">
      <c r="A264" s="10" t="s">
        <v>1944</v>
      </c>
      <c r="B264" s="22"/>
      <c r="C264" s="11"/>
      <c r="D264" s="33"/>
      <c r="E264" s="11"/>
      <c r="F264" s="30"/>
    </row>
    <row r="265" spans="1:6" ht="21.75">
      <c r="A265" s="10" t="s">
        <v>1945</v>
      </c>
      <c r="B265" s="22"/>
      <c r="C265" s="11"/>
      <c r="D265" s="33"/>
      <c r="E265" s="11"/>
      <c r="F265" s="30"/>
    </row>
    <row r="266" spans="1:6" ht="21.75">
      <c r="A266" s="10" t="s">
        <v>1946</v>
      </c>
      <c r="B266" s="22"/>
      <c r="C266" s="11"/>
      <c r="D266" s="33"/>
      <c r="E266" s="11"/>
      <c r="F266" s="30"/>
    </row>
    <row r="267" spans="1:6" ht="21.75">
      <c r="A267" s="10" t="s">
        <v>1947</v>
      </c>
      <c r="B267" s="22"/>
      <c r="C267" s="11"/>
      <c r="D267" s="30"/>
      <c r="E267" s="11"/>
      <c r="F267" s="30"/>
    </row>
    <row r="268" spans="1:6" ht="22.5" thickBot="1">
      <c r="A268" s="55" t="s">
        <v>1723</v>
      </c>
      <c r="B268" s="22"/>
      <c r="C268" s="953">
        <f>SUM(C258:C267)</f>
        <v>5</v>
      </c>
      <c r="D268" s="946">
        <f>SUM(D258:D267)</f>
        <v>143800</v>
      </c>
      <c r="E268" s="954">
        <v>0</v>
      </c>
      <c r="F268" s="955">
        <v>0</v>
      </c>
    </row>
    <row r="269" spans="1:6" ht="22.5" thickTop="1">
      <c r="A269" s="55"/>
      <c r="B269" s="22"/>
      <c r="C269" s="139"/>
      <c r="D269" s="140"/>
      <c r="E269" s="13"/>
      <c r="F269" s="31"/>
    </row>
    <row r="270" spans="1:6" ht="21.75">
      <c r="A270" s="17" t="s">
        <v>2872</v>
      </c>
      <c r="B270" s="22"/>
      <c r="C270" s="11">
        <f>ศึกษา!A18</f>
        <v>6</v>
      </c>
      <c r="D270" s="33">
        <f>ศึกษา!E18</f>
        <v>137000</v>
      </c>
      <c r="E270" s="52"/>
      <c r="F270" s="54"/>
    </row>
    <row r="271" spans="1:6" ht="22.5" thickBot="1">
      <c r="A271" s="55" t="s">
        <v>1723</v>
      </c>
      <c r="B271" s="22"/>
      <c r="C271" s="953">
        <f>C270</f>
        <v>6</v>
      </c>
      <c r="D271" s="946">
        <f>D270</f>
        <v>137000</v>
      </c>
      <c r="E271" s="954">
        <v>0</v>
      </c>
      <c r="F271" s="955"/>
    </row>
    <row r="272" spans="1:6" ht="22.5" thickTop="1">
      <c r="A272" s="55"/>
      <c r="B272" s="22"/>
      <c r="C272" s="139"/>
      <c r="D272" s="140"/>
      <c r="E272" s="13"/>
      <c r="F272" s="31"/>
    </row>
    <row r="273" spans="1:6" ht="21.75">
      <c r="A273" s="17" t="s">
        <v>2873</v>
      </c>
      <c r="B273" s="22"/>
      <c r="C273" s="11">
        <f>คอมพิวเตอร์!A222</f>
        <v>210</v>
      </c>
      <c r="D273" s="33">
        <f>คอมพิวเตอร์!E222</f>
        <v>3540734.59</v>
      </c>
      <c r="E273" s="52"/>
      <c r="F273" s="53"/>
    </row>
    <row r="274" spans="1:6" ht="22.5" thickBot="1">
      <c r="A274" s="55" t="s">
        <v>1723</v>
      </c>
      <c r="B274" s="22"/>
      <c r="C274" s="953">
        <f>C273</f>
        <v>210</v>
      </c>
      <c r="D274" s="946">
        <f>D273</f>
        <v>3540734.59</v>
      </c>
      <c r="E274" s="954">
        <f>'ส่งคลัง (ต)'!A263</f>
        <v>47</v>
      </c>
      <c r="F274" s="955">
        <f>'ส่งคลัง (ต)'!E263</f>
        <v>157980</v>
      </c>
    </row>
    <row r="275" spans="1:6" ht="23.25" thickTop="1" thickBot="1">
      <c r="A275" s="131"/>
      <c r="B275" s="132"/>
      <c r="C275" s="133"/>
      <c r="D275" s="134"/>
      <c r="E275" s="76"/>
      <c r="F275" s="135"/>
    </row>
    <row r="276" spans="1:6" ht="23.25" thickTop="1" thickBot="1">
      <c r="A276" s="14" t="s">
        <v>1948</v>
      </c>
      <c r="B276" s="25"/>
      <c r="C276" s="956">
        <f>C274+C271+C268+C255+C251+C224+C204+C162+C146+C123+C112+C85</f>
        <v>1841</v>
      </c>
      <c r="D276" s="957">
        <f>D274+D271+D268+D255+D251+D224+D204+D162+D146+D123+D85+D112</f>
        <v>92770939.739999995</v>
      </c>
      <c r="E276" s="956">
        <f>E274+E271+E268+E255+E251+E224+E204+E162+E146+E123+E112+E85</f>
        <v>217</v>
      </c>
      <c r="F276" s="957">
        <f>F274+F271+F268+F255+F251+F224+F204+F162+F146+F123+F112+F85</f>
        <v>551132</v>
      </c>
    </row>
    <row r="277" spans="1:6" ht="21.75" thickTop="1"/>
  </sheetData>
  <mergeCells count="7">
    <mergeCell ref="A1:F1"/>
    <mergeCell ref="A2:F2"/>
    <mergeCell ref="A3:F3"/>
    <mergeCell ref="A4:A5"/>
    <mergeCell ref="B4:B5"/>
    <mergeCell ref="C4:D4"/>
    <mergeCell ref="E4:F4"/>
  </mergeCells>
  <pageMargins left="0.23622047244094491" right="0" top="0.74803149606299213" bottom="0.74803149606299213" header="0.31496062992125984" footer="0.31496062992125984"/>
  <pageSetup paperSize="9" orientation="portrait" horizontalDpi="4294967293" r:id="rId1"/>
  <rowBreaks count="5" manualBreakCount="5">
    <brk id="35" max="16383" man="1"/>
    <brk id="163" max="16383" man="1"/>
    <brk id="205" max="16383" man="1"/>
    <brk id="224" max="16383" man="1"/>
    <brk id="26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M85"/>
  <sheetViews>
    <sheetView view="pageBreakPreview" topLeftCell="A8" zoomScale="85" zoomScaleSheetLayoutView="85" workbookViewId="0">
      <selection activeCell="K12" sqref="K12"/>
    </sheetView>
  </sheetViews>
  <sheetFormatPr defaultColWidth="9" defaultRowHeight="14.25"/>
  <cols>
    <col min="1" max="1" width="5.25" style="36" customWidth="1"/>
    <col min="2" max="2" width="38.125" style="36" customWidth="1"/>
    <col min="3" max="3" width="12.25" style="36" customWidth="1"/>
    <col min="4" max="4" width="14.25" style="36" customWidth="1"/>
    <col min="5" max="5" width="15.875" style="220" customWidth="1"/>
    <col min="6" max="6" width="18" style="36" bestFit="1" customWidth="1"/>
    <col min="7" max="7" width="6.25" style="36" customWidth="1"/>
    <col min="8" max="8" width="5.625" style="36" customWidth="1"/>
    <col min="9" max="11" width="6.25" style="36" customWidth="1"/>
    <col min="12" max="12" width="7.625" style="36" customWidth="1"/>
    <col min="13" max="13" width="23.125" style="36" customWidth="1"/>
    <col min="14" max="16384" width="9" style="36"/>
  </cols>
  <sheetData>
    <row r="1" spans="1:13" ht="19.5">
      <c r="A1" s="1231" t="s">
        <v>2772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3467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19.5" hidden="1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55"/>
    </row>
    <row r="7" spans="1:13" ht="19.5">
      <c r="A7" s="42"/>
      <c r="B7" s="5" t="s">
        <v>2773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58.5">
      <c r="A8" s="223">
        <v>1</v>
      </c>
      <c r="B8" s="511" t="s">
        <v>3406</v>
      </c>
      <c r="C8" s="223" t="s">
        <v>3407</v>
      </c>
      <c r="D8" s="512" t="s">
        <v>3410</v>
      </c>
      <c r="E8" s="93">
        <v>440000</v>
      </c>
      <c r="F8" s="289" t="s">
        <v>3466</v>
      </c>
      <c r="G8" s="223" t="s">
        <v>45</v>
      </c>
      <c r="H8" s="223"/>
      <c r="I8" s="223"/>
      <c r="J8" s="223"/>
      <c r="K8" s="223"/>
      <c r="L8" s="211"/>
      <c r="M8" s="289" t="s">
        <v>3408</v>
      </c>
    </row>
    <row r="9" spans="1:13" ht="58.5">
      <c r="A9" s="223">
        <v>2</v>
      </c>
      <c r="B9" s="511" t="s">
        <v>3409</v>
      </c>
      <c r="C9" s="223" t="s">
        <v>3407</v>
      </c>
      <c r="D9" s="512" t="s">
        <v>3413</v>
      </c>
      <c r="E9" s="94">
        <v>200000</v>
      </c>
      <c r="F9" s="289" t="s">
        <v>3466</v>
      </c>
      <c r="G9" s="223" t="s">
        <v>45</v>
      </c>
      <c r="H9" s="223"/>
      <c r="I9" s="223"/>
      <c r="J9" s="223"/>
      <c r="K9" s="223"/>
      <c r="L9" s="211"/>
      <c r="M9" s="289" t="s">
        <v>3408</v>
      </c>
    </row>
    <row r="10" spans="1:13" ht="58.5">
      <c r="A10" s="223">
        <v>3</v>
      </c>
      <c r="B10" s="511" t="s">
        <v>3411</v>
      </c>
      <c r="C10" s="223" t="s">
        <v>3407</v>
      </c>
      <c r="D10" s="512" t="s">
        <v>3414</v>
      </c>
      <c r="E10" s="94">
        <v>7925000</v>
      </c>
      <c r="F10" s="289" t="s">
        <v>3466</v>
      </c>
      <c r="G10" s="223" t="s">
        <v>45</v>
      </c>
      <c r="H10" s="223"/>
      <c r="I10" s="223"/>
      <c r="J10" s="223"/>
      <c r="K10" s="223"/>
      <c r="L10" s="211"/>
      <c r="M10" s="289" t="s">
        <v>3408</v>
      </c>
    </row>
    <row r="11" spans="1:13" ht="58.5">
      <c r="A11" s="223">
        <v>4</v>
      </c>
      <c r="B11" s="511" t="s">
        <v>3412</v>
      </c>
      <c r="C11" s="223" t="s">
        <v>3407</v>
      </c>
      <c r="D11" s="512" t="s">
        <v>3415</v>
      </c>
      <c r="E11" s="94">
        <v>90290</v>
      </c>
      <c r="F11" s="289" t="s">
        <v>3466</v>
      </c>
      <c r="G11" s="223" t="s">
        <v>45</v>
      </c>
      <c r="H11" s="223"/>
      <c r="I11" s="223"/>
      <c r="J11" s="223"/>
      <c r="K11" s="223"/>
      <c r="L11" s="211"/>
      <c r="M11" s="289" t="s">
        <v>3408</v>
      </c>
    </row>
    <row r="12" spans="1:13" ht="58.5">
      <c r="A12" s="562">
        <v>5</v>
      </c>
      <c r="B12" s="511" t="s">
        <v>3843</v>
      </c>
      <c r="C12" s="223" t="s">
        <v>3844</v>
      </c>
      <c r="D12" s="512"/>
      <c r="E12" s="93">
        <v>3002864</v>
      </c>
      <c r="F12" s="289" t="s">
        <v>3785</v>
      </c>
      <c r="G12" s="223" t="s">
        <v>45</v>
      </c>
      <c r="H12" s="223"/>
      <c r="I12" s="223"/>
      <c r="J12" s="223"/>
      <c r="K12" s="223"/>
      <c r="L12" s="211"/>
      <c r="M12" s="289" t="s">
        <v>3845</v>
      </c>
    </row>
    <row r="13" spans="1:13" ht="39">
      <c r="A13" s="562">
        <v>6</v>
      </c>
      <c r="B13" s="102" t="s">
        <v>3843</v>
      </c>
      <c r="C13" s="103" t="s">
        <v>3844</v>
      </c>
      <c r="D13" s="512"/>
      <c r="E13" s="104">
        <v>3002864</v>
      </c>
      <c r="F13" s="289" t="s">
        <v>3785</v>
      </c>
      <c r="G13" s="223" t="s">
        <v>45</v>
      </c>
      <c r="H13" s="223"/>
      <c r="I13" s="223"/>
      <c r="J13" s="223"/>
      <c r="K13" s="223"/>
      <c r="L13" s="211"/>
      <c r="M13" s="1209" t="s">
        <v>4037</v>
      </c>
    </row>
    <row r="14" spans="1:13" s="914" customFormat="1" ht="20.25" thickBot="1">
      <c r="A14" s="909">
        <v>6</v>
      </c>
      <c r="B14" s="908"/>
      <c r="C14" s="909"/>
      <c r="D14" s="910" t="s">
        <v>64</v>
      </c>
      <c r="E14" s="911">
        <f>SUM(E8:E13)</f>
        <v>14661018</v>
      </c>
      <c r="F14" s="909"/>
      <c r="G14" s="909"/>
      <c r="H14" s="909"/>
      <c r="I14" s="909"/>
      <c r="J14" s="909"/>
      <c r="K14" s="909"/>
      <c r="L14" s="909"/>
      <c r="M14" s="909"/>
    </row>
    <row r="15" spans="1:13" ht="20.25" thickTop="1">
      <c r="A15" s="1"/>
      <c r="B15" s="48"/>
      <c r="C15" s="1"/>
      <c r="E15" s="219"/>
      <c r="F15" s="1"/>
      <c r="G15" s="1"/>
      <c r="H15" s="1"/>
      <c r="I15" s="1"/>
      <c r="J15" s="1"/>
      <c r="K15" s="1"/>
      <c r="L15" s="1"/>
      <c r="M15" s="2"/>
    </row>
    <row r="16" spans="1:13" s="1002" customFormat="1" ht="20.25" thickBot="1">
      <c r="A16" s="997">
        <v>6</v>
      </c>
      <c r="B16" s="998"/>
      <c r="C16" s="997"/>
      <c r="D16" s="999" t="s">
        <v>1723</v>
      </c>
      <c r="E16" s="1057">
        <f>E14</f>
        <v>14661018</v>
      </c>
      <c r="F16" s="997"/>
      <c r="G16" s="997"/>
      <c r="H16" s="997"/>
      <c r="I16" s="997"/>
      <c r="J16" s="997"/>
      <c r="K16" s="997"/>
      <c r="L16" s="997"/>
      <c r="M16" s="1073"/>
    </row>
    <row r="17" spans="1:13" ht="20.25" thickTop="1">
      <c r="A17" s="1"/>
      <c r="B17" s="48"/>
      <c r="C17" s="1"/>
      <c r="F17" s="1"/>
      <c r="G17" s="1"/>
      <c r="H17" s="1"/>
      <c r="I17" s="1"/>
      <c r="J17" s="1"/>
      <c r="K17" s="1"/>
      <c r="L17" s="1"/>
      <c r="M17" s="1"/>
    </row>
    <row r="61" spans="1:13" s="44" customFormat="1" ht="18.75">
      <c r="A61" s="36"/>
      <c r="B61" s="36"/>
      <c r="C61" s="36"/>
      <c r="D61" s="36"/>
      <c r="E61" s="220"/>
      <c r="F61" s="36"/>
      <c r="G61" s="36"/>
      <c r="H61" s="36"/>
      <c r="I61" s="36"/>
      <c r="J61" s="36"/>
      <c r="K61" s="36"/>
      <c r="L61" s="36"/>
      <c r="M61" s="36"/>
    </row>
    <row r="66" spans="1:13" s="44" customFormat="1" ht="18.75">
      <c r="A66" s="36"/>
      <c r="B66" s="36"/>
      <c r="C66" s="36"/>
      <c r="D66" s="36"/>
      <c r="E66" s="220"/>
      <c r="F66" s="36"/>
      <c r="G66" s="36"/>
      <c r="H66" s="36"/>
      <c r="I66" s="36"/>
      <c r="J66" s="36"/>
      <c r="K66" s="36"/>
      <c r="L66" s="36"/>
      <c r="M66" s="36"/>
    </row>
    <row r="79" spans="1:13" s="46" customFormat="1" ht="19.5">
      <c r="A79" s="36"/>
      <c r="B79" s="36"/>
      <c r="C79" s="36"/>
      <c r="D79" s="36"/>
      <c r="E79" s="220"/>
      <c r="F79" s="36"/>
      <c r="G79" s="36"/>
      <c r="H79" s="36"/>
      <c r="I79" s="36"/>
      <c r="J79" s="36"/>
      <c r="K79" s="36"/>
      <c r="L79" s="36"/>
      <c r="M79" s="36"/>
    </row>
    <row r="80" spans="1:13" s="46" customFormat="1" ht="19.5">
      <c r="A80" s="36"/>
      <c r="B80" s="36"/>
      <c r="C80" s="36"/>
      <c r="D80" s="36"/>
      <c r="E80" s="220"/>
      <c r="F80" s="36"/>
      <c r="G80" s="36"/>
      <c r="H80" s="36"/>
      <c r="I80" s="36"/>
      <c r="J80" s="36"/>
      <c r="K80" s="36"/>
      <c r="L80" s="36"/>
      <c r="M80" s="36"/>
    </row>
    <row r="81" spans="1:13" s="46" customFormat="1" ht="19.5">
      <c r="A81" s="36"/>
      <c r="B81" s="36"/>
      <c r="C81" s="36"/>
      <c r="D81" s="36"/>
      <c r="E81" s="220"/>
      <c r="F81" s="36"/>
      <c r="G81" s="36"/>
      <c r="H81" s="36"/>
      <c r="I81" s="36"/>
      <c r="J81" s="36"/>
      <c r="K81" s="36"/>
      <c r="L81" s="36"/>
      <c r="M81" s="36"/>
    </row>
    <row r="82" spans="1:13" s="46" customFormat="1" ht="19.5">
      <c r="A82" s="36"/>
      <c r="B82" s="36"/>
      <c r="C82" s="36"/>
      <c r="D82" s="36"/>
      <c r="E82" s="220"/>
      <c r="F82" s="36"/>
      <c r="G82" s="36"/>
      <c r="H82" s="36"/>
      <c r="I82" s="36"/>
      <c r="J82" s="36"/>
      <c r="K82" s="36"/>
      <c r="L82" s="36"/>
      <c r="M82" s="36"/>
    </row>
    <row r="83" spans="1:13" s="46" customFormat="1" ht="19.5">
      <c r="A83" s="36"/>
      <c r="B83" s="36"/>
      <c r="C83" s="36"/>
      <c r="D83" s="36"/>
      <c r="E83" s="220"/>
      <c r="F83" s="36"/>
      <c r="G83" s="36"/>
      <c r="H83" s="36"/>
      <c r="I83" s="36"/>
      <c r="J83" s="36"/>
      <c r="K83" s="36"/>
      <c r="L83" s="36"/>
      <c r="M83" s="36"/>
    </row>
    <row r="84" spans="1:13" s="46" customFormat="1" ht="19.5">
      <c r="A84" s="36"/>
      <c r="B84" s="36"/>
      <c r="C84" s="36"/>
      <c r="D84" s="36"/>
      <c r="E84" s="220"/>
      <c r="F84" s="36"/>
      <c r="G84" s="36"/>
      <c r="H84" s="36"/>
      <c r="I84" s="36"/>
      <c r="J84" s="36"/>
      <c r="K84" s="36"/>
      <c r="L84" s="36"/>
      <c r="M84" s="36"/>
    </row>
    <row r="85" spans="1:13" s="46" customFormat="1" ht="19.5">
      <c r="A85" s="36"/>
      <c r="B85" s="36"/>
      <c r="C85" s="36"/>
      <c r="D85" s="36"/>
      <c r="E85" s="220"/>
      <c r="F85" s="36"/>
      <c r="G85" s="36"/>
      <c r="H85" s="36"/>
      <c r="I85" s="36"/>
      <c r="J85" s="36"/>
      <c r="K85" s="36"/>
      <c r="L85" s="36"/>
      <c r="M85" s="36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47244094488188981" bottom="0.59055118110236227" header="0.31496062992125984" footer="0.31496062992125984"/>
  <pageSetup paperSize="9" scale="82" orientation="landscape" horizontalDpi="4294967293" r:id="rId1"/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M153"/>
  <sheetViews>
    <sheetView view="pageBreakPreview" topLeftCell="A131" zoomScaleSheetLayoutView="100" workbookViewId="0">
      <selection activeCell="A152" sqref="A152:XFD152"/>
    </sheetView>
  </sheetViews>
  <sheetFormatPr defaultColWidth="9" defaultRowHeight="14.25"/>
  <cols>
    <col min="1" max="1" width="5.25" style="36" customWidth="1"/>
    <col min="2" max="2" width="38.125" style="36" customWidth="1"/>
    <col min="3" max="3" width="10.25" style="36" customWidth="1"/>
    <col min="4" max="4" width="9.75" style="36" customWidth="1"/>
    <col min="5" max="5" width="15.875" style="220" customWidth="1"/>
    <col min="6" max="6" width="12.25" style="36" customWidth="1"/>
    <col min="7" max="7" width="6.25" style="36" customWidth="1"/>
    <col min="8" max="8" width="5.625" style="36" customWidth="1"/>
    <col min="9" max="11" width="6.25" style="36" customWidth="1"/>
    <col min="12" max="12" width="7.625" style="36" customWidth="1"/>
    <col min="13" max="13" width="23.125" style="36" customWidth="1"/>
    <col min="14" max="16384" width="9" style="36"/>
  </cols>
  <sheetData>
    <row r="1" spans="1:13" ht="19.5">
      <c r="A1" s="1231" t="s">
        <v>2772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3467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19.5" hidden="1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55"/>
    </row>
    <row r="7" spans="1:13" ht="19.5">
      <c r="A7" s="42"/>
      <c r="B7" s="5" t="s">
        <v>2773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19.5">
      <c r="A8" s="1">
        <v>1</v>
      </c>
      <c r="B8" s="2" t="s">
        <v>2774</v>
      </c>
      <c r="C8" s="1" t="s">
        <v>2775</v>
      </c>
      <c r="D8" s="197" t="s">
        <v>2776</v>
      </c>
      <c r="E8" s="57">
        <v>152000</v>
      </c>
      <c r="F8" s="1" t="s">
        <v>2777</v>
      </c>
      <c r="G8" s="1" t="s">
        <v>45</v>
      </c>
      <c r="H8" s="1"/>
      <c r="I8" s="1"/>
      <c r="J8" s="1"/>
      <c r="K8" s="1"/>
      <c r="L8" s="1"/>
      <c r="M8" s="1"/>
    </row>
    <row r="9" spans="1:13" s="914" customFormat="1" ht="20.25" thickBot="1">
      <c r="A9" s="909">
        <v>1</v>
      </c>
      <c r="B9" s="908"/>
      <c r="C9" s="909"/>
      <c r="D9" s="1074"/>
      <c r="E9" s="911">
        <f>SUM(E8)</f>
        <v>152000</v>
      </c>
      <c r="F9" s="909"/>
      <c r="G9" s="909"/>
      <c r="H9" s="909"/>
      <c r="I9" s="909"/>
      <c r="J9" s="909"/>
      <c r="K9" s="909"/>
      <c r="L9" s="909"/>
      <c r="M9" s="909"/>
    </row>
    <row r="10" spans="1:13" ht="20.25" thickTop="1">
      <c r="A10" s="1"/>
      <c r="B10" s="2"/>
      <c r="C10" s="1"/>
      <c r="D10" s="197"/>
      <c r="E10" s="95"/>
      <c r="F10" s="1"/>
      <c r="G10" s="1"/>
      <c r="H10" s="1"/>
      <c r="I10" s="1"/>
      <c r="J10" s="1"/>
      <c r="K10" s="1"/>
      <c r="L10" s="1"/>
      <c r="M10" s="1"/>
    </row>
    <row r="11" spans="1:13" ht="19.5">
      <c r="A11" s="1"/>
      <c r="B11" s="221" t="s">
        <v>3418</v>
      </c>
      <c r="C11" s="1"/>
      <c r="D11" s="197"/>
      <c r="E11" s="95"/>
      <c r="F11" s="1"/>
      <c r="G11" s="1"/>
      <c r="H11" s="1"/>
      <c r="I11" s="1"/>
      <c r="J11" s="1"/>
      <c r="K11" s="1"/>
      <c r="L11" s="1"/>
      <c r="M11" s="1"/>
    </row>
    <row r="12" spans="1:13" ht="19.5">
      <c r="A12" s="1">
        <v>1</v>
      </c>
      <c r="B12" s="2" t="s">
        <v>2796</v>
      </c>
      <c r="C12" s="1" t="s">
        <v>2500</v>
      </c>
      <c r="D12" s="4">
        <v>17708</v>
      </c>
      <c r="E12" s="57">
        <v>1828.3</v>
      </c>
      <c r="F12" s="1" t="s">
        <v>2117</v>
      </c>
      <c r="G12" s="1" t="s">
        <v>45</v>
      </c>
      <c r="H12" s="1"/>
      <c r="I12" s="222"/>
      <c r="J12" s="1"/>
      <c r="K12" s="1"/>
      <c r="L12" s="1"/>
      <c r="M12" s="1"/>
    </row>
    <row r="13" spans="1:13" ht="19.5">
      <c r="A13" s="1">
        <v>2</v>
      </c>
      <c r="B13" s="2" t="s">
        <v>2797</v>
      </c>
      <c r="C13" s="1" t="s">
        <v>2501</v>
      </c>
      <c r="D13" s="4">
        <v>17708</v>
      </c>
      <c r="E13" s="57">
        <v>1828.3</v>
      </c>
      <c r="F13" s="1" t="s">
        <v>2117</v>
      </c>
      <c r="G13" s="1" t="s">
        <v>45</v>
      </c>
      <c r="H13" s="1"/>
      <c r="I13" s="222"/>
      <c r="J13" s="1"/>
      <c r="K13" s="1"/>
      <c r="L13" s="1"/>
      <c r="M13" s="1"/>
    </row>
    <row r="14" spans="1:13" ht="19.5">
      <c r="A14" s="1">
        <v>3</v>
      </c>
      <c r="B14" s="2" t="s">
        <v>2798</v>
      </c>
      <c r="C14" s="1" t="s">
        <v>2502</v>
      </c>
      <c r="D14" s="4">
        <v>17708</v>
      </c>
      <c r="E14" s="57">
        <v>1828.3</v>
      </c>
      <c r="F14" s="1" t="s">
        <v>2117</v>
      </c>
      <c r="G14" s="1" t="s">
        <v>45</v>
      </c>
      <c r="H14" s="1"/>
      <c r="J14" s="1"/>
      <c r="K14" s="1"/>
      <c r="L14" s="1"/>
      <c r="M14" s="1"/>
    </row>
    <row r="15" spans="1:13" ht="19.5">
      <c r="A15" s="1">
        <v>4</v>
      </c>
      <c r="B15" s="2" t="s">
        <v>2799</v>
      </c>
      <c r="C15" s="1" t="s">
        <v>2503</v>
      </c>
      <c r="D15" s="4">
        <v>17708</v>
      </c>
      <c r="E15" s="57">
        <v>1828.3</v>
      </c>
      <c r="F15" s="1" t="s">
        <v>2117</v>
      </c>
      <c r="G15" s="1" t="s">
        <v>45</v>
      </c>
      <c r="H15" s="1"/>
      <c r="I15" s="1"/>
      <c r="J15" s="1"/>
      <c r="K15" s="1"/>
      <c r="L15" s="1"/>
      <c r="M15" s="1"/>
    </row>
    <row r="16" spans="1:13" ht="19.5">
      <c r="A16" s="1">
        <v>5</v>
      </c>
      <c r="B16" s="2" t="s">
        <v>2799</v>
      </c>
      <c r="C16" s="1" t="s">
        <v>2504</v>
      </c>
      <c r="D16" s="4">
        <v>17708</v>
      </c>
      <c r="E16" s="57">
        <v>1828.3</v>
      </c>
      <c r="F16" s="1" t="s">
        <v>2117</v>
      </c>
      <c r="G16" s="1" t="s">
        <v>45</v>
      </c>
      <c r="H16" s="1"/>
      <c r="I16" s="1"/>
      <c r="J16" s="1"/>
      <c r="K16" s="1"/>
      <c r="L16" s="1"/>
      <c r="M16" s="1"/>
    </row>
    <row r="17" spans="1:13" ht="19.5">
      <c r="A17" s="1">
        <v>6</v>
      </c>
      <c r="B17" s="2" t="s">
        <v>2800</v>
      </c>
      <c r="C17" s="1" t="s">
        <v>2505</v>
      </c>
      <c r="D17" s="4">
        <v>17708</v>
      </c>
      <c r="E17" s="57">
        <v>1828.3</v>
      </c>
      <c r="F17" s="1" t="s">
        <v>2117</v>
      </c>
      <c r="G17" s="1" t="s">
        <v>45</v>
      </c>
      <c r="H17" s="1"/>
      <c r="I17" s="1"/>
      <c r="J17" s="1"/>
      <c r="K17" s="1"/>
      <c r="L17" s="1"/>
      <c r="M17" s="1"/>
    </row>
    <row r="18" spans="1:13" ht="19.5">
      <c r="A18" s="1">
        <v>7</v>
      </c>
      <c r="B18" s="2" t="s">
        <v>2800</v>
      </c>
      <c r="C18" s="1" t="s">
        <v>2506</v>
      </c>
      <c r="D18" s="4">
        <v>17708</v>
      </c>
      <c r="E18" s="57">
        <v>1828.3</v>
      </c>
      <c r="F18" s="1" t="s">
        <v>2117</v>
      </c>
      <c r="G18" s="1" t="s">
        <v>45</v>
      </c>
      <c r="H18" s="1"/>
      <c r="I18" s="1"/>
      <c r="J18" s="1"/>
      <c r="K18" s="1"/>
      <c r="L18" s="1"/>
      <c r="M18" s="1"/>
    </row>
    <row r="19" spans="1:13" ht="19.5">
      <c r="A19" s="1">
        <v>8</v>
      </c>
      <c r="B19" s="2" t="s">
        <v>2801</v>
      </c>
      <c r="C19" s="1" t="s">
        <v>2507</v>
      </c>
      <c r="D19" s="4">
        <v>17708</v>
      </c>
      <c r="E19" s="57">
        <v>1828.3</v>
      </c>
      <c r="F19" s="1" t="s">
        <v>2117</v>
      </c>
      <c r="G19" s="1" t="s">
        <v>45</v>
      </c>
      <c r="H19" s="1"/>
      <c r="I19" s="1"/>
      <c r="J19" s="1"/>
      <c r="K19" s="1"/>
      <c r="L19" s="1"/>
      <c r="M19" s="1"/>
    </row>
    <row r="20" spans="1:13" ht="19.5">
      <c r="A20" s="1">
        <v>9</v>
      </c>
      <c r="B20" s="2" t="s">
        <v>2801</v>
      </c>
      <c r="C20" s="1" t="s">
        <v>2508</v>
      </c>
      <c r="D20" s="4">
        <v>17708</v>
      </c>
      <c r="E20" s="57">
        <v>1828.3</v>
      </c>
      <c r="F20" s="1" t="s">
        <v>2117</v>
      </c>
      <c r="G20" s="1" t="s">
        <v>45</v>
      </c>
      <c r="H20" s="1"/>
      <c r="I20" s="1"/>
      <c r="J20" s="1"/>
      <c r="K20" s="1"/>
      <c r="L20" s="1"/>
      <c r="M20" s="1"/>
    </row>
    <row r="21" spans="1:13" ht="19.5">
      <c r="A21" s="1">
        <v>10</v>
      </c>
      <c r="B21" s="2" t="s">
        <v>2802</v>
      </c>
      <c r="C21" s="1" t="s">
        <v>2509</v>
      </c>
      <c r="D21" s="4">
        <v>17708</v>
      </c>
      <c r="E21" s="57">
        <v>1828.3</v>
      </c>
      <c r="F21" s="1" t="s">
        <v>2117</v>
      </c>
      <c r="G21" s="1" t="s">
        <v>45</v>
      </c>
      <c r="H21" s="1"/>
      <c r="I21" s="1"/>
      <c r="J21" s="1"/>
      <c r="K21" s="1"/>
      <c r="L21" s="1"/>
      <c r="M21" s="1"/>
    </row>
    <row r="22" spans="1:13" ht="19.5">
      <c r="A22" s="1">
        <v>11</v>
      </c>
      <c r="B22" s="2" t="s">
        <v>2802</v>
      </c>
      <c r="C22" s="1" t="s">
        <v>2510</v>
      </c>
      <c r="D22" s="4">
        <v>17708</v>
      </c>
      <c r="E22" s="57">
        <v>1828.3</v>
      </c>
      <c r="F22" s="1" t="s">
        <v>2117</v>
      </c>
      <c r="G22" s="1" t="s">
        <v>45</v>
      </c>
      <c r="H22" s="1"/>
      <c r="I22" s="1"/>
      <c r="J22" s="1"/>
      <c r="K22" s="1"/>
      <c r="L22" s="1"/>
      <c r="M22" s="1"/>
    </row>
    <row r="23" spans="1:13" ht="19.5">
      <c r="A23" s="1">
        <v>12</v>
      </c>
      <c r="B23" s="2" t="s">
        <v>2803</v>
      </c>
      <c r="C23" s="1" t="s">
        <v>2511</v>
      </c>
      <c r="D23" s="4">
        <v>17708</v>
      </c>
      <c r="E23" s="57">
        <v>1828.3</v>
      </c>
      <c r="F23" s="1" t="s">
        <v>2117</v>
      </c>
      <c r="G23" s="1" t="s">
        <v>45</v>
      </c>
      <c r="H23" s="1"/>
      <c r="I23" s="1"/>
      <c r="J23" s="1"/>
      <c r="K23" s="1"/>
      <c r="L23" s="1"/>
      <c r="M23" s="1"/>
    </row>
    <row r="24" spans="1:13" ht="19.5">
      <c r="A24" s="1">
        <v>13</v>
      </c>
      <c r="B24" s="2" t="s">
        <v>2803</v>
      </c>
      <c r="C24" s="1" t="s">
        <v>2512</v>
      </c>
      <c r="D24" s="4">
        <v>17708</v>
      </c>
      <c r="E24" s="57">
        <v>1828.3</v>
      </c>
      <c r="F24" s="1" t="s">
        <v>2117</v>
      </c>
      <c r="G24" s="1" t="s">
        <v>45</v>
      </c>
      <c r="H24" s="1"/>
      <c r="I24" s="1"/>
      <c r="J24" s="1"/>
      <c r="K24" s="1"/>
      <c r="L24" s="1"/>
      <c r="M24" s="1"/>
    </row>
    <row r="25" spans="1:13" ht="19.5">
      <c r="A25" s="1">
        <v>14</v>
      </c>
      <c r="B25" s="2" t="s">
        <v>2804</v>
      </c>
      <c r="C25" s="1" t="s">
        <v>2513</v>
      </c>
      <c r="D25" s="4">
        <v>17708</v>
      </c>
      <c r="E25" s="57">
        <v>1828.3</v>
      </c>
      <c r="F25" s="1" t="s">
        <v>2117</v>
      </c>
      <c r="G25" s="1" t="s">
        <v>45</v>
      </c>
      <c r="H25" s="1"/>
      <c r="I25" s="1"/>
      <c r="J25" s="1"/>
      <c r="K25" s="1"/>
      <c r="L25" s="1"/>
      <c r="M25" s="1"/>
    </row>
    <row r="26" spans="1:13" ht="19.5">
      <c r="A26" s="1">
        <v>15</v>
      </c>
      <c r="B26" s="2" t="s">
        <v>2804</v>
      </c>
      <c r="C26" s="1" t="s">
        <v>2514</v>
      </c>
      <c r="D26" s="4">
        <v>17708</v>
      </c>
      <c r="E26" s="57">
        <v>1828.3</v>
      </c>
      <c r="F26" s="1" t="s">
        <v>2117</v>
      </c>
      <c r="G26" s="1" t="s">
        <v>45</v>
      </c>
      <c r="H26" s="1"/>
      <c r="I26" s="1"/>
      <c r="J26" s="1"/>
      <c r="K26" s="1"/>
      <c r="L26" s="1"/>
      <c r="M26" s="1"/>
    </row>
    <row r="27" spans="1:13" ht="19.5">
      <c r="A27" s="1">
        <v>16</v>
      </c>
      <c r="B27" s="2" t="s">
        <v>2805</v>
      </c>
      <c r="C27" s="1" t="s">
        <v>2515</v>
      </c>
      <c r="D27" s="4">
        <v>17708</v>
      </c>
      <c r="E27" s="57">
        <v>1828.3</v>
      </c>
      <c r="F27" s="1" t="s">
        <v>2117</v>
      </c>
      <c r="G27" s="1" t="s">
        <v>45</v>
      </c>
      <c r="H27" s="1"/>
      <c r="I27" s="1"/>
      <c r="J27" s="1"/>
      <c r="K27" s="1"/>
      <c r="L27" s="1"/>
      <c r="M27" s="1"/>
    </row>
    <row r="28" spans="1:13" ht="19.5">
      <c r="A28" s="1">
        <v>17</v>
      </c>
      <c r="B28" s="2" t="s">
        <v>2806</v>
      </c>
      <c r="C28" s="1" t="s">
        <v>2516</v>
      </c>
      <c r="D28" s="4">
        <v>17708</v>
      </c>
      <c r="E28" s="57">
        <v>1828.3</v>
      </c>
      <c r="F28" s="1" t="s">
        <v>2117</v>
      </c>
      <c r="G28" s="1" t="s">
        <v>45</v>
      </c>
      <c r="H28" s="1"/>
      <c r="I28" s="1"/>
      <c r="J28" s="1"/>
      <c r="K28" s="1"/>
      <c r="L28" s="1"/>
      <c r="M28" s="1"/>
    </row>
    <row r="29" spans="1:13" ht="19.5">
      <c r="A29" s="1">
        <v>18</v>
      </c>
      <c r="B29" s="2" t="s">
        <v>2806</v>
      </c>
      <c r="C29" s="1" t="s">
        <v>2517</v>
      </c>
      <c r="D29" s="4">
        <v>17708</v>
      </c>
      <c r="E29" s="57">
        <v>1828.3</v>
      </c>
      <c r="F29" s="1" t="s">
        <v>2117</v>
      </c>
      <c r="G29" s="1" t="s">
        <v>45</v>
      </c>
      <c r="H29" s="1"/>
      <c r="I29" s="1"/>
      <c r="J29" s="1"/>
      <c r="K29" s="1"/>
      <c r="L29" s="1"/>
      <c r="M29" s="1"/>
    </row>
    <row r="30" spans="1:13" ht="19.5">
      <c r="A30" s="1">
        <v>19</v>
      </c>
      <c r="B30" s="2" t="s">
        <v>2807</v>
      </c>
      <c r="C30" s="1" t="s">
        <v>2518</v>
      </c>
      <c r="D30" s="4">
        <v>17708</v>
      </c>
      <c r="E30" s="57">
        <v>1828.3</v>
      </c>
      <c r="F30" s="1" t="s">
        <v>2117</v>
      </c>
      <c r="G30" s="1" t="s">
        <v>45</v>
      </c>
      <c r="H30" s="1"/>
      <c r="I30" s="1"/>
      <c r="J30" s="1"/>
      <c r="K30" s="1"/>
      <c r="L30" s="1"/>
      <c r="M30" s="1"/>
    </row>
    <row r="31" spans="1:13" ht="19.5">
      <c r="A31" s="1">
        <v>20</v>
      </c>
      <c r="B31" s="2" t="s">
        <v>2807</v>
      </c>
      <c r="C31" s="1" t="s">
        <v>2519</v>
      </c>
      <c r="D31" s="4">
        <v>17708</v>
      </c>
      <c r="E31" s="57">
        <v>1828.3</v>
      </c>
      <c r="F31" s="1" t="s">
        <v>2117</v>
      </c>
      <c r="G31" s="1" t="s">
        <v>45</v>
      </c>
      <c r="H31" s="1"/>
      <c r="I31" s="1"/>
      <c r="J31" s="1"/>
      <c r="K31" s="1"/>
      <c r="L31" s="1"/>
      <c r="M31" s="1"/>
    </row>
    <row r="32" spans="1:13" ht="19.5">
      <c r="A32" s="1">
        <v>21</v>
      </c>
      <c r="B32" s="2" t="s">
        <v>2808</v>
      </c>
      <c r="C32" s="1" t="s">
        <v>2520</v>
      </c>
      <c r="D32" s="4">
        <v>17708</v>
      </c>
      <c r="E32" s="57">
        <v>1828.3</v>
      </c>
      <c r="F32" s="1" t="s">
        <v>2117</v>
      </c>
      <c r="G32" s="1" t="s">
        <v>45</v>
      </c>
      <c r="H32" s="1"/>
      <c r="I32" s="1"/>
      <c r="J32" s="1"/>
      <c r="K32" s="1"/>
      <c r="L32" s="1"/>
      <c r="M32" s="1"/>
    </row>
    <row r="33" spans="1:13" ht="19.5">
      <c r="A33" s="1">
        <v>22</v>
      </c>
      <c r="B33" s="2" t="s">
        <v>2809</v>
      </c>
      <c r="C33" s="1" t="s">
        <v>2521</v>
      </c>
      <c r="D33" s="4">
        <v>17708</v>
      </c>
      <c r="E33" s="57">
        <v>1828.3</v>
      </c>
      <c r="F33" s="1" t="s">
        <v>2117</v>
      </c>
      <c r="G33" s="1" t="s">
        <v>45</v>
      </c>
      <c r="H33" s="1"/>
      <c r="I33" s="1"/>
      <c r="J33" s="1"/>
      <c r="K33" s="1"/>
      <c r="L33" s="1"/>
      <c r="M33" s="1"/>
    </row>
    <row r="34" spans="1:13" ht="19.5">
      <c r="A34" s="1">
        <v>23</v>
      </c>
      <c r="B34" s="2" t="s">
        <v>2809</v>
      </c>
      <c r="C34" s="1" t="s">
        <v>2522</v>
      </c>
      <c r="D34" s="4">
        <v>17708</v>
      </c>
      <c r="E34" s="57">
        <v>1828.3</v>
      </c>
      <c r="F34" s="1" t="s">
        <v>2117</v>
      </c>
      <c r="G34" s="1" t="s">
        <v>45</v>
      </c>
      <c r="H34" s="1"/>
      <c r="I34" s="1"/>
      <c r="J34" s="1"/>
      <c r="K34" s="1"/>
      <c r="L34" s="1"/>
      <c r="M34" s="1"/>
    </row>
    <row r="35" spans="1:13" ht="19.5">
      <c r="A35" s="1">
        <v>24</v>
      </c>
      <c r="B35" s="2" t="s">
        <v>2810</v>
      </c>
      <c r="C35" s="1" t="s">
        <v>2523</v>
      </c>
      <c r="D35" s="4">
        <v>17708</v>
      </c>
      <c r="E35" s="57">
        <v>1828.3</v>
      </c>
      <c r="F35" s="1" t="s">
        <v>2117</v>
      </c>
      <c r="G35" s="1" t="s">
        <v>45</v>
      </c>
      <c r="H35" s="1"/>
      <c r="I35" s="1"/>
      <c r="J35" s="1"/>
      <c r="K35" s="1"/>
      <c r="L35" s="1"/>
      <c r="M35" s="2"/>
    </row>
    <row r="36" spans="1:13" ht="19.5">
      <c r="A36" s="1">
        <v>25</v>
      </c>
      <c r="B36" s="2" t="s">
        <v>2810</v>
      </c>
      <c r="C36" s="1" t="s">
        <v>2524</v>
      </c>
      <c r="D36" s="4">
        <v>17708</v>
      </c>
      <c r="E36" s="57">
        <v>1828.3</v>
      </c>
      <c r="F36" s="1" t="s">
        <v>2117</v>
      </c>
      <c r="G36" s="1" t="s">
        <v>45</v>
      </c>
      <c r="H36" s="1"/>
      <c r="I36" s="1"/>
      <c r="J36" s="1"/>
      <c r="K36" s="1"/>
      <c r="L36" s="1"/>
      <c r="M36" s="2"/>
    </row>
    <row r="37" spans="1:13" ht="19.5">
      <c r="A37" s="1">
        <v>26</v>
      </c>
      <c r="B37" s="2" t="s">
        <v>2811</v>
      </c>
      <c r="C37" s="1" t="s">
        <v>2525</v>
      </c>
      <c r="D37" s="4">
        <v>17708</v>
      </c>
      <c r="E37" s="57">
        <v>1828.3</v>
      </c>
      <c r="F37" s="1" t="s">
        <v>2117</v>
      </c>
      <c r="G37" s="1" t="s">
        <v>45</v>
      </c>
      <c r="H37" s="1"/>
      <c r="I37" s="1"/>
      <c r="J37" s="1"/>
      <c r="K37" s="1"/>
      <c r="L37" s="1"/>
      <c r="M37" s="1"/>
    </row>
    <row r="38" spans="1:13" ht="19.5">
      <c r="A38" s="1">
        <v>27</v>
      </c>
      <c r="B38" s="2" t="s">
        <v>2812</v>
      </c>
      <c r="C38" s="1" t="s">
        <v>2526</v>
      </c>
      <c r="D38" s="4">
        <v>17708</v>
      </c>
      <c r="E38" s="57">
        <v>1828.3</v>
      </c>
      <c r="F38" s="1" t="s">
        <v>2117</v>
      </c>
      <c r="G38" s="1" t="s">
        <v>45</v>
      </c>
      <c r="H38" s="1"/>
      <c r="I38" s="1"/>
      <c r="J38" s="1"/>
      <c r="K38" s="1"/>
      <c r="L38" s="1"/>
      <c r="M38" s="2"/>
    </row>
    <row r="39" spans="1:13" ht="19.5">
      <c r="A39" s="1">
        <v>28</v>
      </c>
      <c r="B39" s="2" t="s">
        <v>2813</v>
      </c>
      <c r="C39" s="1" t="s">
        <v>2527</v>
      </c>
      <c r="D39" s="4">
        <v>17708</v>
      </c>
      <c r="E39" s="57">
        <v>1828.3</v>
      </c>
      <c r="F39" s="1" t="s">
        <v>2117</v>
      </c>
      <c r="G39" s="1" t="s">
        <v>45</v>
      </c>
      <c r="H39" s="1"/>
      <c r="I39" s="1"/>
      <c r="J39" s="1"/>
      <c r="K39" s="1"/>
      <c r="L39" s="1"/>
      <c r="M39" s="2"/>
    </row>
    <row r="40" spans="1:13" ht="19.5">
      <c r="A40" s="1">
        <v>29</v>
      </c>
      <c r="B40" s="2" t="s">
        <v>2813</v>
      </c>
      <c r="C40" s="1" t="s">
        <v>2528</v>
      </c>
      <c r="D40" s="4">
        <v>17708</v>
      </c>
      <c r="E40" s="57">
        <v>1828.3</v>
      </c>
      <c r="F40" s="1" t="s">
        <v>2117</v>
      </c>
      <c r="G40" s="1" t="s">
        <v>45</v>
      </c>
      <c r="H40" s="1"/>
      <c r="I40" s="1"/>
      <c r="J40" s="1"/>
      <c r="K40" s="1"/>
      <c r="L40" s="1"/>
      <c r="M40" s="2"/>
    </row>
    <row r="41" spans="1:13" ht="19.5">
      <c r="A41" s="1">
        <v>30</v>
      </c>
      <c r="B41" s="2" t="s">
        <v>2814</v>
      </c>
      <c r="C41" s="1" t="s">
        <v>2529</v>
      </c>
      <c r="D41" s="4">
        <v>17708</v>
      </c>
      <c r="E41" s="57">
        <v>1828.3</v>
      </c>
      <c r="F41" s="1" t="s">
        <v>2117</v>
      </c>
      <c r="G41" s="1" t="s">
        <v>45</v>
      </c>
      <c r="H41" s="1"/>
      <c r="I41" s="1"/>
      <c r="J41" s="1"/>
      <c r="K41" s="1"/>
      <c r="L41" s="1"/>
      <c r="M41" s="2"/>
    </row>
    <row r="42" spans="1:13" ht="19.5">
      <c r="A42" s="1">
        <v>31</v>
      </c>
      <c r="B42" s="2" t="s">
        <v>2815</v>
      </c>
      <c r="C42" s="1" t="s">
        <v>2530</v>
      </c>
      <c r="D42" s="4">
        <v>17708</v>
      </c>
      <c r="E42" s="57">
        <v>1828.3</v>
      </c>
      <c r="F42" s="1" t="s">
        <v>2117</v>
      </c>
      <c r="G42" s="1" t="s">
        <v>45</v>
      </c>
      <c r="H42" s="1"/>
      <c r="I42" s="1"/>
      <c r="J42" s="1"/>
      <c r="K42" s="1"/>
      <c r="L42" s="1"/>
      <c r="M42" s="2"/>
    </row>
    <row r="43" spans="1:13" ht="19.5">
      <c r="A43" s="1">
        <v>32</v>
      </c>
      <c r="B43" s="2" t="s">
        <v>2816</v>
      </c>
      <c r="C43" s="1" t="s">
        <v>2531</v>
      </c>
      <c r="D43" s="4">
        <v>17708</v>
      </c>
      <c r="E43" s="57">
        <v>1828.3</v>
      </c>
      <c r="F43" s="1" t="s">
        <v>2117</v>
      </c>
      <c r="G43" s="1" t="s">
        <v>45</v>
      </c>
      <c r="H43" s="1"/>
      <c r="I43" s="1"/>
      <c r="J43" s="1"/>
      <c r="K43" s="1"/>
      <c r="L43" s="1"/>
      <c r="M43" s="2"/>
    </row>
    <row r="44" spans="1:13" ht="19.5">
      <c r="A44" s="1">
        <v>33</v>
      </c>
      <c r="B44" s="2" t="s">
        <v>2817</v>
      </c>
      <c r="C44" s="1" t="s">
        <v>2532</v>
      </c>
      <c r="D44" s="4">
        <v>17708</v>
      </c>
      <c r="E44" s="57">
        <v>1828.3</v>
      </c>
      <c r="F44" s="1" t="s">
        <v>2117</v>
      </c>
      <c r="G44" s="1" t="s">
        <v>45</v>
      </c>
      <c r="H44" s="1"/>
      <c r="I44" s="1"/>
      <c r="J44" s="1"/>
      <c r="K44" s="1"/>
      <c r="L44" s="1"/>
      <c r="M44" s="1"/>
    </row>
    <row r="45" spans="1:13" ht="19.5">
      <c r="A45" s="1">
        <v>34</v>
      </c>
      <c r="B45" s="2" t="s">
        <v>2818</v>
      </c>
      <c r="C45" s="1" t="s">
        <v>2533</v>
      </c>
      <c r="D45" s="4">
        <v>17708</v>
      </c>
      <c r="E45" s="57">
        <v>1828.3</v>
      </c>
      <c r="F45" s="1" t="s">
        <v>2117</v>
      </c>
      <c r="G45" s="1" t="s">
        <v>45</v>
      </c>
      <c r="H45" s="1"/>
      <c r="I45" s="1"/>
      <c r="J45" s="1"/>
      <c r="K45" s="1"/>
      <c r="L45" s="1"/>
      <c r="M45" s="1"/>
    </row>
    <row r="46" spans="1:13" ht="19.5">
      <c r="A46" s="1">
        <v>35</v>
      </c>
      <c r="B46" s="2" t="s">
        <v>2818</v>
      </c>
      <c r="C46" s="1" t="s">
        <v>2534</v>
      </c>
      <c r="D46" s="4">
        <v>17708</v>
      </c>
      <c r="E46" s="57">
        <v>1828.3</v>
      </c>
      <c r="F46" s="1" t="s">
        <v>2117</v>
      </c>
      <c r="G46" s="1" t="s">
        <v>45</v>
      </c>
      <c r="H46" s="1"/>
      <c r="I46" s="1"/>
      <c r="J46" s="1"/>
      <c r="K46" s="1"/>
      <c r="L46" s="1"/>
      <c r="M46" s="1"/>
    </row>
    <row r="47" spans="1:13" ht="19.5">
      <c r="A47" s="1">
        <v>36</v>
      </c>
      <c r="B47" s="2" t="s">
        <v>2819</v>
      </c>
      <c r="C47" s="1" t="s">
        <v>2535</v>
      </c>
      <c r="D47" s="4">
        <v>17708</v>
      </c>
      <c r="E47" s="57">
        <v>1828.3</v>
      </c>
      <c r="F47" s="1" t="s">
        <v>2117</v>
      </c>
      <c r="G47" s="1" t="s">
        <v>45</v>
      </c>
      <c r="H47" s="1"/>
      <c r="I47" s="1"/>
      <c r="J47" s="1"/>
      <c r="K47" s="1"/>
      <c r="L47" s="1"/>
      <c r="M47" s="1"/>
    </row>
    <row r="48" spans="1:13" ht="19.5">
      <c r="A48" s="1">
        <v>37</v>
      </c>
      <c r="B48" s="2" t="s">
        <v>2819</v>
      </c>
      <c r="C48" s="1" t="s">
        <v>2536</v>
      </c>
      <c r="D48" s="4">
        <v>17708</v>
      </c>
      <c r="E48" s="57">
        <v>1828.3</v>
      </c>
      <c r="F48" s="1" t="s">
        <v>2117</v>
      </c>
      <c r="G48" s="1" t="s">
        <v>45</v>
      </c>
      <c r="H48" s="1"/>
      <c r="I48" s="1"/>
      <c r="J48" s="1"/>
      <c r="K48" s="1"/>
      <c r="L48" s="1"/>
      <c r="M48" s="1"/>
    </row>
    <row r="49" spans="1:13" ht="19.5">
      <c r="A49" s="1">
        <v>38</v>
      </c>
      <c r="B49" s="2" t="s">
        <v>2820</v>
      </c>
      <c r="C49" s="1" t="s">
        <v>2537</v>
      </c>
      <c r="D49" s="4">
        <v>17708</v>
      </c>
      <c r="E49" s="57">
        <v>1828.3</v>
      </c>
      <c r="F49" s="1" t="s">
        <v>2117</v>
      </c>
      <c r="G49" s="1" t="s">
        <v>45</v>
      </c>
      <c r="H49" s="1"/>
      <c r="I49" s="1"/>
      <c r="J49" s="1"/>
      <c r="K49" s="1"/>
      <c r="L49" s="1"/>
      <c r="M49" s="1"/>
    </row>
    <row r="50" spans="1:13" ht="19.5">
      <c r="A50" s="1">
        <v>39</v>
      </c>
      <c r="B50" s="2" t="s">
        <v>2821</v>
      </c>
      <c r="C50" s="1" t="s">
        <v>2538</v>
      </c>
      <c r="D50" s="4">
        <v>17708</v>
      </c>
      <c r="E50" s="57">
        <v>1828.3</v>
      </c>
      <c r="F50" s="1" t="s">
        <v>2117</v>
      </c>
      <c r="G50" s="1" t="s">
        <v>45</v>
      </c>
      <c r="H50" s="1"/>
      <c r="I50" s="1"/>
      <c r="J50" s="1"/>
      <c r="K50" s="1"/>
      <c r="L50" s="1"/>
      <c r="M50" s="1"/>
    </row>
    <row r="51" spans="1:13" ht="19.5">
      <c r="A51" s="1">
        <v>40</v>
      </c>
      <c r="B51" s="2" t="s">
        <v>2821</v>
      </c>
      <c r="C51" s="1" t="s">
        <v>2539</v>
      </c>
      <c r="D51" s="4">
        <v>17708</v>
      </c>
      <c r="E51" s="57">
        <v>1828.3</v>
      </c>
      <c r="F51" s="1" t="s">
        <v>2117</v>
      </c>
      <c r="G51" s="1" t="s">
        <v>45</v>
      </c>
      <c r="H51" s="1"/>
      <c r="I51" s="1"/>
      <c r="J51" s="1"/>
      <c r="K51" s="1"/>
      <c r="L51" s="1"/>
      <c r="M51" s="1"/>
    </row>
    <row r="52" spans="1:13" ht="19.5">
      <c r="A52" s="1">
        <v>41</v>
      </c>
      <c r="B52" s="2" t="s">
        <v>2822</v>
      </c>
      <c r="C52" s="1" t="s">
        <v>2540</v>
      </c>
      <c r="D52" s="4">
        <v>17708</v>
      </c>
      <c r="E52" s="57">
        <v>1828.3</v>
      </c>
      <c r="F52" s="1" t="s">
        <v>2117</v>
      </c>
      <c r="G52" s="1" t="s">
        <v>45</v>
      </c>
      <c r="H52" s="1"/>
      <c r="I52" s="1"/>
      <c r="J52" s="1"/>
      <c r="K52" s="1"/>
      <c r="L52" s="1"/>
      <c r="M52" s="1"/>
    </row>
    <row r="53" spans="1:13" ht="19.5">
      <c r="A53" s="1">
        <v>42</v>
      </c>
      <c r="B53" s="2" t="s">
        <v>2823</v>
      </c>
      <c r="C53" s="1" t="s">
        <v>2541</v>
      </c>
      <c r="D53" s="4">
        <v>17708</v>
      </c>
      <c r="E53" s="57">
        <v>1828.3</v>
      </c>
      <c r="F53" s="1" t="s">
        <v>2117</v>
      </c>
      <c r="G53" s="1" t="s">
        <v>45</v>
      </c>
      <c r="H53" s="1"/>
      <c r="I53" s="1"/>
      <c r="J53" s="1"/>
      <c r="K53" s="1"/>
      <c r="L53" s="1"/>
      <c r="M53" s="1"/>
    </row>
    <row r="54" spans="1:13" ht="19.5">
      <c r="A54" s="1">
        <v>43</v>
      </c>
      <c r="B54" s="2" t="s">
        <v>2824</v>
      </c>
      <c r="C54" s="1" t="s">
        <v>2542</v>
      </c>
      <c r="D54" s="4">
        <v>17708</v>
      </c>
      <c r="E54" s="57">
        <v>1828.3</v>
      </c>
      <c r="F54" s="1" t="s">
        <v>2117</v>
      </c>
      <c r="G54" s="1" t="s">
        <v>45</v>
      </c>
      <c r="H54" s="1"/>
      <c r="I54" s="1"/>
      <c r="J54" s="1"/>
      <c r="K54" s="1"/>
      <c r="L54" s="1"/>
      <c r="M54" s="1"/>
    </row>
    <row r="55" spans="1:13" ht="19.5">
      <c r="A55" s="1">
        <v>44</v>
      </c>
      <c r="B55" s="2" t="s">
        <v>2824</v>
      </c>
      <c r="C55" s="1" t="s">
        <v>2543</v>
      </c>
      <c r="D55" s="4">
        <v>17708</v>
      </c>
      <c r="E55" s="57">
        <v>1828.3</v>
      </c>
      <c r="F55" s="1" t="s">
        <v>2117</v>
      </c>
      <c r="G55" s="1" t="s">
        <v>45</v>
      </c>
      <c r="H55" s="1"/>
      <c r="I55" s="1"/>
      <c r="J55" s="1"/>
      <c r="K55" s="1"/>
      <c r="L55" s="1"/>
      <c r="M55" s="1"/>
    </row>
    <row r="56" spans="1:13" ht="19.5">
      <c r="A56" s="1">
        <v>45</v>
      </c>
      <c r="B56" s="2" t="s">
        <v>2825</v>
      </c>
      <c r="C56" s="1" t="s">
        <v>2544</v>
      </c>
      <c r="D56" s="4">
        <v>17708</v>
      </c>
      <c r="E56" s="57">
        <v>1828.3</v>
      </c>
      <c r="F56" s="1" t="s">
        <v>2117</v>
      </c>
      <c r="G56" s="1" t="s">
        <v>45</v>
      </c>
      <c r="H56" s="1"/>
      <c r="I56" s="1"/>
      <c r="J56" s="1"/>
      <c r="K56" s="1"/>
      <c r="L56" s="1"/>
      <c r="M56" s="1"/>
    </row>
    <row r="57" spans="1:13" ht="19.5">
      <c r="A57" s="1">
        <v>46</v>
      </c>
      <c r="B57" s="2" t="s">
        <v>2825</v>
      </c>
      <c r="C57" s="1" t="s">
        <v>2545</v>
      </c>
      <c r="D57" s="4">
        <v>17708</v>
      </c>
      <c r="E57" s="57">
        <v>1828.3</v>
      </c>
      <c r="F57" s="1" t="s">
        <v>2117</v>
      </c>
      <c r="G57" s="1" t="s">
        <v>45</v>
      </c>
      <c r="H57" s="1"/>
      <c r="I57" s="1"/>
      <c r="J57" s="1"/>
      <c r="K57" s="1"/>
      <c r="L57" s="1"/>
      <c r="M57" s="1"/>
    </row>
    <row r="58" spans="1:13" s="44" customFormat="1" ht="19.5">
      <c r="A58" s="1">
        <v>47</v>
      </c>
      <c r="B58" s="2" t="s">
        <v>2826</v>
      </c>
      <c r="C58" s="1" t="s">
        <v>2546</v>
      </c>
      <c r="D58" s="4">
        <v>17708</v>
      </c>
      <c r="E58" s="57">
        <v>1828.3</v>
      </c>
      <c r="F58" s="1" t="s">
        <v>2117</v>
      </c>
      <c r="G58" s="1" t="s">
        <v>45</v>
      </c>
      <c r="H58" s="1"/>
      <c r="I58" s="1"/>
      <c r="J58" s="1"/>
      <c r="K58" s="1"/>
      <c r="L58" s="1"/>
      <c r="M58" s="1"/>
    </row>
    <row r="59" spans="1:13" ht="19.5">
      <c r="A59" s="1">
        <v>48</v>
      </c>
      <c r="B59" s="2" t="s">
        <v>2827</v>
      </c>
      <c r="C59" s="1" t="s">
        <v>2547</v>
      </c>
      <c r="D59" s="4">
        <v>17708</v>
      </c>
      <c r="E59" s="57">
        <v>1828.3</v>
      </c>
      <c r="F59" s="1" t="s">
        <v>2117</v>
      </c>
      <c r="G59" s="1" t="s">
        <v>45</v>
      </c>
      <c r="H59" s="1"/>
      <c r="I59" s="1"/>
      <c r="J59" s="1"/>
      <c r="K59" s="1"/>
      <c r="L59" s="1"/>
      <c r="M59" s="1"/>
    </row>
    <row r="60" spans="1:13" ht="19.5">
      <c r="A60" s="1">
        <v>49</v>
      </c>
      <c r="B60" s="2" t="s">
        <v>2827</v>
      </c>
      <c r="C60" s="1" t="s">
        <v>2548</v>
      </c>
      <c r="D60" s="4">
        <v>17708</v>
      </c>
      <c r="E60" s="57">
        <v>1828.3</v>
      </c>
      <c r="F60" s="1" t="s">
        <v>2117</v>
      </c>
      <c r="G60" s="1" t="s">
        <v>45</v>
      </c>
      <c r="H60" s="1"/>
      <c r="I60" s="1"/>
      <c r="J60" s="1"/>
      <c r="K60" s="1"/>
      <c r="L60" s="1"/>
      <c r="M60" s="2"/>
    </row>
    <row r="61" spans="1:13" ht="19.5">
      <c r="A61" s="1">
        <v>50</v>
      </c>
      <c r="B61" s="2" t="s">
        <v>2828</v>
      </c>
      <c r="C61" s="1" t="s">
        <v>2549</v>
      </c>
      <c r="D61" s="4">
        <v>17708</v>
      </c>
      <c r="E61" s="57">
        <v>1828.3</v>
      </c>
      <c r="F61" s="1" t="s">
        <v>2117</v>
      </c>
      <c r="G61" s="1" t="s">
        <v>45</v>
      </c>
      <c r="H61" s="1"/>
      <c r="I61" s="1"/>
      <c r="J61" s="1"/>
      <c r="K61" s="1"/>
      <c r="L61" s="1"/>
      <c r="M61" s="48"/>
    </row>
    <row r="62" spans="1:13" ht="19.5">
      <c r="A62" s="1">
        <v>51</v>
      </c>
      <c r="B62" s="2" t="s">
        <v>2829</v>
      </c>
      <c r="C62" s="1" t="s">
        <v>2550</v>
      </c>
      <c r="D62" s="4">
        <v>17708</v>
      </c>
      <c r="E62" s="57">
        <v>1828.3</v>
      </c>
      <c r="F62" s="1" t="s">
        <v>2117</v>
      </c>
      <c r="G62" s="1" t="s">
        <v>45</v>
      </c>
      <c r="H62" s="1"/>
      <c r="I62" s="1"/>
      <c r="J62" s="1"/>
      <c r="K62" s="1"/>
      <c r="L62" s="1"/>
      <c r="M62" s="48"/>
    </row>
    <row r="63" spans="1:13" s="44" customFormat="1" ht="19.5">
      <c r="A63" s="1">
        <v>52</v>
      </c>
      <c r="B63" s="2" t="s">
        <v>2829</v>
      </c>
      <c r="C63" s="1" t="s">
        <v>2551</v>
      </c>
      <c r="D63" s="4">
        <v>17708</v>
      </c>
      <c r="E63" s="57">
        <v>1828.3</v>
      </c>
      <c r="F63" s="1" t="s">
        <v>2117</v>
      </c>
      <c r="G63" s="1" t="s">
        <v>45</v>
      </c>
      <c r="H63" s="1"/>
      <c r="I63" s="1"/>
      <c r="J63" s="1"/>
      <c r="K63" s="1"/>
      <c r="L63" s="1"/>
      <c r="M63" s="1"/>
    </row>
    <row r="64" spans="1:13" ht="19.5">
      <c r="A64" s="1">
        <v>53</v>
      </c>
      <c r="B64" s="2" t="s">
        <v>2804</v>
      </c>
      <c r="C64" s="1" t="s">
        <v>2552</v>
      </c>
      <c r="D64" s="4">
        <v>17708</v>
      </c>
      <c r="E64" s="57">
        <v>1828.3</v>
      </c>
      <c r="F64" s="1" t="s">
        <v>2117</v>
      </c>
      <c r="G64" s="1" t="s">
        <v>45</v>
      </c>
      <c r="H64" s="1"/>
      <c r="I64" s="1"/>
      <c r="J64" s="1"/>
      <c r="K64" s="1"/>
      <c r="L64" s="1"/>
      <c r="M64" s="1"/>
    </row>
    <row r="65" spans="1:13" ht="19.5">
      <c r="A65" s="1">
        <v>54</v>
      </c>
      <c r="B65" s="2" t="s">
        <v>2804</v>
      </c>
      <c r="C65" s="1" t="s">
        <v>2553</v>
      </c>
      <c r="D65" s="4">
        <v>17708</v>
      </c>
      <c r="E65" s="57">
        <v>1828.3</v>
      </c>
      <c r="F65" s="1" t="s">
        <v>2117</v>
      </c>
      <c r="G65" s="1" t="s">
        <v>45</v>
      </c>
      <c r="H65" s="1"/>
      <c r="I65" s="1"/>
      <c r="J65" s="1"/>
      <c r="K65" s="1"/>
      <c r="L65" s="1"/>
      <c r="M65" s="1"/>
    </row>
    <row r="66" spans="1:13" ht="19.5">
      <c r="A66" s="1">
        <v>55</v>
      </c>
      <c r="B66" s="2" t="s">
        <v>2830</v>
      </c>
      <c r="C66" s="1" t="s">
        <v>2554</v>
      </c>
      <c r="D66" s="4">
        <v>17708</v>
      </c>
      <c r="E66" s="57">
        <v>1828.3</v>
      </c>
      <c r="F66" s="1" t="s">
        <v>2117</v>
      </c>
      <c r="G66" s="1" t="s">
        <v>45</v>
      </c>
      <c r="H66" s="1"/>
      <c r="I66" s="1"/>
      <c r="J66" s="1"/>
      <c r="K66" s="1"/>
      <c r="L66" s="1"/>
      <c r="M66" s="1"/>
    </row>
    <row r="67" spans="1:13" ht="19.5">
      <c r="A67" s="1">
        <v>56</v>
      </c>
      <c r="B67" s="2" t="s">
        <v>2830</v>
      </c>
      <c r="C67" s="1" t="s">
        <v>2555</v>
      </c>
      <c r="D67" s="4">
        <v>17708</v>
      </c>
      <c r="E67" s="57">
        <v>1828.3</v>
      </c>
      <c r="F67" s="1" t="s">
        <v>2117</v>
      </c>
      <c r="G67" s="1" t="s">
        <v>45</v>
      </c>
      <c r="H67" s="3"/>
      <c r="I67" s="3"/>
      <c r="J67" s="3"/>
      <c r="K67" s="3"/>
      <c r="L67" s="3"/>
      <c r="M67" s="3"/>
    </row>
    <row r="68" spans="1:13" ht="19.5">
      <c r="A68" s="1">
        <v>57</v>
      </c>
      <c r="B68" s="2" t="s">
        <v>2831</v>
      </c>
      <c r="C68" s="1" t="s">
        <v>2556</v>
      </c>
      <c r="D68" s="4">
        <v>17708</v>
      </c>
      <c r="E68" s="57">
        <v>1828.3</v>
      </c>
      <c r="F68" s="1" t="s">
        <v>2117</v>
      </c>
      <c r="G68" s="1" t="s">
        <v>45</v>
      </c>
      <c r="H68" s="3"/>
      <c r="I68" s="3"/>
      <c r="J68" s="3"/>
      <c r="K68" s="3"/>
      <c r="L68" s="3"/>
      <c r="M68" s="3"/>
    </row>
    <row r="69" spans="1:13" ht="19.5">
      <c r="A69" s="1">
        <v>58</v>
      </c>
      <c r="B69" s="2" t="s">
        <v>2831</v>
      </c>
      <c r="C69" s="1" t="s">
        <v>2557</v>
      </c>
      <c r="D69" s="4">
        <v>17708</v>
      </c>
      <c r="E69" s="57">
        <v>1828.3</v>
      </c>
      <c r="F69" s="1" t="s">
        <v>2117</v>
      </c>
      <c r="G69" s="1" t="s">
        <v>45</v>
      </c>
      <c r="H69" s="1"/>
      <c r="I69" s="1"/>
      <c r="J69" s="1"/>
      <c r="K69" s="1"/>
      <c r="L69" s="1"/>
      <c r="M69" s="1"/>
    </row>
    <row r="70" spans="1:13" ht="19.5">
      <c r="A70" s="1">
        <v>59</v>
      </c>
      <c r="B70" s="2" t="s">
        <v>2832</v>
      </c>
      <c r="C70" s="1" t="s">
        <v>2558</v>
      </c>
      <c r="D70" s="4">
        <v>17708</v>
      </c>
      <c r="E70" s="57">
        <v>1828.3</v>
      </c>
      <c r="F70" s="1" t="s">
        <v>2117</v>
      </c>
      <c r="G70" s="1" t="s">
        <v>45</v>
      </c>
      <c r="H70" s="1"/>
      <c r="I70" s="1"/>
      <c r="J70" s="1"/>
      <c r="K70" s="1"/>
      <c r="L70" s="1"/>
      <c r="M70" s="1"/>
    </row>
    <row r="71" spans="1:13" ht="19.5">
      <c r="A71" s="1">
        <v>60</v>
      </c>
      <c r="B71" s="2" t="s">
        <v>2833</v>
      </c>
      <c r="C71" s="1" t="s">
        <v>2559</v>
      </c>
      <c r="D71" s="4">
        <v>17708</v>
      </c>
      <c r="E71" s="57">
        <v>1828.3</v>
      </c>
      <c r="F71" s="1" t="s">
        <v>2117</v>
      </c>
      <c r="G71" s="1" t="s">
        <v>45</v>
      </c>
      <c r="H71" s="1"/>
      <c r="I71" s="1"/>
      <c r="J71" s="1"/>
      <c r="K71" s="1"/>
      <c r="L71" s="1"/>
      <c r="M71" s="1"/>
    </row>
    <row r="72" spans="1:13" ht="19.5">
      <c r="A72" s="1">
        <v>61</v>
      </c>
      <c r="B72" s="2" t="s">
        <v>2833</v>
      </c>
      <c r="C72" s="1" t="s">
        <v>2560</v>
      </c>
      <c r="D72" s="4">
        <v>17708</v>
      </c>
      <c r="E72" s="57">
        <v>1828.3</v>
      </c>
      <c r="F72" s="1" t="s">
        <v>2117</v>
      </c>
      <c r="G72" s="1" t="s">
        <v>45</v>
      </c>
      <c r="H72" s="1"/>
      <c r="I72" s="1"/>
      <c r="J72" s="1"/>
      <c r="K72" s="1"/>
      <c r="L72" s="1"/>
      <c r="M72" s="1"/>
    </row>
    <row r="73" spans="1:13" ht="19.5">
      <c r="A73" s="1">
        <v>62</v>
      </c>
      <c r="B73" s="2" t="s">
        <v>2834</v>
      </c>
      <c r="C73" s="1" t="s">
        <v>2561</v>
      </c>
      <c r="D73" s="4">
        <v>17708</v>
      </c>
      <c r="E73" s="57">
        <v>1828.3</v>
      </c>
      <c r="F73" s="1" t="s">
        <v>2117</v>
      </c>
      <c r="G73" s="1" t="s">
        <v>45</v>
      </c>
      <c r="H73" s="1"/>
      <c r="I73" s="1"/>
      <c r="J73" s="1"/>
      <c r="K73" s="1"/>
      <c r="L73" s="1"/>
      <c r="M73" s="2"/>
    </row>
    <row r="74" spans="1:13" ht="19.5">
      <c r="A74" s="1">
        <v>63</v>
      </c>
      <c r="B74" s="2" t="s">
        <v>2834</v>
      </c>
      <c r="C74" s="1" t="s">
        <v>2562</v>
      </c>
      <c r="D74" s="4">
        <v>17708</v>
      </c>
      <c r="E74" s="57">
        <v>1828.3</v>
      </c>
      <c r="F74" s="1" t="s">
        <v>2117</v>
      </c>
      <c r="G74" s="1" t="s">
        <v>45</v>
      </c>
      <c r="H74" s="1"/>
      <c r="I74" s="1"/>
      <c r="J74" s="1"/>
      <c r="K74" s="1"/>
      <c r="L74" s="1"/>
      <c r="M74" s="2"/>
    </row>
    <row r="75" spans="1:13" ht="19.5">
      <c r="A75" s="1">
        <v>64</v>
      </c>
      <c r="B75" s="2" t="s">
        <v>2835</v>
      </c>
      <c r="C75" s="1" t="s">
        <v>2563</v>
      </c>
      <c r="D75" s="4">
        <v>17708</v>
      </c>
      <c r="E75" s="57">
        <v>1828.3</v>
      </c>
      <c r="F75" s="1" t="s">
        <v>2117</v>
      </c>
      <c r="G75" s="1" t="s">
        <v>45</v>
      </c>
      <c r="H75" s="1"/>
      <c r="I75" s="1"/>
      <c r="J75" s="1"/>
      <c r="K75" s="1"/>
      <c r="L75" s="1"/>
      <c r="M75" s="2"/>
    </row>
    <row r="76" spans="1:13" s="46" customFormat="1" ht="19.5">
      <c r="A76" s="1">
        <v>65</v>
      </c>
      <c r="B76" s="2" t="s">
        <v>2835</v>
      </c>
      <c r="C76" s="1" t="s">
        <v>2564</v>
      </c>
      <c r="D76" s="4">
        <v>17708</v>
      </c>
      <c r="E76" s="57">
        <v>1828.3</v>
      </c>
      <c r="F76" s="1" t="s">
        <v>2117</v>
      </c>
      <c r="G76" s="1" t="s">
        <v>45</v>
      </c>
      <c r="H76" s="1"/>
      <c r="I76" s="1"/>
      <c r="J76" s="1"/>
      <c r="K76" s="1"/>
      <c r="L76" s="1"/>
      <c r="M76" s="2"/>
    </row>
    <row r="77" spans="1:13" s="46" customFormat="1" ht="19.5">
      <c r="A77" s="1">
        <v>66</v>
      </c>
      <c r="B77" s="2" t="s">
        <v>2836</v>
      </c>
      <c r="C77" s="1" t="s">
        <v>2565</v>
      </c>
      <c r="D77" s="4">
        <v>17708</v>
      </c>
      <c r="E77" s="57">
        <v>1828.3</v>
      </c>
      <c r="F77" s="1" t="s">
        <v>2117</v>
      </c>
      <c r="G77" s="1" t="s">
        <v>45</v>
      </c>
      <c r="H77" s="1"/>
      <c r="I77" s="1"/>
      <c r="J77" s="1"/>
      <c r="K77" s="1"/>
      <c r="L77" s="1"/>
      <c r="M77" s="2"/>
    </row>
    <row r="78" spans="1:13" s="46" customFormat="1" ht="19.5">
      <c r="A78" s="1">
        <v>67</v>
      </c>
      <c r="B78" s="2" t="s">
        <v>2836</v>
      </c>
      <c r="C78" s="1" t="s">
        <v>2566</v>
      </c>
      <c r="D78" s="4">
        <v>17708</v>
      </c>
      <c r="E78" s="57">
        <v>1828.3</v>
      </c>
      <c r="F78" s="1" t="s">
        <v>2117</v>
      </c>
      <c r="G78" s="1" t="s">
        <v>45</v>
      </c>
      <c r="H78" s="1"/>
      <c r="I78" s="1"/>
      <c r="J78" s="1"/>
      <c r="K78" s="1"/>
      <c r="L78" s="1"/>
      <c r="M78" s="2"/>
    </row>
    <row r="79" spans="1:13" s="46" customFormat="1" ht="19.5">
      <c r="A79" s="1">
        <v>68</v>
      </c>
      <c r="B79" s="2" t="s">
        <v>2837</v>
      </c>
      <c r="C79" s="1" t="s">
        <v>2567</v>
      </c>
      <c r="D79" s="4">
        <v>17708</v>
      </c>
      <c r="E79" s="57">
        <v>1828.3</v>
      </c>
      <c r="F79" s="1" t="s">
        <v>2117</v>
      </c>
      <c r="G79" s="1" t="s">
        <v>45</v>
      </c>
      <c r="H79" s="1"/>
      <c r="I79" s="1"/>
      <c r="J79" s="1"/>
      <c r="K79" s="1"/>
      <c r="L79" s="1"/>
      <c r="M79" s="2"/>
    </row>
    <row r="80" spans="1:13" s="46" customFormat="1" ht="19.5">
      <c r="A80" s="1">
        <v>69</v>
      </c>
      <c r="B80" s="2" t="s">
        <v>2837</v>
      </c>
      <c r="C80" s="1" t="s">
        <v>2568</v>
      </c>
      <c r="D80" s="4">
        <v>17708</v>
      </c>
      <c r="E80" s="57">
        <v>1828.3</v>
      </c>
      <c r="F80" s="1" t="s">
        <v>2117</v>
      </c>
      <c r="G80" s="1" t="s">
        <v>45</v>
      </c>
      <c r="H80" s="1"/>
      <c r="I80" s="1"/>
      <c r="J80" s="1"/>
      <c r="K80" s="1"/>
      <c r="L80" s="1"/>
      <c r="M80" s="2"/>
    </row>
    <row r="81" spans="1:13" s="46" customFormat="1" ht="19.5">
      <c r="A81" s="1">
        <v>70</v>
      </c>
      <c r="B81" s="2" t="s">
        <v>2838</v>
      </c>
      <c r="C81" s="1" t="s">
        <v>2569</v>
      </c>
      <c r="D81" s="4">
        <v>17708</v>
      </c>
      <c r="E81" s="57">
        <v>1828.3</v>
      </c>
      <c r="F81" s="1" t="s">
        <v>2117</v>
      </c>
      <c r="G81" s="1" t="s">
        <v>45</v>
      </c>
      <c r="H81" s="3"/>
      <c r="I81" s="3"/>
      <c r="J81" s="3"/>
      <c r="K81" s="3"/>
      <c r="L81" s="3"/>
      <c r="M81" s="3"/>
    </row>
    <row r="82" spans="1:13" s="46" customFormat="1" ht="19.5">
      <c r="A82" s="1">
        <v>71</v>
      </c>
      <c r="B82" s="2" t="s">
        <v>2839</v>
      </c>
      <c r="C82" s="1" t="s">
        <v>2570</v>
      </c>
      <c r="D82" s="4">
        <v>17708</v>
      </c>
      <c r="E82" s="57">
        <v>1828.3</v>
      </c>
      <c r="F82" s="1" t="s">
        <v>2117</v>
      </c>
      <c r="G82" s="1" t="s">
        <v>45</v>
      </c>
      <c r="H82" s="3"/>
      <c r="I82" s="3"/>
      <c r="J82" s="3"/>
      <c r="K82" s="3"/>
      <c r="L82" s="3"/>
      <c r="M82" s="3"/>
    </row>
    <row r="83" spans="1:13" ht="19.5">
      <c r="A83" s="1">
        <v>72</v>
      </c>
      <c r="B83" s="2" t="s">
        <v>2839</v>
      </c>
      <c r="C83" s="1" t="s">
        <v>2571</v>
      </c>
      <c r="D83" s="4">
        <v>17708</v>
      </c>
      <c r="E83" s="57">
        <v>1828.3</v>
      </c>
      <c r="F83" s="1" t="s">
        <v>2117</v>
      </c>
      <c r="G83" s="1" t="s">
        <v>45</v>
      </c>
      <c r="H83" s="3"/>
      <c r="I83" s="3"/>
      <c r="J83" s="3"/>
      <c r="K83" s="3"/>
      <c r="L83" s="3"/>
      <c r="M83" s="3"/>
    </row>
    <row r="84" spans="1:13" ht="19.5">
      <c r="A84" s="1">
        <v>73</v>
      </c>
      <c r="B84" s="2" t="s">
        <v>2840</v>
      </c>
      <c r="C84" s="1" t="s">
        <v>2572</v>
      </c>
      <c r="D84" s="4">
        <v>17708</v>
      </c>
      <c r="E84" s="57">
        <v>1828.3</v>
      </c>
      <c r="F84" s="1" t="s">
        <v>2117</v>
      </c>
      <c r="G84" s="1" t="s">
        <v>45</v>
      </c>
      <c r="H84" s="3"/>
      <c r="I84" s="3"/>
      <c r="J84" s="3"/>
      <c r="K84" s="3"/>
      <c r="L84" s="3"/>
      <c r="M84" s="3"/>
    </row>
    <row r="85" spans="1:13" ht="19.5">
      <c r="A85" s="1">
        <v>74</v>
      </c>
      <c r="B85" s="2" t="s">
        <v>2841</v>
      </c>
      <c r="C85" s="1" t="s">
        <v>2573</v>
      </c>
      <c r="D85" s="4">
        <v>17708</v>
      </c>
      <c r="E85" s="57">
        <v>1828.3</v>
      </c>
      <c r="F85" s="1" t="s">
        <v>2117</v>
      </c>
      <c r="G85" s="1" t="s">
        <v>45</v>
      </c>
      <c r="H85" s="3"/>
      <c r="I85" s="3"/>
      <c r="J85" s="3"/>
      <c r="K85" s="3"/>
      <c r="L85" s="3"/>
      <c r="M85" s="3"/>
    </row>
    <row r="86" spans="1:13" ht="19.5">
      <c r="A86" s="1">
        <v>75</v>
      </c>
      <c r="B86" s="2" t="s">
        <v>2841</v>
      </c>
      <c r="C86" s="1" t="s">
        <v>2574</v>
      </c>
      <c r="D86" s="4">
        <v>17708</v>
      </c>
      <c r="E86" s="57">
        <v>1828.3</v>
      </c>
      <c r="F86" s="1" t="s">
        <v>2117</v>
      </c>
      <c r="G86" s="1" t="s">
        <v>45</v>
      </c>
      <c r="H86" s="1"/>
      <c r="I86" s="1"/>
      <c r="J86" s="1"/>
      <c r="K86" s="1"/>
      <c r="L86" s="1"/>
      <c r="M86" s="2"/>
    </row>
    <row r="87" spans="1:13" ht="19.5">
      <c r="A87" s="1">
        <v>76</v>
      </c>
      <c r="B87" s="2" t="s">
        <v>2842</v>
      </c>
      <c r="C87" s="1" t="s">
        <v>2575</v>
      </c>
      <c r="D87" s="4">
        <v>17708</v>
      </c>
      <c r="E87" s="57">
        <v>1828.3</v>
      </c>
      <c r="F87" s="1" t="s">
        <v>2117</v>
      </c>
      <c r="G87" s="1" t="s">
        <v>45</v>
      </c>
      <c r="H87" s="1"/>
      <c r="I87" s="1"/>
      <c r="J87" s="1"/>
      <c r="K87" s="1"/>
      <c r="L87" s="1"/>
      <c r="M87" s="2"/>
    </row>
    <row r="88" spans="1:13" ht="19.5">
      <c r="A88" s="1">
        <v>77</v>
      </c>
      <c r="B88" s="2" t="s">
        <v>2842</v>
      </c>
      <c r="C88" s="1" t="s">
        <v>2576</v>
      </c>
      <c r="D88" s="4">
        <v>17708</v>
      </c>
      <c r="E88" s="57">
        <v>1828.3</v>
      </c>
      <c r="F88" s="1" t="s">
        <v>2117</v>
      </c>
      <c r="G88" s="1" t="s">
        <v>45</v>
      </c>
      <c r="H88" s="1"/>
      <c r="I88" s="1"/>
      <c r="J88" s="1"/>
      <c r="K88" s="1"/>
      <c r="L88" s="1"/>
      <c r="M88" s="1"/>
    </row>
    <row r="89" spans="1:13" ht="19.5">
      <c r="A89" s="1">
        <v>78</v>
      </c>
      <c r="B89" s="2" t="s">
        <v>2843</v>
      </c>
      <c r="C89" s="1" t="s">
        <v>2577</v>
      </c>
      <c r="D89" s="4">
        <v>17708</v>
      </c>
      <c r="E89" s="57">
        <v>1828.3</v>
      </c>
      <c r="F89" s="1" t="s">
        <v>2117</v>
      </c>
      <c r="G89" s="1" t="s">
        <v>45</v>
      </c>
      <c r="H89" s="1"/>
      <c r="I89" s="1"/>
      <c r="J89" s="1"/>
      <c r="K89" s="1"/>
      <c r="L89" s="1"/>
      <c r="M89" s="1"/>
    </row>
    <row r="90" spans="1:13" ht="19.5">
      <c r="A90" s="1">
        <v>79</v>
      </c>
      <c r="B90" s="2" t="s">
        <v>2844</v>
      </c>
      <c r="C90" s="1" t="s">
        <v>2578</v>
      </c>
      <c r="D90" s="4">
        <v>17708</v>
      </c>
      <c r="E90" s="57">
        <v>1828.3</v>
      </c>
      <c r="F90" s="1" t="s">
        <v>2117</v>
      </c>
      <c r="G90" s="1" t="s">
        <v>45</v>
      </c>
      <c r="H90" s="1"/>
      <c r="I90" s="1"/>
      <c r="J90" s="1"/>
      <c r="K90" s="1"/>
      <c r="L90" s="1"/>
      <c r="M90" s="1"/>
    </row>
    <row r="91" spans="1:13" ht="19.5">
      <c r="A91" s="1">
        <v>80</v>
      </c>
      <c r="B91" s="2" t="s">
        <v>2845</v>
      </c>
      <c r="C91" s="1" t="s">
        <v>2579</v>
      </c>
      <c r="D91" s="4">
        <v>17708</v>
      </c>
      <c r="E91" s="57">
        <v>1828.3</v>
      </c>
      <c r="F91" s="1" t="s">
        <v>2117</v>
      </c>
      <c r="G91" s="1" t="s">
        <v>45</v>
      </c>
      <c r="H91" s="1"/>
      <c r="I91" s="1"/>
      <c r="J91" s="1"/>
      <c r="K91" s="1"/>
      <c r="L91" s="1"/>
    </row>
    <row r="92" spans="1:13" ht="19.5">
      <c r="A92" s="1">
        <v>81</v>
      </c>
      <c r="B92" s="2" t="s">
        <v>2845</v>
      </c>
      <c r="C92" s="1" t="s">
        <v>2580</v>
      </c>
      <c r="D92" s="4">
        <v>17708</v>
      </c>
      <c r="E92" s="57">
        <v>1828.3</v>
      </c>
      <c r="F92" s="1" t="s">
        <v>2117</v>
      </c>
      <c r="G92" s="1" t="s">
        <v>45</v>
      </c>
      <c r="H92" s="1"/>
      <c r="I92" s="1"/>
      <c r="J92" s="1"/>
      <c r="K92" s="1"/>
      <c r="L92" s="1"/>
      <c r="M92" s="1"/>
    </row>
    <row r="93" spans="1:13" ht="19.5">
      <c r="A93" s="1">
        <v>82</v>
      </c>
      <c r="B93" s="2" t="s">
        <v>2846</v>
      </c>
      <c r="C93" s="1" t="s">
        <v>2581</v>
      </c>
      <c r="D93" s="4">
        <v>17708</v>
      </c>
      <c r="E93" s="57">
        <v>1828.3</v>
      </c>
      <c r="F93" s="1" t="s">
        <v>2117</v>
      </c>
      <c r="G93" s="1" t="s">
        <v>45</v>
      </c>
      <c r="H93" s="1"/>
      <c r="I93" s="1"/>
      <c r="J93" s="1"/>
      <c r="K93" s="1"/>
      <c r="L93" s="1"/>
      <c r="M93" s="1"/>
    </row>
    <row r="94" spans="1:13" ht="19.5">
      <c r="A94" s="1">
        <v>83</v>
      </c>
      <c r="B94" s="2" t="s">
        <v>2847</v>
      </c>
      <c r="C94" s="1" t="s">
        <v>2582</v>
      </c>
      <c r="D94" s="4">
        <v>17708</v>
      </c>
      <c r="E94" s="57">
        <v>1828.3</v>
      </c>
      <c r="F94" s="1" t="s">
        <v>2117</v>
      </c>
      <c r="G94" s="1" t="s">
        <v>45</v>
      </c>
      <c r="H94" s="1"/>
      <c r="I94" s="1"/>
      <c r="J94" s="1"/>
      <c r="K94" s="1"/>
      <c r="L94" s="1"/>
      <c r="M94" s="1"/>
    </row>
    <row r="95" spans="1:13" ht="19.5">
      <c r="A95" s="1">
        <v>84</v>
      </c>
      <c r="B95" s="2" t="s">
        <v>2847</v>
      </c>
      <c r="C95" s="1" t="s">
        <v>2583</v>
      </c>
      <c r="D95" s="4">
        <v>17708</v>
      </c>
      <c r="E95" s="57">
        <v>1828.3</v>
      </c>
      <c r="F95" s="1" t="s">
        <v>2117</v>
      </c>
      <c r="G95" s="1" t="s">
        <v>45</v>
      </c>
      <c r="H95" s="1"/>
      <c r="I95" s="1"/>
      <c r="J95" s="1"/>
      <c r="K95" s="1"/>
      <c r="L95" s="1"/>
      <c r="M95" s="2"/>
    </row>
    <row r="96" spans="1:13" ht="19.5">
      <c r="A96" s="1">
        <v>85</v>
      </c>
      <c r="B96" s="2" t="s">
        <v>2848</v>
      </c>
      <c r="C96" s="1" t="s">
        <v>2584</v>
      </c>
      <c r="D96" s="4">
        <v>17708</v>
      </c>
      <c r="E96" s="57">
        <v>1828.3</v>
      </c>
      <c r="F96" s="1" t="s">
        <v>2117</v>
      </c>
      <c r="G96" s="1" t="s">
        <v>45</v>
      </c>
      <c r="H96" s="1"/>
      <c r="I96" s="1"/>
      <c r="J96" s="1"/>
      <c r="K96" s="1"/>
      <c r="L96" s="1"/>
      <c r="M96" s="2"/>
    </row>
    <row r="97" spans="1:13" ht="19.5">
      <c r="A97" s="1">
        <v>86</v>
      </c>
      <c r="B97" s="2" t="s">
        <v>2848</v>
      </c>
      <c r="C97" s="1" t="s">
        <v>2585</v>
      </c>
      <c r="D97" s="4">
        <v>17708</v>
      </c>
      <c r="E97" s="57">
        <v>1828.3</v>
      </c>
      <c r="F97" s="1" t="s">
        <v>2117</v>
      </c>
      <c r="G97" s="1" t="s">
        <v>45</v>
      </c>
      <c r="H97" s="1"/>
      <c r="I97" s="1"/>
      <c r="J97" s="1"/>
      <c r="K97" s="1"/>
      <c r="L97" s="1"/>
      <c r="M97" s="2"/>
    </row>
    <row r="98" spans="1:13" ht="19.5">
      <c r="A98" s="1">
        <v>87</v>
      </c>
      <c r="B98" s="2" t="s">
        <v>2847</v>
      </c>
      <c r="C98" s="1" t="s">
        <v>2586</v>
      </c>
      <c r="D98" s="4">
        <v>17708</v>
      </c>
      <c r="E98" s="57">
        <v>1828.3</v>
      </c>
      <c r="F98" s="1" t="s">
        <v>2117</v>
      </c>
      <c r="G98" s="1" t="s">
        <v>45</v>
      </c>
      <c r="H98" s="1"/>
      <c r="I98" s="1"/>
      <c r="J98" s="1"/>
      <c r="K98" s="1"/>
      <c r="L98" s="1"/>
      <c r="M98" s="2"/>
    </row>
    <row r="99" spans="1:13" ht="19.5">
      <c r="A99" s="1">
        <v>88</v>
      </c>
      <c r="B99" s="2" t="s">
        <v>2849</v>
      </c>
      <c r="C99" s="1" t="s">
        <v>2587</v>
      </c>
      <c r="D99" s="4">
        <v>17708</v>
      </c>
      <c r="E99" s="57">
        <v>1828.3</v>
      </c>
      <c r="F99" s="1" t="s">
        <v>2117</v>
      </c>
      <c r="G99" s="1" t="s">
        <v>45</v>
      </c>
      <c r="H99" s="1"/>
      <c r="I99" s="1"/>
      <c r="J99" s="1"/>
      <c r="K99" s="1"/>
      <c r="L99" s="1"/>
      <c r="M99" s="2"/>
    </row>
    <row r="100" spans="1:13" ht="19.5">
      <c r="A100" s="1">
        <v>89</v>
      </c>
      <c r="B100" s="2" t="s">
        <v>2849</v>
      </c>
      <c r="C100" s="1" t="s">
        <v>2588</v>
      </c>
      <c r="D100" s="4">
        <v>17708</v>
      </c>
      <c r="E100" s="57">
        <v>1828.3</v>
      </c>
      <c r="F100" s="1" t="s">
        <v>2117</v>
      </c>
      <c r="G100" s="1" t="s">
        <v>45</v>
      </c>
      <c r="H100" s="1"/>
      <c r="I100" s="1"/>
      <c r="J100" s="1"/>
      <c r="K100" s="1"/>
      <c r="L100" s="1"/>
      <c r="M100" s="2"/>
    </row>
    <row r="101" spans="1:13" ht="19.5">
      <c r="A101" s="1">
        <v>90</v>
      </c>
      <c r="B101" s="2" t="s">
        <v>2850</v>
      </c>
      <c r="C101" s="1" t="s">
        <v>2589</v>
      </c>
      <c r="D101" s="4">
        <v>17708</v>
      </c>
      <c r="E101" s="57">
        <v>1828.3</v>
      </c>
      <c r="F101" s="1" t="s">
        <v>2117</v>
      </c>
      <c r="G101" s="1" t="s">
        <v>45</v>
      </c>
      <c r="H101" s="1"/>
      <c r="I101" s="1"/>
      <c r="J101" s="1"/>
      <c r="K101" s="1"/>
      <c r="L101" s="1"/>
      <c r="M101" s="2"/>
    </row>
    <row r="102" spans="1:13" ht="19.5">
      <c r="A102" s="1">
        <v>91</v>
      </c>
      <c r="B102" s="2" t="s">
        <v>2850</v>
      </c>
      <c r="C102" s="1" t="s">
        <v>2590</v>
      </c>
      <c r="D102" s="4">
        <v>17708</v>
      </c>
      <c r="E102" s="57">
        <v>1828.3</v>
      </c>
      <c r="F102" s="1" t="s">
        <v>2117</v>
      </c>
      <c r="G102" s="1" t="s">
        <v>45</v>
      </c>
      <c r="H102" s="1"/>
      <c r="I102" s="1"/>
      <c r="J102" s="1"/>
      <c r="K102" s="1"/>
      <c r="L102" s="1"/>
      <c r="M102" s="2"/>
    </row>
    <row r="103" spans="1:13" ht="19.5">
      <c r="A103" s="1">
        <v>92</v>
      </c>
      <c r="B103" s="2" t="s">
        <v>2851</v>
      </c>
      <c r="C103" s="1" t="s">
        <v>2591</v>
      </c>
      <c r="D103" s="4">
        <v>17708</v>
      </c>
      <c r="E103" s="57">
        <v>1828.3</v>
      </c>
      <c r="F103" s="1" t="s">
        <v>2117</v>
      </c>
      <c r="G103" s="1" t="s">
        <v>45</v>
      </c>
      <c r="H103" s="1"/>
      <c r="I103" s="1"/>
      <c r="J103" s="1"/>
      <c r="K103" s="1"/>
      <c r="L103" s="1"/>
      <c r="M103" s="2"/>
    </row>
    <row r="104" spans="1:13" ht="19.5">
      <c r="A104" s="1">
        <v>93</v>
      </c>
      <c r="B104" s="2" t="s">
        <v>2851</v>
      </c>
      <c r="C104" s="1" t="s">
        <v>2592</v>
      </c>
      <c r="D104" s="4">
        <v>17708</v>
      </c>
      <c r="E104" s="57">
        <v>1828.3</v>
      </c>
      <c r="F104" s="1" t="s">
        <v>2117</v>
      </c>
      <c r="G104" s="1" t="s">
        <v>45</v>
      </c>
      <c r="H104" s="1"/>
      <c r="I104" s="1"/>
      <c r="J104" s="1"/>
      <c r="K104" s="1"/>
      <c r="L104" s="1"/>
      <c r="M104" s="2"/>
    </row>
    <row r="105" spans="1:13" ht="19.5">
      <c r="A105" s="1">
        <v>94</v>
      </c>
      <c r="B105" s="2" t="s">
        <v>2852</v>
      </c>
      <c r="C105" s="1" t="s">
        <v>2593</v>
      </c>
      <c r="D105" s="4">
        <v>17708</v>
      </c>
      <c r="E105" s="57">
        <v>1828.3</v>
      </c>
      <c r="F105" s="1" t="s">
        <v>2117</v>
      </c>
      <c r="G105" s="1" t="s">
        <v>45</v>
      </c>
      <c r="H105" s="1"/>
      <c r="I105" s="1"/>
      <c r="J105" s="1"/>
      <c r="K105" s="1"/>
      <c r="L105" s="1"/>
      <c r="M105" s="2"/>
    </row>
    <row r="106" spans="1:13" ht="19.5">
      <c r="A106" s="1">
        <v>95</v>
      </c>
      <c r="B106" s="2" t="s">
        <v>2852</v>
      </c>
      <c r="C106" s="1" t="s">
        <v>2594</v>
      </c>
      <c r="D106" s="4">
        <v>17708</v>
      </c>
      <c r="E106" s="57">
        <v>1828.3</v>
      </c>
      <c r="F106" s="1" t="s">
        <v>2117</v>
      </c>
      <c r="G106" s="1" t="s">
        <v>45</v>
      </c>
      <c r="H106" s="1"/>
      <c r="I106" s="1"/>
      <c r="J106" s="1"/>
      <c r="K106" s="1"/>
      <c r="L106" s="1"/>
      <c r="M106" s="2"/>
    </row>
    <row r="107" spans="1:13" ht="19.5">
      <c r="A107" s="1">
        <v>96</v>
      </c>
      <c r="B107" s="2" t="s">
        <v>2853</v>
      </c>
      <c r="C107" s="1" t="s">
        <v>2595</v>
      </c>
      <c r="D107" s="4">
        <v>17708</v>
      </c>
      <c r="E107" s="57">
        <v>1828.3</v>
      </c>
      <c r="F107" s="1" t="s">
        <v>2117</v>
      </c>
      <c r="G107" s="1" t="s">
        <v>45</v>
      </c>
      <c r="H107" s="1"/>
      <c r="I107" s="1"/>
      <c r="J107" s="1"/>
      <c r="K107" s="1"/>
      <c r="L107" s="1"/>
      <c r="M107" s="2"/>
    </row>
    <row r="108" spans="1:13" ht="19.5">
      <c r="A108" s="1">
        <v>97</v>
      </c>
      <c r="B108" s="2" t="s">
        <v>2853</v>
      </c>
      <c r="C108" s="1" t="s">
        <v>2596</v>
      </c>
      <c r="D108" s="4">
        <v>17708</v>
      </c>
      <c r="E108" s="57">
        <v>1828.3</v>
      </c>
      <c r="F108" s="1" t="s">
        <v>2117</v>
      </c>
      <c r="G108" s="1" t="s">
        <v>45</v>
      </c>
      <c r="H108" s="1"/>
      <c r="I108" s="1"/>
      <c r="J108" s="1"/>
      <c r="K108" s="1"/>
      <c r="L108" s="1"/>
      <c r="M108" s="2"/>
    </row>
    <row r="109" spans="1:13" ht="19.5">
      <c r="A109" s="1">
        <v>98</v>
      </c>
      <c r="B109" s="2" t="s">
        <v>2854</v>
      </c>
      <c r="C109" s="1" t="s">
        <v>2597</v>
      </c>
      <c r="D109" s="4">
        <v>17708</v>
      </c>
      <c r="E109" s="57">
        <v>1828.3</v>
      </c>
      <c r="F109" s="1" t="s">
        <v>2117</v>
      </c>
      <c r="G109" s="1" t="s">
        <v>45</v>
      </c>
      <c r="H109" s="1"/>
      <c r="I109" s="1"/>
      <c r="J109" s="1"/>
      <c r="K109" s="1"/>
      <c r="L109" s="1"/>
      <c r="M109" s="2"/>
    </row>
    <row r="110" spans="1:13" ht="19.5">
      <c r="A110" s="1">
        <v>99</v>
      </c>
      <c r="B110" s="2" t="s">
        <v>2854</v>
      </c>
      <c r="C110" s="1" t="s">
        <v>2598</v>
      </c>
      <c r="D110" s="4">
        <v>17708</v>
      </c>
      <c r="E110" s="57">
        <v>1828.3</v>
      </c>
      <c r="F110" s="1" t="s">
        <v>2117</v>
      </c>
      <c r="G110" s="1" t="s">
        <v>45</v>
      </c>
      <c r="H110" s="1"/>
      <c r="I110" s="1"/>
      <c r="J110" s="1"/>
      <c r="K110" s="1"/>
      <c r="L110" s="1"/>
      <c r="M110" s="2"/>
    </row>
    <row r="111" spans="1:13" ht="19.5">
      <c r="A111" s="1">
        <v>100</v>
      </c>
      <c r="B111" s="2" t="s">
        <v>2854</v>
      </c>
      <c r="C111" s="1" t="s">
        <v>2599</v>
      </c>
      <c r="D111" s="4">
        <v>17708</v>
      </c>
      <c r="E111" s="57">
        <v>1828.3</v>
      </c>
      <c r="F111" s="1" t="s">
        <v>2117</v>
      </c>
      <c r="G111" s="1" t="s">
        <v>45</v>
      </c>
      <c r="H111" s="1"/>
      <c r="I111" s="1"/>
      <c r="J111" s="1"/>
      <c r="K111" s="1"/>
      <c r="L111" s="1"/>
      <c r="M111" s="2"/>
    </row>
    <row r="112" spans="1:13" ht="19.5">
      <c r="A112" s="1">
        <v>101</v>
      </c>
      <c r="B112" s="2" t="s">
        <v>2856</v>
      </c>
      <c r="C112" s="1" t="s">
        <v>2857</v>
      </c>
      <c r="D112" s="4">
        <v>22010</v>
      </c>
      <c r="E112" s="57">
        <v>46167</v>
      </c>
      <c r="F112" s="1" t="s">
        <v>2117</v>
      </c>
      <c r="G112" s="1" t="s">
        <v>45</v>
      </c>
      <c r="H112" s="223"/>
      <c r="I112" s="223"/>
      <c r="J112" s="223"/>
      <c r="K112" s="223"/>
      <c r="L112" s="223"/>
      <c r="M112" s="2"/>
    </row>
    <row r="113" spans="1:13" ht="19.5">
      <c r="A113" s="1">
        <v>102</v>
      </c>
      <c r="B113" s="2" t="s">
        <v>2859</v>
      </c>
      <c r="C113" s="1" t="s">
        <v>2858</v>
      </c>
      <c r="D113" s="4">
        <v>22010</v>
      </c>
      <c r="E113" s="57">
        <v>46167</v>
      </c>
      <c r="F113" s="1" t="s">
        <v>2117</v>
      </c>
      <c r="G113" s="1" t="s">
        <v>45</v>
      </c>
      <c r="H113" s="1"/>
      <c r="I113" s="1"/>
      <c r="J113" s="1"/>
      <c r="K113" s="1"/>
      <c r="L113" s="1"/>
      <c r="M113" s="2"/>
    </row>
    <row r="114" spans="1:13" ht="19.5">
      <c r="A114" s="1">
        <v>103</v>
      </c>
      <c r="B114" s="2" t="s">
        <v>2861</v>
      </c>
      <c r="C114" s="1" t="s">
        <v>2860</v>
      </c>
      <c r="D114" s="4">
        <v>22010</v>
      </c>
      <c r="E114" s="57">
        <v>46167</v>
      </c>
      <c r="F114" s="1" t="s">
        <v>2117</v>
      </c>
      <c r="G114" s="1" t="s">
        <v>45</v>
      </c>
      <c r="H114" s="1"/>
      <c r="I114" s="1"/>
      <c r="J114" s="1"/>
      <c r="K114" s="1"/>
      <c r="L114" s="1"/>
      <c r="M114" s="2"/>
    </row>
    <row r="115" spans="1:13" ht="19.5">
      <c r="A115" s="1">
        <v>104</v>
      </c>
      <c r="B115" s="2" t="s">
        <v>2863</v>
      </c>
      <c r="C115" s="1" t="s">
        <v>2862</v>
      </c>
      <c r="D115" s="4">
        <v>22010</v>
      </c>
      <c r="E115" s="57">
        <v>46167</v>
      </c>
      <c r="F115" s="1" t="s">
        <v>2117</v>
      </c>
      <c r="G115" s="1" t="s">
        <v>45</v>
      </c>
      <c r="H115" s="1"/>
      <c r="I115" s="1"/>
      <c r="J115" s="1"/>
      <c r="K115" s="1"/>
      <c r="L115" s="1"/>
      <c r="M115" s="2"/>
    </row>
    <row r="116" spans="1:13" ht="19.5">
      <c r="A116" s="1">
        <v>105</v>
      </c>
      <c r="B116" s="2" t="s">
        <v>2865</v>
      </c>
      <c r="C116" s="1" t="s">
        <v>2864</v>
      </c>
      <c r="D116" s="4">
        <v>22010</v>
      </c>
      <c r="E116" s="57">
        <v>46166</v>
      </c>
      <c r="F116" s="1" t="s">
        <v>2117</v>
      </c>
      <c r="G116" s="1" t="s">
        <v>45</v>
      </c>
      <c r="H116" s="1"/>
      <c r="I116" s="1"/>
      <c r="J116" s="1"/>
      <c r="K116" s="1"/>
      <c r="L116" s="1"/>
      <c r="M116" s="2"/>
    </row>
    <row r="117" spans="1:13" ht="19.5">
      <c r="A117" s="1">
        <v>106</v>
      </c>
      <c r="B117" s="2" t="s">
        <v>2867</v>
      </c>
      <c r="C117" s="1" t="s">
        <v>2866</v>
      </c>
      <c r="D117" s="4">
        <v>22010</v>
      </c>
      <c r="E117" s="57">
        <v>46166</v>
      </c>
      <c r="F117" s="1" t="s">
        <v>2117</v>
      </c>
      <c r="G117" s="1" t="s">
        <v>45</v>
      </c>
      <c r="H117" s="1"/>
      <c r="I117" s="1"/>
      <c r="J117" s="1"/>
      <c r="K117" s="1"/>
      <c r="L117" s="1"/>
      <c r="M117" s="2"/>
    </row>
    <row r="118" spans="1:13" s="914" customFormat="1" ht="20.25" thickBot="1">
      <c r="A118" s="909">
        <v>106</v>
      </c>
      <c r="B118" s="908"/>
      <c r="C118" s="909"/>
      <c r="D118" s="1075"/>
      <c r="E118" s="911">
        <f>SUM(E12:E117)</f>
        <v>459829.99999999983</v>
      </c>
      <c r="F118" s="909"/>
      <c r="G118" s="909"/>
      <c r="H118" s="909"/>
      <c r="I118" s="909"/>
      <c r="J118" s="909"/>
      <c r="K118" s="909"/>
      <c r="L118" s="909"/>
      <c r="M118" s="908"/>
    </row>
    <row r="119" spans="1:13" ht="20.25" thickTop="1">
      <c r="A119" s="1"/>
      <c r="B119" s="2"/>
      <c r="C119" s="1"/>
      <c r="D119" s="4"/>
      <c r="E119" s="95"/>
      <c r="F119" s="1"/>
      <c r="G119" s="1"/>
      <c r="H119" s="1"/>
      <c r="I119" s="1"/>
      <c r="J119" s="1"/>
      <c r="K119" s="1"/>
      <c r="L119" s="1"/>
      <c r="M119" s="2"/>
    </row>
    <row r="120" spans="1:13" ht="19.5">
      <c r="A120" s="1">
        <v>1</v>
      </c>
      <c r="B120" s="224" t="s">
        <v>2855</v>
      </c>
      <c r="C120" s="1" t="s">
        <v>1732</v>
      </c>
      <c r="D120" s="4">
        <v>21890</v>
      </c>
      <c r="E120" s="57">
        <v>199500</v>
      </c>
      <c r="F120" s="1" t="s">
        <v>2770</v>
      </c>
      <c r="G120" s="1" t="s">
        <v>45</v>
      </c>
      <c r="H120" s="1"/>
      <c r="I120" s="1"/>
      <c r="J120" s="1"/>
      <c r="K120" s="1"/>
      <c r="L120" s="1"/>
      <c r="M120" s="2"/>
    </row>
    <row r="121" spans="1:13" s="914" customFormat="1" ht="20.25" thickBot="1">
      <c r="A121" s="909">
        <v>1</v>
      </c>
      <c r="B121" s="1076"/>
      <c r="C121" s="909"/>
      <c r="D121" s="1075"/>
      <c r="E121" s="911">
        <f>SUM(E120)</f>
        <v>199500</v>
      </c>
      <c r="F121" s="909"/>
      <c r="G121" s="909"/>
      <c r="H121" s="909"/>
      <c r="I121" s="909"/>
      <c r="J121" s="909"/>
      <c r="K121" s="909"/>
      <c r="L121" s="909"/>
      <c r="M121" s="908"/>
    </row>
    <row r="122" spans="1:13" ht="20.25" thickTop="1">
      <c r="A122" s="1"/>
      <c r="B122" s="224"/>
      <c r="C122" s="1"/>
      <c r="D122" s="4"/>
      <c r="E122" s="95"/>
      <c r="F122" s="1"/>
      <c r="G122" s="1"/>
      <c r="H122" s="1"/>
      <c r="I122" s="1"/>
      <c r="J122" s="1"/>
      <c r="K122" s="1"/>
      <c r="L122" s="1"/>
      <c r="M122" s="2"/>
    </row>
    <row r="123" spans="1:13" ht="19.5">
      <c r="A123" s="1">
        <v>1</v>
      </c>
      <c r="B123" s="2" t="s">
        <v>1731</v>
      </c>
      <c r="C123" s="1" t="s">
        <v>1733</v>
      </c>
      <c r="D123" s="4">
        <v>241074</v>
      </c>
      <c r="E123" s="57">
        <v>299000</v>
      </c>
      <c r="F123" s="1" t="s">
        <v>2770</v>
      </c>
      <c r="G123" s="1" t="s">
        <v>45</v>
      </c>
      <c r="H123" s="1"/>
      <c r="I123" s="1"/>
      <c r="J123" s="1"/>
      <c r="K123" s="1"/>
      <c r="L123" s="1"/>
      <c r="M123" s="2"/>
    </row>
    <row r="124" spans="1:13" s="914" customFormat="1" ht="20.25" thickBot="1">
      <c r="A124" s="909">
        <v>1</v>
      </c>
      <c r="B124" s="908"/>
      <c r="C124" s="909"/>
      <c r="D124" s="1075"/>
      <c r="E124" s="911">
        <f>SUM(E123)</f>
        <v>299000</v>
      </c>
      <c r="F124" s="909"/>
      <c r="G124" s="909"/>
      <c r="H124" s="909"/>
      <c r="I124" s="909"/>
      <c r="J124" s="909"/>
      <c r="K124" s="909"/>
      <c r="L124" s="909"/>
      <c r="M124" s="908"/>
    </row>
    <row r="125" spans="1:13" ht="20.25" thickTop="1">
      <c r="A125" s="1"/>
      <c r="B125" s="2"/>
      <c r="C125" s="1"/>
      <c r="D125" s="4"/>
      <c r="E125" s="95"/>
      <c r="F125" s="1"/>
      <c r="G125" s="1"/>
      <c r="H125" s="1"/>
      <c r="I125" s="1"/>
      <c r="J125" s="1"/>
      <c r="K125" s="1"/>
      <c r="L125" s="1"/>
      <c r="M125" s="2"/>
    </row>
    <row r="126" spans="1:13" ht="21">
      <c r="A126" s="1">
        <v>1</v>
      </c>
      <c r="B126" s="2" t="s">
        <v>2786</v>
      </c>
      <c r="C126" s="1" t="s">
        <v>2600</v>
      </c>
      <c r="D126" s="4">
        <v>16784</v>
      </c>
      <c r="E126" s="57">
        <v>9812.4</v>
      </c>
      <c r="F126" s="1" t="s">
        <v>2117</v>
      </c>
      <c r="G126" s="1" t="s">
        <v>45</v>
      </c>
      <c r="H126" s="222"/>
      <c r="I126" s="222"/>
      <c r="J126" s="222"/>
      <c r="K126" s="222"/>
      <c r="L126" s="222"/>
      <c r="M126" s="225"/>
    </row>
    <row r="127" spans="1:13" ht="19.5">
      <c r="A127" s="1">
        <v>2</v>
      </c>
      <c r="B127" s="2" t="s">
        <v>2787</v>
      </c>
      <c r="C127" s="1" t="s">
        <v>2601</v>
      </c>
      <c r="D127" s="4">
        <v>16784</v>
      </c>
      <c r="E127" s="57">
        <v>9812.4</v>
      </c>
      <c r="F127" s="1" t="s">
        <v>2117</v>
      </c>
      <c r="G127" s="1" t="s">
        <v>45</v>
      </c>
      <c r="H127" s="226"/>
      <c r="I127" s="226"/>
      <c r="J127" s="226"/>
      <c r="K127" s="226"/>
      <c r="L127" s="226"/>
      <c r="M127" s="226"/>
    </row>
    <row r="128" spans="1:13" ht="19.5">
      <c r="A128" s="1">
        <v>3</v>
      </c>
      <c r="B128" s="2" t="s">
        <v>2788</v>
      </c>
      <c r="C128" s="1" t="s">
        <v>2602</v>
      </c>
      <c r="D128" s="4">
        <v>16784</v>
      </c>
      <c r="E128" s="57">
        <v>9812.4</v>
      </c>
      <c r="F128" s="1" t="s">
        <v>2117</v>
      </c>
      <c r="G128" s="1" t="s">
        <v>45</v>
      </c>
      <c r="H128" s="222"/>
      <c r="I128" s="192"/>
      <c r="J128" s="222"/>
      <c r="K128" s="222"/>
      <c r="L128" s="222"/>
      <c r="M128" s="222"/>
    </row>
    <row r="129" spans="1:13" ht="19.5">
      <c r="A129" s="1">
        <v>4</v>
      </c>
      <c r="B129" s="2" t="s">
        <v>2789</v>
      </c>
      <c r="C129" s="1" t="s">
        <v>2603</v>
      </c>
      <c r="D129" s="4">
        <v>16784</v>
      </c>
      <c r="E129" s="57">
        <v>9812.4</v>
      </c>
      <c r="F129" s="1" t="s">
        <v>2117</v>
      </c>
      <c r="G129" s="1" t="s">
        <v>45</v>
      </c>
      <c r="H129" s="3"/>
      <c r="I129" s="1"/>
      <c r="J129" s="3"/>
      <c r="K129" s="3"/>
      <c r="L129" s="3"/>
      <c r="M129" s="3"/>
    </row>
    <row r="130" spans="1:13" ht="19.5">
      <c r="A130" s="1">
        <v>5</v>
      </c>
      <c r="B130" s="227" t="s">
        <v>2790</v>
      </c>
      <c r="C130" s="1" t="s">
        <v>2604</v>
      </c>
      <c r="D130" s="4">
        <v>16784</v>
      </c>
      <c r="E130" s="57">
        <v>9812.4</v>
      </c>
      <c r="F130" s="1" t="s">
        <v>2117</v>
      </c>
      <c r="G130" s="1" t="s">
        <v>45</v>
      </c>
      <c r="H130" s="3"/>
      <c r="I130" s="3"/>
      <c r="J130" s="3"/>
      <c r="K130" s="3"/>
      <c r="L130" s="3"/>
      <c r="M130" s="3"/>
    </row>
    <row r="131" spans="1:13" ht="19.5">
      <c r="A131" s="1">
        <v>6</v>
      </c>
      <c r="B131" s="2" t="s">
        <v>2791</v>
      </c>
      <c r="C131" s="1" t="s">
        <v>2605</v>
      </c>
      <c r="D131" s="4">
        <v>16784</v>
      </c>
      <c r="E131" s="57">
        <v>9812.4</v>
      </c>
      <c r="F131" s="1" t="s">
        <v>2117</v>
      </c>
      <c r="G131" s="1" t="s">
        <v>45</v>
      </c>
      <c r="H131" s="3"/>
      <c r="I131" s="3"/>
      <c r="J131" s="3"/>
      <c r="K131" s="3"/>
      <c r="L131" s="3"/>
      <c r="M131" s="3"/>
    </row>
    <row r="132" spans="1:13" ht="19.5">
      <c r="A132" s="1">
        <v>7</v>
      </c>
      <c r="B132" s="2" t="s">
        <v>2792</v>
      </c>
      <c r="C132" s="1" t="s">
        <v>2606</v>
      </c>
      <c r="D132" s="4">
        <v>16784</v>
      </c>
      <c r="E132" s="57">
        <v>9812.4</v>
      </c>
      <c r="F132" s="1" t="s">
        <v>2117</v>
      </c>
      <c r="G132" s="1" t="s">
        <v>45</v>
      </c>
      <c r="H132" s="3"/>
      <c r="I132" s="3"/>
      <c r="J132" s="3"/>
      <c r="K132" s="3"/>
      <c r="L132" s="3"/>
      <c r="M132" s="3"/>
    </row>
    <row r="133" spans="1:13" ht="19.5">
      <c r="A133" s="1">
        <v>8</v>
      </c>
      <c r="B133" s="2" t="s">
        <v>2793</v>
      </c>
      <c r="C133" s="1" t="s">
        <v>2607</v>
      </c>
      <c r="D133" s="4">
        <v>16784</v>
      </c>
      <c r="E133" s="57">
        <v>9812.4</v>
      </c>
      <c r="F133" s="1" t="s">
        <v>2117</v>
      </c>
      <c r="G133" s="1" t="s">
        <v>45</v>
      </c>
      <c r="H133" s="1"/>
      <c r="I133" s="1"/>
      <c r="J133" s="1"/>
      <c r="K133" s="1"/>
      <c r="L133" s="1"/>
      <c r="M133" s="1"/>
    </row>
    <row r="134" spans="1:13" ht="19.5">
      <c r="A134" s="1">
        <v>9</v>
      </c>
      <c r="B134" s="2" t="s">
        <v>2794</v>
      </c>
      <c r="C134" s="1" t="s">
        <v>2608</v>
      </c>
      <c r="D134" s="4">
        <v>16784</v>
      </c>
      <c r="E134" s="57">
        <v>9812.4</v>
      </c>
      <c r="F134" s="1" t="s">
        <v>2117</v>
      </c>
      <c r="G134" s="1" t="s">
        <v>45</v>
      </c>
      <c r="H134" s="1"/>
      <c r="I134" s="1"/>
      <c r="J134" s="1"/>
      <c r="K134" s="1"/>
      <c r="L134" s="1"/>
      <c r="M134" s="1"/>
    </row>
    <row r="135" spans="1:13" ht="19.5">
      <c r="A135" s="1">
        <v>10</v>
      </c>
      <c r="B135" s="2" t="s">
        <v>2795</v>
      </c>
      <c r="C135" s="1" t="s">
        <v>2609</v>
      </c>
      <c r="D135" s="4">
        <v>16784</v>
      </c>
      <c r="E135" s="57">
        <v>9812.4</v>
      </c>
      <c r="F135" s="1" t="s">
        <v>2117</v>
      </c>
      <c r="G135" s="1" t="s">
        <v>45</v>
      </c>
      <c r="H135" s="1"/>
      <c r="I135" s="1"/>
      <c r="J135" s="1"/>
      <c r="K135" s="1"/>
      <c r="L135" s="1"/>
      <c r="M135" s="1"/>
    </row>
    <row r="136" spans="1:13" ht="19.5">
      <c r="A136" s="1">
        <v>11</v>
      </c>
      <c r="B136" s="2" t="s">
        <v>2782</v>
      </c>
      <c r="C136" s="1" t="s">
        <v>2783</v>
      </c>
      <c r="D136" s="4">
        <v>16735</v>
      </c>
      <c r="E136" s="57">
        <v>24208.5</v>
      </c>
      <c r="F136" s="1" t="s">
        <v>2117</v>
      </c>
      <c r="G136" s="1" t="s">
        <v>45</v>
      </c>
      <c r="H136" s="222"/>
      <c r="I136" s="222"/>
      <c r="J136" s="222"/>
      <c r="K136" s="222"/>
      <c r="L136" s="222"/>
      <c r="M136" s="222"/>
    </row>
    <row r="137" spans="1:13" ht="19.5">
      <c r="A137" s="1">
        <v>12</v>
      </c>
      <c r="B137" s="2" t="s">
        <v>2784</v>
      </c>
      <c r="C137" s="1" t="s">
        <v>2785</v>
      </c>
      <c r="D137" s="4">
        <v>16735</v>
      </c>
      <c r="E137" s="57">
        <v>24208.5</v>
      </c>
      <c r="F137" s="1" t="s">
        <v>2117</v>
      </c>
      <c r="G137" s="1" t="s">
        <v>45</v>
      </c>
      <c r="H137" s="222"/>
      <c r="I137" s="1"/>
      <c r="J137" s="222"/>
      <c r="K137" s="222"/>
      <c r="L137" s="222"/>
      <c r="M137" s="222"/>
    </row>
    <row r="138" spans="1:13" s="914" customFormat="1" ht="20.25" thickBot="1">
      <c r="A138" s="909">
        <v>12</v>
      </c>
      <c r="B138" s="908"/>
      <c r="C138" s="909"/>
      <c r="D138" s="1075"/>
      <c r="E138" s="911">
        <f>SUM(E126:E137)</f>
        <v>146541</v>
      </c>
      <c r="F138" s="909"/>
      <c r="G138" s="909"/>
      <c r="H138" s="937"/>
      <c r="I138" s="909"/>
      <c r="J138" s="937"/>
      <c r="K138" s="937"/>
      <c r="L138" s="937"/>
      <c r="M138" s="937"/>
    </row>
    <row r="139" spans="1:13" ht="20.25" thickTop="1">
      <c r="A139" s="1"/>
      <c r="B139" s="2"/>
      <c r="C139" s="1"/>
      <c r="D139" s="4"/>
      <c r="E139" s="95"/>
      <c r="F139" s="1"/>
      <c r="G139" s="1"/>
      <c r="H139" s="222"/>
      <c r="I139" s="1"/>
      <c r="J139" s="222"/>
      <c r="K139" s="222"/>
      <c r="L139" s="222"/>
      <c r="M139" s="222"/>
    </row>
    <row r="140" spans="1:13" ht="19.5">
      <c r="A140" s="1">
        <v>1</v>
      </c>
      <c r="B140" s="2" t="s">
        <v>2780</v>
      </c>
      <c r="C140" s="1" t="s">
        <v>2781</v>
      </c>
      <c r="D140" s="4">
        <v>234337</v>
      </c>
      <c r="E140" s="57">
        <v>30000</v>
      </c>
      <c r="F140" s="1" t="s">
        <v>1649</v>
      </c>
      <c r="G140" s="1" t="s">
        <v>45</v>
      </c>
      <c r="H140" s="222"/>
      <c r="I140" s="222"/>
      <c r="J140" s="222"/>
      <c r="K140" s="222"/>
      <c r="L140" s="222"/>
      <c r="M140" s="222"/>
    </row>
    <row r="141" spans="1:13" s="914" customFormat="1" ht="20.25" thickBot="1">
      <c r="A141" s="909">
        <v>1</v>
      </c>
      <c r="B141" s="908"/>
      <c r="C141" s="909"/>
      <c r="D141" s="1075"/>
      <c r="E141" s="911">
        <f>SUM(E140)</f>
        <v>30000</v>
      </c>
      <c r="F141" s="909"/>
      <c r="G141" s="909"/>
      <c r="H141" s="937"/>
      <c r="I141" s="937"/>
      <c r="J141" s="937"/>
      <c r="K141" s="937"/>
      <c r="L141" s="937"/>
      <c r="M141" s="937"/>
    </row>
    <row r="142" spans="1:13" ht="20.25" thickTop="1">
      <c r="A142" s="1"/>
      <c r="B142" s="2"/>
      <c r="C142" s="1"/>
      <c r="D142" s="4"/>
      <c r="E142" s="95"/>
      <c r="F142" s="1"/>
      <c r="G142" s="1"/>
      <c r="H142" s="222"/>
      <c r="I142" s="222"/>
      <c r="J142" s="222"/>
      <c r="K142" s="222"/>
      <c r="L142" s="222"/>
      <c r="M142" s="222"/>
    </row>
    <row r="143" spans="1:13" ht="19.5">
      <c r="A143" s="1">
        <v>1</v>
      </c>
      <c r="B143" s="2" t="s">
        <v>2778</v>
      </c>
      <c r="C143" s="1" t="s">
        <v>2779</v>
      </c>
      <c r="D143" s="4">
        <v>225167</v>
      </c>
      <c r="E143" s="57">
        <v>9150</v>
      </c>
      <c r="F143" s="1" t="s">
        <v>2777</v>
      </c>
      <c r="G143" s="1" t="s">
        <v>45</v>
      </c>
      <c r="H143" s="1"/>
      <c r="I143" s="1"/>
      <c r="J143" s="1"/>
      <c r="K143" s="1"/>
      <c r="L143" s="1"/>
      <c r="M143" s="1"/>
    </row>
    <row r="144" spans="1:13" s="914" customFormat="1" ht="20.25" thickBot="1">
      <c r="A144" s="909">
        <v>1</v>
      </c>
      <c r="B144" s="908"/>
      <c r="C144" s="909"/>
      <c r="D144" s="1075"/>
      <c r="E144" s="911">
        <f>SUM(E143)</f>
        <v>9150</v>
      </c>
      <c r="F144" s="909"/>
      <c r="G144" s="909"/>
      <c r="H144" s="909"/>
      <c r="I144" s="909"/>
      <c r="J144" s="909"/>
      <c r="K144" s="909"/>
      <c r="L144" s="909"/>
      <c r="M144" s="909"/>
    </row>
    <row r="145" spans="1:13" ht="20.25" thickTop="1">
      <c r="A145" s="1"/>
      <c r="B145" s="2"/>
      <c r="C145" s="1"/>
      <c r="D145" s="4"/>
      <c r="E145" s="95"/>
      <c r="F145" s="1"/>
      <c r="G145" s="1"/>
      <c r="H145" s="1"/>
      <c r="I145" s="1"/>
      <c r="J145" s="1"/>
      <c r="K145" s="1"/>
      <c r="L145" s="1"/>
      <c r="M145" s="1"/>
    </row>
    <row r="146" spans="1:13" ht="19.5">
      <c r="A146" s="1">
        <v>1</v>
      </c>
      <c r="B146" s="2" t="s">
        <v>2868</v>
      </c>
      <c r="C146" s="1" t="s">
        <v>1737</v>
      </c>
      <c r="D146" s="4">
        <v>22132</v>
      </c>
      <c r="E146" s="57">
        <v>476000</v>
      </c>
      <c r="F146" s="1" t="s">
        <v>2770</v>
      </c>
      <c r="G146" s="1" t="s">
        <v>45</v>
      </c>
      <c r="H146" s="1"/>
      <c r="I146" s="1"/>
      <c r="J146" s="1"/>
      <c r="K146" s="1"/>
      <c r="L146" s="1"/>
      <c r="M146" s="2"/>
    </row>
    <row r="147" spans="1:13" s="914" customFormat="1" ht="19.5">
      <c r="A147" s="909">
        <v>1</v>
      </c>
      <c r="B147" s="908"/>
      <c r="C147" s="958"/>
      <c r="D147" s="1052"/>
      <c r="E147" s="1016">
        <f>SUM(E146)</f>
        <v>476000</v>
      </c>
      <c r="F147" s="909"/>
      <c r="G147" s="909"/>
      <c r="H147" s="909"/>
      <c r="I147" s="909"/>
      <c r="J147" s="909"/>
      <c r="K147" s="909"/>
      <c r="L147" s="909"/>
      <c r="M147" s="908"/>
    </row>
    <row r="148" spans="1:13" ht="19.5">
      <c r="A148" s="1"/>
      <c r="B148" s="2"/>
      <c r="C148" s="192"/>
      <c r="D148" s="228"/>
      <c r="E148" s="95"/>
      <c r="F148" s="1"/>
      <c r="G148" s="1"/>
      <c r="H148" s="1"/>
      <c r="I148" s="1"/>
      <c r="J148" s="1"/>
      <c r="K148" s="1"/>
      <c r="L148" s="1"/>
      <c r="M148" s="2"/>
    </row>
    <row r="149" spans="1:13" ht="19.5">
      <c r="A149" s="1">
        <v>1</v>
      </c>
      <c r="B149" s="3" t="s">
        <v>3093</v>
      </c>
      <c r="C149" s="192" t="s">
        <v>3094</v>
      </c>
      <c r="D149" s="228">
        <v>242069</v>
      </c>
      <c r="E149" s="229">
        <v>80900.73</v>
      </c>
      <c r="F149" s="1" t="s">
        <v>1649</v>
      </c>
      <c r="G149" s="1"/>
      <c r="H149" s="1"/>
      <c r="I149" s="1"/>
      <c r="J149" s="1"/>
      <c r="K149" s="1"/>
      <c r="L149" s="1"/>
      <c r="M149" s="2"/>
    </row>
    <row r="150" spans="1:13" s="914" customFormat="1" ht="20.25" thickBot="1">
      <c r="A150" s="909">
        <v>1</v>
      </c>
      <c r="B150" s="918"/>
      <c r="C150" s="909"/>
      <c r="D150" s="910" t="s">
        <v>64</v>
      </c>
      <c r="E150" s="911">
        <f>SUM(E149)</f>
        <v>80900.73</v>
      </c>
      <c r="F150" s="909"/>
      <c r="G150" s="909"/>
      <c r="H150" s="909"/>
      <c r="I150" s="909"/>
      <c r="J150" s="909"/>
      <c r="K150" s="909"/>
      <c r="L150" s="909"/>
      <c r="M150" s="908"/>
    </row>
    <row r="151" spans="1:13" ht="20.25" thickTop="1">
      <c r="A151" s="1"/>
      <c r="B151" s="48"/>
      <c r="C151" s="1"/>
      <c r="D151" s="47"/>
      <c r="E151" s="219"/>
      <c r="F151" s="1"/>
      <c r="G151" s="1"/>
      <c r="H151" s="1"/>
      <c r="I151" s="1"/>
      <c r="J151" s="1"/>
      <c r="K151" s="1"/>
      <c r="L151" s="1"/>
      <c r="M151" s="2"/>
    </row>
    <row r="152" spans="1:13" s="1002" customFormat="1" ht="20.25" thickBot="1">
      <c r="A152" s="997">
        <f>A150+A147+A144+A141+A138+A138+A124+A121+A118+A9</f>
        <v>137</v>
      </c>
      <c r="B152" s="998"/>
      <c r="C152" s="997"/>
      <c r="D152" s="999" t="s">
        <v>1723</v>
      </c>
      <c r="E152" s="1057">
        <f>E150+E147+E144+E141+E138+E124+E121+E118+E9</f>
        <v>1852921.7299999997</v>
      </c>
      <c r="F152" s="997"/>
      <c r="G152" s="997"/>
      <c r="H152" s="997"/>
      <c r="I152" s="997"/>
      <c r="J152" s="997"/>
      <c r="K152" s="997"/>
      <c r="L152" s="997"/>
      <c r="M152" s="997"/>
    </row>
    <row r="153" spans="1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rintOptions horizontalCentered="1"/>
  <pageMargins left="0.15748031496062992" right="0.15748031496062992" top="0.47244094488188981" bottom="0.59055118110236227" header="0.31496062992125984" footer="0.31496062992125984"/>
  <pageSetup paperSize="9" scale="85" orientation="landscape" horizont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1300"/>
  <sheetViews>
    <sheetView tabSelected="1" view="pageBreakPreview" topLeftCell="A1288" zoomScaleNormal="100" zoomScaleSheetLayoutView="100" zoomScalePageLayoutView="70" workbookViewId="0">
      <selection activeCell="E1299" sqref="E1299"/>
    </sheetView>
  </sheetViews>
  <sheetFormatPr defaultColWidth="9" defaultRowHeight="14.25"/>
  <cols>
    <col min="1" max="1" width="5.25" style="36" customWidth="1"/>
    <col min="2" max="2" width="37.25" style="36" customWidth="1"/>
    <col min="3" max="3" width="12" style="36" customWidth="1"/>
    <col min="4" max="4" width="12.25" style="36" customWidth="1"/>
    <col min="5" max="5" width="27.625" style="220" customWidth="1"/>
    <col min="6" max="6" width="13.125" style="36" customWidth="1"/>
    <col min="7" max="7" width="4.875" style="36" customWidth="1"/>
    <col min="8" max="8" width="5" style="36" customWidth="1"/>
    <col min="9" max="9" width="5.625" style="36" customWidth="1"/>
    <col min="10" max="11" width="6.25" style="36" customWidth="1"/>
    <col min="12" max="12" width="7.625" style="36" customWidth="1"/>
    <col min="13" max="13" width="25.625" style="529" bestFit="1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230"/>
      <c r="D3" s="37"/>
      <c r="E3" s="216"/>
      <c r="F3" s="37"/>
      <c r="G3" s="37"/>
      <c r="H3" s="37"/>
      <c r="I3" s="37"/>
      <c r="J3" s="37"/>
      <c r="K3" s="37"/>
      <c r="L3" s="37"/>
      <c r="M3" s="516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55"/>
    </row>
    <row r="7" spans="1:13" ht="19.5">
      <c r="A7" s="42"/>
      <c r="B7" s="5" t="s">
        <v>1739</v>
      </c>
      <c r="C7" s="232"/>
      <c r="D7" s="43"/>
      <c r="E7" s="217"/>
      <c r="F7" s="218"/>
      <c r="G7" s="218"/>
      <c r="H7" s="218"/>
      <c r="I7" s="42"/>
      <c r="J7" s="218"/>
      <c r="K7" s="42"/>
      <c r="L7" s="42"/>
      <c r="M7" s="522"/>
    </row>
    <row r="8" spans="1:13" ht="19.5">
      <c r="A8" s="158"/>
      <c r="B8" s="5" t="s">
        <v>41</v>
      </c>
      <c r="C8" s="158"/>
      <c r="D8" s="233"/>
      <c r="E8" s="234"/>
      <c r="F8" s="158"/>
      <c r="G8" s="158"/>
      <c r="H8" s="158"/>
      <c r="I8" s="158"/>
      <c r="J8" s="158"/>
      <c r="K8" s="158"/>
      <c r="L8" s="158"/>
      <c r="M8" s="523"/>
    </row>
    <row r="9" spans="1:13" ht="19.5">
      <c r="A9" s="158">
        <v>1</v>
      </c>
      <c r="B9" s="3" t="s">
        <v>42</v>
      </c>
      <c r="C9" s="158" t="s">
        <v>43</v>
      </c>
      <c r="D9" s="4">
        <v>15247</v>
      </c>
      <c r="E9" s="235">
        <v>8000</v>
      </c>
      <c r="F9" s="1127" t="s">
        <v>2433</v>
      </c>
      <c r="G9" s="158" t="s">
        <v>45</v>
      </c>
      <c r="H9" s="158"/>
      <c r="I9" s="158"/>
      <c r="J9" s="158"/>
      <c r="K9" s="158"/>
      <c r="L9" s="158"/>
      <c r="M9" s="523"/>
    </row>
    <row r="10" spans="1:13" ht="19.5">
      <c r="A10" s="158">
        <v>2</v>
      </c>
      <c r="B10" s="3" t="s">
        <v>46</v>
      </c>
      <c r="C10" s="158" t="s">
        <v>47</v>
      </c>
      <c r="D10" s="4">
        <v>15247</v>
      </c>
      <c r="E10" s="235">
        <v>8000</v>
      </c>
      <c r="F10" s="1127" t="s">
        <v>2433</v>
      </c>
      <c r="G10" s="158" t="s">
        <v>45</v>
      </c>
      <c r="H10" s="158"/>
      <c r="I10" s="158"/>
      <c r="J10" s="158"/>
      <c r="K10" s="158"/>
      <c r="L10" s="158"/>
      <c r="M10" s="523"/>
    </row>
    <row r="11" spans="1:13" ht="19.5">
      <c r="A11" s="158">
        <v>3</v>
      </c>
      <c r="B11" s="3" t="s">
        <v>2339</v>
      </c>
      <c r="C11" s="158" t="s">
        <v>2340</v>
      </c>
      <c r="D11" s="4">
        <v>15247</v>
      </c>
      <c r="E11" s="235">
        <v>8000</v>
      </c>
      <c r="F11" s="1129" t="s">
        <v>1265</v>
      </c>
      <c r="G11" s="158" t="s">
        <v>45</v>
      </c>
      <c r="H11" s="158"/>
      <c r="I11" s="158"/>
      <c r="J11" s="158"/>
      <c r="K11" s="158"/>
      <c r="L11" s="158"/>
      <c r="M11" s="211" t="s">
        <v>3188</v>
      </c>
    </row>
    <row r="12" spans="1:13" ht="19.5">
      <c r="A12" s="158">
        <v>4</v>
      </c>
      <c r="B12" s="3" t="s">
        <v>46</v>
      </c>
      <c r="C12" s="158" t="s">
        <v>48</v>
      </c>
      <c r="D12" s="4">
        <v>15247</v>
      </c>
      <c r="E12" s="235">
        <v>8000</v>
      </c>
      <c r="F12" s="1127" t="s">
        <v>2433</v>
      </c>
      <c r="G12" s="158" t="s">
        <v>45</v>
      </c>
      <c r="H12" s="158"/>
      <c r="I12" s="158"/>
      <c r="J12" s="158"/>
      <c r="K12" s="158"/>
      <c r="L12" s="158"/>
      <c r="M12" s="523"/>
    </row>
    <row r="13" spans="1:13" ht="19.5">
      <c r="A13" s="158">
        <v>5</v>
      </c>
      <c r="B13" s="3" t="s">
        <v>46</v>
      </c>
      <c r="C13" s="158" t="s">
        <v>49</v>
      </c>
      <c r="D13" s="4">
        <v>15247</v>
      </c>
      <c r="E13" s="235">
        <v>8000</v>
      </c>
      <c r="F13" s="1127" t="s">
        <v>2433</v>
      </c>
      <c r="G13" s="158" t="s">
        <v>45</v>
      </c>
      <c r="H13" s="158"/>
      <c r="I13" s="158"/>
      <c r="J13" s="158"/>
      <c r="K13" s="158"/>
      <c r="L13" s="158"/>
      <c r="M13" s="523"/>
    </row>
    <row r="14" spans="1:13" ht="19.5">
      <c r="A14" s="158">
        <v>6</v>
      </c>
      <c r="B14" s="3" t="s">
        <v>46</v>
      </c>
      <c r="C14" s="158" t="s">
        <v>50</v>
      </c>
      <c r="D14" s="4">
        <v>15247</v>
      </c>
      <c r="E14" s="235">
        <v>8000</v>
      </c>
      <c r="F14" s="1127" t="s">
        <v>2433</v>
      </c>
      <c r="G14" s="158" t="s">
        <v>45</v>
      </c>
      <c r="H14" s="158"/>
      <c r="I14" s="158"/>
      <c r="J14" s="158"/>
      <c r="K14" s="158"/>
      <c r="L14" s="158"/>
      <c r="M14" s="523"/>
    </row>
    <row r="15" spans="1:13" ht="19.5">
      <c r="A15" s="158">
        <v>7</v>
      </c>
      <c r="B15" s="3" t="s">
        <v>51</v>
      </c>
      <c r="C15" s="158" t="s">
        <v>52</v>
      </c>
      <c r="D15" s="4">
        <v>15382</v>
      </c>
      <c r="E15" s="235">
        <v>10000</v>
      </c>
      <c r="F15" s="1127" t="s">
        <v>2433</v>
      </c>
      <c r="G15" s="158" t="s">
        <v>45</v>
      </c>
      <c r="H15" s="158"/>
      <c r="I15" s="158"/>
      <c r="J15" s="158"/>
      <c r="K15" s="158"/>
      <c r="L15" s="158"/>
      <c r="M15" s="523"/>
    </row>
    <row r="16" spans="1:13" ht="19.5">
      <c r="A16" s="158">
        <v>8</v>
      </c>
      <c r="B16" s="3" t="s">
        <v>53</v>
      </c>
      <c r="C16" s="158" t="s">
        <v>54</v>
      </c>
      <c r="D16" s="4">
        <v>15382</v>
      </c>
      <c r="E16" s="235">
        <v>10000</v>
      </c>
      <c r="F16" s="1127" t="s">
        <v>2433</v>
      </c>
      <c r="G16" s="158" t="s">
        <v>45</v>
      </c>
      <c r="H16" s="158"/>
      <c r="I16" s="158"/>
      <c r="J16" s="158"/>
      <c r="K16" s="158"/>
      <c r="L16" s="158"/>
      <c r="M16" s="523"/>
    </row>
    <row r="17" spans="1:13" ht="19.5">
      <c r="A17" s="158">
        <v>9</v>
      </c>
      <c r="B17" s="3" t="s">
        <v>53</v>
      </c>
      <c r="C17" s="158" t="s">
        <v>55</v>
      </c>
      <c r="D17" s="4">
        <v>15382</v>
      </c>
      <c r="E17" s="235">
        <v>10000</v>
      </c>
      <c r="F17" s="1127" t="s">
        <v>2433</v>
      </c>
      <c r="G17" s="158" t="s">
        <v>45</v>
      </c>
      <c r="H17" s="158"/>
      <c r="I17" s="158"/>
      <c r="J17" s="158"/>
      <c r="K17" s="158"/>
      <c r="L17" s="158"/>
      <c r="M17" s="523"/>
    </row>
    <row r="18" spans="1:13" ht="19.5">
      <c r="A18" s="158">
        <v>10</v>
      </c>
      <c r="B18" s="3" t="s">
        <v>53</v>
      </c>
      <c r="C18" s="158" t="s">
        <v>56</v>
      </c>
      <c r="D18" s="4">
        <v>15382</v>
      </c>
      <c r="E18" s="235">
        <v>10000</v>
      </c>
      <c r="F18" s="1127" t="s">
        <v>2433</v>
      </c>
      <c r="G18" s="158" t="s">
        <v>45</v>
      </c>
      <c r="H18" s="158"/>
      <c r="I18" s="158"/>
      <c r="J18" s="158"/>
      <c r="K18" s="158"/>
      <c r="L18" s="158"/>
      <c r="M18" s="523"/>
    </row>
    <row r="19" spans="1:13" ht="19.5">
      <c r="A19" s="158">
        <v>11</v>
      </c>
      <c r="B19" s="3" t="s">
        <v>53</v>
      </c>
      <c r="C19" s="158" t="s">
        <v>57</v>
      </c>
      <c r="D19" s="4">
        <v>15382</v>
      </c>
      <c r="E19" s="235">
        <v>10000</v>
      </c>
      <c r="F19" s="1127" t="s">
        <v>2433</v>
      </c>
      <c r="G19" s="158" t="s">
        <v>45</v>
      </c>
      <c r="H19" s="158"/>
      <c r="I19" s="158"/>
      <c r="J19" s="158"/>
      <c r="K19" s="158"/>
      <c r="L19" s="158"/>
      <c r="M19" s="523"/>
    </row>
    <row r="20" spans="1:13" ht="19.5">
      <c r="A20" s="158">
        <v>12</v>
      </c>
      <c r="B20" s="3" t="s">
        <v>53</v>
      </c>
      <c r="C20" s="158" t="s">
        <v>58</v>
      </c>
      <c r="D20" s="4">
        <v>15382</v>
      </c>
      <c r="E20" s="235">
        <v>10000</v>
      </c>
      <c r="F20" s="1127" t="s">
        <v>2433</v>
      </c>
      <c r="G20" s="158" t="s">
        <v>45</v>
      </c>
      <c r="H20" s="158"/>
      <c r="I20" s="158"/>
      <c r="J20" s="158"/>
      <c r="K20" s="158"/>
      <c r="L20" s="158"/>
      <c r="M20" s="523"/>
    </row>
    <row r="21" spans="1:13" ht="19.5">
      <c r="A21" s="158">
        <v>13</v>
      </c>
      <c r="B21" s="3" t="s">
        <v>53</v>
      </c>
      <c r="C21" s="158" t="s">
        <v>59</v>
      </c>
      <c r="D21" s="4">
        <v>15382</v>
      </c>
      <c r="E21" s="235">
        <v>10000</v>
      </c>
      <c r="F21" s="1127" t="s">
        <v>2433</v>
      </c>
      <c r="G21" s="158" t="s">
        <v>45</v>
      </c>
      <c r="H21" s="158"/>
      <c r="I21" s="158"/>
      <c r="J21" s="158"/>
      <c r="K21" s="158"/>
      <c r="L21" s="158"/>
      <c r="M21" s="523"/>
    </row>
    <row r="22" spans="1:13" ht="19.5">
      <c r="A22" s="158">
        <v>14</v>
      </c>
      <c r="B22" s="3" t="s">
        <v>60</v>
      </c>
      <c r="C22" s="158" t="s">
        <v>61</v>
      </c>
      <c r="D22" s="4">
        <v>15382</v>
      </c>
      <c r="E22" s="235">
        <v>10000</v>
      </c>
      <c r="F22" s="1127" t="s">
        <v>2433</v>
      </c>
      <c r="G22" s="158" t="s">
        <v>45</v>
      </c>
      <c r="H22" s="158"/>
      <c r="I22" s="158"/>
      <c r="J22" s="158"/>
      <c r="K22" s="158"/>
      <c r="L22" s="158"/>
      <c r="M22" s="523"/>
    </row>
    <row r="23" spans="1:13" ht="19.5">
      <c r="A23" s="158">
        <v>15</v>
      </c>
      <c r="B23" s="3" t="s">
        <v>60</v>
      </c>
      <c r="C23" s="158" t="s">
        <v>62</v>
      </c>
      <c r="D23" s="4">
        <v>15382</v>
      </c>
      <c r="E23" s="235">
        <v>10000</v>
      </c>
      <c r="F23" s="1127" t="s">
        <v>2433</v>
      </c>
      <c r="G23" s="158" t="s">
        <v>45</v>
      </c>
      <c r="H23" s="158"/>
      <c r="I23" s="158"/>
      <c r="J23" s="158"/>
      <c r="K23" s="158"/>
      <c r="L23" s="158"/>
      <c r="M23" s="523"/>
    </row>
    <row r="24" spans="1:13" ht="19.5">
      <c r="A24" s="158">
        <v>16</v>
      </c>
      <c r="B24" s="3" t="s">
        <v>60</v>
      </c>
      <c r="C24" s="158" t="s">
        <v>63</v>
      </c>
      <c r="D24" s="4">
        <v>15382</v>
      </c>
      <c r="E24" s="235">
        <v>10000</v>
      </c>
      <c r="F24" s="1127" t="s">
        <v>2433</v>
      </c>
      <c r="G24" s="158" t="s">
        <v>45</v>
      </c>
      <c r="H24" s="158"/>
      <c r="I24" s="158"/>
      <c r="J24" s="158"/>
      <c r="K24" s="158"/>
      <c r="L24" s="158"/>
      <c r="M24" s="523"/>
    </row>
    <row r="25" spans="1:13" ht="27">
      <c r="A25" s="859">
        <v>17</v>
      </c>
      <c r="B25" s="887" t="s">
        <v>3610</v>
      </c>
      <c r="C25" s="888" t="s">
        <v>3611</v>
      </c>
      <c r="D25" s="866">
        <v>24462</v>
      </c>
      <c r="E25" s="889">
        <v>1712</v>
      </c>
      <c r="F25" s="1128" t="s">
        <v>3429</v>
      </c>
      <c r="G25" s="859" t="s">
        <v>45</v>
      </c>
      <c r="H25" s="859"/>
      <c r="I25" s="859"/>
      <c r="J25" s="859"/>
      <c r="K25" s="859"/>
      <c r="L25" s="859"/>
      <c r="M25" s="886" t="s">
        <v>3612</v>
      </c>
    </row>
    <row r="26" spans="1:13" ht="27">
      <c r="A26" s="859">
        <v>18</v>
      </c>
      <c r="B26" s="887" t="s">
        <v>3610</v>
      </c>
      <c r="C26" s="888" t="s">
        <v>3613</v>
      </c>
      <c r="D26" s="866">
        <v>24462</v>
      </c>
      <c r="E26" s="889">
        <v>1712</v>
      </c>
      <c r="F26" s="1128" t="s">
        <v>3429</v>
      </c>
      <c r="G26" s="859" t="s">
        <v>45</v>
      </c>
      <c r="H26" s="859"/>
      <c r="I26" s="859"/>
      <c r="J26" s="859"/>
      <c r="K26" s="859"/>
      <c r="L26" s="859"/>
      <c r="M26" s="886" t="s">
        <v>3612</v>
      </c>
    </row>
    <row r="27" spans="1:13" ht="27">
      <c r="A27" s="859">
        <v>19</v>
      </c>
      <c r="B27" s="887" t="s">
        <v>3610</v>
      </c>
      <c r="C27" s="888" t="s">
        <v>3614</v>
      </c>
      <c r="D27" s="866">
        <v>24462</v>
      </c>
      <c r="E27" s="889">
        <v>1619</v>
      </c>
      <c r="F27" s="1128" t="s">
        <v>3429</v>
      </c>
      <c r="G27" s="859" t="s">
        <v>45</v>
      </c>
      <c r="H27" s="859"/>
      <c r="I27" s="859"/>
      <c r="J27" s="859"/>
      <c r="K27" s="859"/>
      <c r="L27" s="859"/>
      <c r="M27" s="886" t="s">
        <v>3612</v>
      </c>
    </row>
    <row r="28" spans="1:13" ht="27">
      <c r="A28" s="859">
        <v>20</v>
      </c>
      <c r="B28" s="887" t="s">
        <v>3610</v>
      </c>
      <c r="C28" s="888" t="s">
        <v>3615</v>
      </c>
      <c r="D28" s="866">
        <v>24462</v>
      </c>
      <c r="E28" s="889">
        <v>10400</v>
      </c>
      <c r="F28" s="1128" t="s">
        <v>3429</v>
      </c>
      <c r="G28" s="859" t="s">
        <v>45</v>
      </c>
      <c r="H28" s="859"/>
      <c r="I28" s="859"/>
      <c r="J28" s="859"/>
      <c r="K28" s="859"/>
      <c r="L28" s="859"/>
      <c r="M28" s="886" t="s">
        <v>3612</v>
      </c>
    </row>
    <row r="29" spans="1:13" ht="27">
      <c r="A29" s="859">
        <v>21</v>
      </c>
      <c r="B29" s="887" t="s">
        <v>3610</v>
      </c>
      <c r="C29" s="888" t="s">
        <v>3616</v>
      </c>
      <c r="D29" s="866">
        <v>24462</v>
      </c>
      <c r="E29" s="889">
        <v>10400</v>
      </c>
      <c r="F29" s="1128" t="s">
        <v>3429</v>
      </c>
      <c r="G29" s="859" t="s">
        <v>45</v>
      </c>
      <c r="H29" s="859"/>
      <c r="I29" s="859"/>
      <c r="J29" s="859"/>
      <c r="K29" s="859"/>
      <c r="L29" s="859"/>
      <c r="M29" s="886" t="s">
        <v>3612</v>
      </c>
    </row>
    <row r="30" spans="1:13" ht="27">
      <c r="A30" s="859">
        <v>22</v>
      </c>
      <c r="B30" s="887" t="s">
        <v>3610</v>
      </c>
      <c r="C30" s="888" t="s">
        <v>3617</v>
      </c>
      <c r="D30" s="866">
        <v>24462</v>
      </c>
      <c r="E30" s="889">
        <v>10400</v>
      </c>
      <c r="F30" s="1128" t="s">
        <v>3429</v>
      </c>
      <c r="G30" s="859" t="s">
        <v>45</v>
      </c>
      <c r="H30" s="859"/>
      <c r="I30" s="859"/>
      <c r="J30" s="859"/>
      <c r="K30" s="859"/>
      <c r="L30" s="859"/>
      <c r="M30" s="886" t="s">
        <v>3612</v>
      </c>
    </row>
    <row r="31" spans="1:13" ht="27">
      <c r="A31" s="859">
        <v>23</v>
      </c>
      <c r="B31" s="887" t="s">
        <v>3610</v>
      </c>
      <c r="C31" s="888" t="s">
        <v>3618</v>
      </c>
      <c r="D31" s="866">
        <v>24462</v>
      </c>
      <c r="E31" s="889">
        <v>10400</v>
      </c>
      <c r="F31" s="1128" t="s">
        <v>3429</v>
      </c>
      <c r="G31" s="859" t="s">
        <v>45</v>
      </c>
      <c r="H31" s="859"/>
      <c r="I31" s="859"/>
      <c r="J31" s="859"/>
      <c r="K31" s="859"/>
      <c r="L31" s="859"/>
      <c r="M31" s="886" t="s">
        <v>3612</v>
      </c>
    </row>
    <row r="32" spans="1:13" ht="27">
      <c r="A32" s="859">
        <v>24</v>
      </c>
      <c r="B32" s="887" t="s">
        <v>3610</v>
      </c>
      <c r="C32" s="888" t="s">
        <v>3619</v>
      </c>
      <c r="D32" s="866">
        <v>24462</v>
      </c>
      <c r="E32" s="889">
        <v>1691</v>
      </c>
      <c r="F32" s="1128" t="s">
        <v>3429</v>
      </c>
      <c r="G32" s="859" t="s">
        <v>45</v>
      </c>
      <c r="H32" s="859"/>
      <c r="I32" s="859"/>
      <c r="J32" s="859"/>
      <c r="K32" s="859"/>
      <c r="L32" s="859"/>
      <c r="M32" s="886" t="s">
        <v>3612</v>
      </c>
    </row>
    <row r="33" spans="1:13" ht="27">
      <c r="A33" s="859">
        <v>25</v>
      </c>
      <c r="B33" s="887" t="s">
        <v>3610</v>
      </c>
      <c r="C33" s="888" t="s">
        <v>3620</v>
      </c>
      <c r="D33" s="866">
        <v>24462</v>
      </c>
      <c r="E33" s="889">
        <v>1712</v>
      </c>
      <c r="F33" s="1128" t="s">
        <v>3429</v>
      </c>
      <c r="G33" s="859" t="s">
        <v>45</v>
      </c>
      <c r="H33" s="859"/>
      <c r="I33" s="859"/>
      <c r="J33" s="859"/>
      <c r="K33" s="859"/>
      <c r="L33" s="859"/>
      <c r="M33" s="886" t="s">
        <v>3612</v>
      </c>
    </row>
    <row r="34" spans="1:13" ht="27">
      <c r="A34" s="859">
        <v>26</v>
      </c>
      <c r="B34" s="887" t="s">
        <v>3610</v>
      </c>
      <c r="C34" s="888" t="s">
        <v>3621</v>
      </c>
      <c r="D34" s="866">
        <v>24462</v>
      </c>
      <c r="E34" s="889">
        <v>10400</v>
      </c>
      <c r="F34" s="1128" t="s">
        <v>3429</v>
      </c>
      <c r="G34" s="859" t="s">
        <v>45</v>
      </c>
      <c r="H34" s="859"/>
      <c r="I34" s="859"/>
      <c r="J34" s="859"/>
      <c r="K34" s="859"/>
      <c r="L34" s="859"/>
      <c r="M34" s="886" t="s">
        <v>3612</v>
      </c>
    </row>
    <row r="35" spans="1:13" ht="27">
      <c r="A35" s="859">
        <v>27</v>
      </c>
      <c r="B35" s="887" t="s">
        <v>3610</v>
      </c>
      <c r="C35" s="888" t="s">
        <v>3622</v>
      </c>
      <c r="D35" s="866">
        <v>24462</v>
      </c>
      <c r="E35" s="889">
        <v>10400</v>
      </c>
      <c r="F35" s="1128" t="s">
        <v>3429</v>
      </c>
      <c r="G35" s="859" t="s">
        <v>45</v>
      </c>
      <c r="H35" s="859"/>
      <c r="I35" s="859"/>
      <c r="J35" s="859"/>
      <c r="K35" s="859"/>
      <c r="L35" s="859"/>
      <c r="M35" s="886" t="s">
        <v>3612</v>
      </c>
    </row>
    <row r="36" spans="1:13" ht="27">
      <c r="A36" s="859">
        <v>28</v>
      </c>
      <c r="B36" s="887" t="s">
        <v>3610</v>
      </c>
      <c r="C36" s="888" t="s">
        <v>3624</v>
      </c>
      <c r="D36" s="866">
        <v>24462</v>
      </c>
      <c r="E36" s="889">
        <v>70433.820000000007</v>
      </c>
      <c r="F36" s="1128" t="s">
        <v>3429</v>
      </c>
      <c r="G36" s="859" t="s">
        <v>45</v>
      </c>
      <c r="H36" s="859"/>
      <c r="I36" s="859"/>
      <c r="J36" s="859"/>
      <c r="K36" s="859"/>
      <c r="L36" s="859"/>
      <c r="M36" s="886" t="s">
        <v>3612</v>
      </c>
    </row>
    <row r="37" spans="1:13" ht="27">
      <c r="A37" s="859">
        <v>29</v>
      </c>
      <c r="B37" s="887" t="s">
        <v>3610</v>
      </c>
      <c r="C37" s="888" t="s">
        <v>3625</v>
      </c>
      <c r="D37" s="866">
        <v>24462</v>
      </c>
      <c r="E37" s="889">
        <v>31205.34</v>
      </c>
      <c r="F37" s="1128" t="s">
        <v>3429</v>
      </c>
      <c r="G37" s="859" t="s">
        <v>45</v>
      </c>
      <c r="H37" s="859"/>
      <c r="I37" s="859"/>
      <c r="J37" s="859"/>
      <c r="K37" s="859"/>
      <c r="L37" s="859"/>
      <c r="M37" s="886" t="s">
        <v>3612</v>
      </c>
    </row>
    <row r="38" spans="1:13" ht="27">
      <c r="A38" s="859">
        <v>30</v>
      </c>
      <c r="B38" s="887" t="s">
        <v>3610</v>
      </c>
      <c r="C38" s="888" t="s">
        <v>3626</v>
      </c>
      <c r="D38" s="866">
        <v>24462</v>
      </c>
      <c r="E38" s="889">
        <v>102531.15</v>
      </c>
      <c r="F38" s="1128" t="s">
        <v>3429</v>
      </c>
      <c r="G38" s="859" t="s">
        <v>45</v>
      </c>
      <c r="H38" s="859"/>
      <c r="I38" s="859"/>
      <c r="J38" s="859"/>
      <c r="K38" s="859"/>
      <c r="L38" s="859"/>
      <c r="M38" s="886" t="s">
        <v>3612</v>
      </c>
    </row>
    <row r="39" spans="1:13" ht="27">
      <c r="A39" s="859">
        <v>31</v>
      </c>
      <c r="B39" s="887" t="s">
        <v>3610</v>
      </c>
      <c r="C39" s="888" t="s">
        <v>3627</v>
      </c>
      <c r="D39" s="866">
        <v>24462</v>
      </c>
      <c r="E39" s="890">
        <v>49035.6</v>
      </c>
      <c r="F39" s="1128" t="s">
        <v>3429</v>
      </c>
      <c r="G39" s="859" t="s">
        <v>45</v>
      </c>
      <c r="H39" s="859"/>
      <c r="I39" s="859"/>
      <c r="J39" s="859"/>
      <c r="K39" s="859"/>
      <c r="L39" s="859"/>
      <c r="M39" s="886" t="s">
        <v>3612</v>
      </c>
    </row>
    <row r="40" spans="1:13" s="914" customFormat="1" ht="20.25" thickBot="1">
      <c r="A40" s="907">
        <v>31</v>
      </c>
      <c r="B40" s="915"/>
      <c r="C40" s="907"/>
      <c r="D40" s="910" t="s">
        <v>64</v>
      </c>
      <c r="E40" s="916">
        <f>SUM(E9:E39)</f>
        <v>472051.91000000003</v>
      </c>
      <c r="F40" s="907"/>
      <c r="G40" s="907"/>
      <c r="H40" s="907"/>
      <c r="I40" s="907"/>
      <c r="J40" s="907"/>
      <c r="K40" s="907"/>
      <c r="L40" s="907"/>
      <c r="M40" s="917"/>
    </row>
    <row r="41" spans="1:13" ht="20.25" thickTop="1">
      <c r="A41" s="158"/>
      <c r="B41" s="3"/>
      <c r="C41" s="158"/>
      <c r="D41" s="47"/>
      <c r="E41" s="236"/>
      <c r="F41" s="158"/>
      <c r="G41" s="158"/>
      <c r="H41" s="158"/>
      <c r="I41" s="158"/>
      <c r="J41" s="158"/>
      <c r="K41" s="158"/>
      <c r="L41" s="158"/>
      <c r="M41" s="523"/>
    </row>
    <row r="42" spans="1:13" ht="19.5">
      <c r="A42" s="158"/>
      <c r="B42" s="3"/>
      <c r="C42" s="158"/>
      <c r="D42" s="47"/>
      <c r="E42" s="237"/>
      <c r="F42" s="158"/>
      <c r="G42" s="158"/>
      <c r="H42" s="158"/>
      <c r="I42" s="158"/>
      <c r="J42" s="158"/>
      <c r="K42" s="158"/>
      <c r="L42" s="158"/>
      <c r="M42" s="523"/>
    </row>
    <row r="43" spans="1:13" ht="19.5">
      <c r="A43" s="238"/>
      <c r="B43" s="212" t="s">
        <v>65</v>
      </c>
      <c r="C43" s="1"/>
      <c r="D43" s="1"/>
      <c r="E43" s="57"/>
      <c r="F43" s="1"/>
      <c r="G43" s="1"/>
      <c r="H43" s="1"/>
      <c r="I43" s="1"/>
      <c r="J43" s="1"/>
      <c r="K43" s="1"/>
      <c r="L43" s="1"/>
      <c r="M43" s="211"/>
    </row>
    <row r="44" spans="1:13" ht="19.5">
      <c r="A44" s="1">
        <v>1</v>
      </c>
      <c r="B44" s="2" t="s">
        <v>66</v>
      </c>
      <c r="C44" s="1" t="s">
        <v>67</v>
      </c>
      <c r="D44" s="4">
        <v>43470</v>
      </c>
      <c r="E44" s="63">
        <v>700</v>
      </c>
      <c r="F44" s="1127" t="s">
        <v>2433</v>
      </c>
      <c r="G44" s="1" t="s">
        <v>45</v>
      </c>
      <c r="H44" s="1"/>
      <c r="I44" s="1"/>
      <c r="J44" s="1"/>
      <c r="K44" s="1"/>
      <c r="L44" s="1"/>
      <c r="M44" s="211"/>
    </row>
    <row r="45" spans="1:13" ht="19.5">
      <c r="A45" s="1">
        <v>2</v>
      </c>
      <c r="B45" s="239" t="s">
        <v>1217</v>
      </c>
      <c r="C45" s="172" t="s">
        <v>1573</v>
      </c>
      <c r="D45" s="4">
        <v>43546</v>
      </c>
      <c r="E45" s="240">
        <v>2000</v>
      </c>
      <c r="F45" s="1129" t="s">
        <v>1572</v>
      </c>
      <c r="G45" s="1" t="s">
        <v>45</v>
      </c>
      <c r="H45" s="1"/>
      <c r="I45" s="1"/>
      <c r="J45" s="1"/>
      <c r="K45" s="1"/>
      <c r="L45" s="1"/>
      <c r="M45" s="211" t="s">
        <v>3468</v>
      </c>
    </row>
    <row r="46" spans="1:13" ht="19.5">
      <c r="A46" s="1">
        <v>3</v>
      </c>
      <c r="B46" s="241" t="s">
        <v>1716</v>
      </c>
      <c r="C46" s="242" t="s">
        <v>1669</v>
      </c>
      <c r="D46" s="243">
        <v>44814</v>
      </c>
      <c r="E46" s="240">
        <v>16056</v>
      </c>
      <c r="F46" s="909" t="s">
        <v>1649</v>
      </c>
      <c r="G46" s="1" t="s">
        <v>45</v>
      </c>
      <c r="H46" s="1"/>
      <c r="I46" s="1"/>
      <c r="J46" s="1"/>
      <c r="K46" s="1"/>
      <c r="L46" s="1"/>
      <c r="M46" s="211" t="s">
        <v>3443</v>
      </c>
    </row>
    <row r="47" spans="1:13" ht="19.5">
      <c r="A47" s="1">
        <v>4</v>
      </c>
      <c r="B47" s="241" t="s">
        <v>2319</v>
      </c>
      <c r="C47" s="242" t="s">
        <v>2318</v>
      </c>
      <c r="D47" s="243">
        <v>44814</v>
      </c>
      <c r="E47" s="240">
        <v>446</v>
      </c>
      <c r="F47" s="909" t="s">
        <v>1649</v>
      </c>
      <c r="G47" s="1" t="s">
        <v>45</v>
      </c>
      <c r="H47" s="1"/>
      <c r="I47" s="1"/>
      <c r="J47" s="1"/>
      <c r="K47" s="1"/>
      <c r="L47" s="1"/>
      <c r="M47" s="211"/>
    </row>
    <row r="48" spans="1:13" ht="19.5">
      <c r="A48" s="1">
        <v>5</v>
      </c>
      <c r="B48" s="241" t="s">
        <v>2319</v>
      </c>
      <c r="C48" s="242" t="s">
        <v>2320</v>
      </c>
      <c r="D48" s="243">
        <v>44814</v>
      </c>
      <c r="E48" s="240">
        <v>446</v>
      </c>
      <c r="F48" s="909" t="s">
        <v>1649</v>
      </c>
      <c r="G48" s="1" t="s">
        <v>45</v>
      </c>
      <c r="H48" s="1"/>
      <c r="I48" s="1"/>
      <c r="J48" s="1"/>
      <c r="K48" s="1"/>
      <c r="L48" s="1"/>
      <c r="M48" s="211"/>
    </row>
    <row r="49" spans="1:13" ht="19.5">
      <c r="A49" s="1">
        <v>6</v>
      </c>
      <c r="B49" s="2" t="s">
        <v>1217</v>
      </c>
      <c r="C49" s="1" t="s">
        <v>3137</v>
      </c>
      <c r="D49" s="4">
        <v>228160</v>
      </c>
      <c r="E49" s="1120">
        <v>1900</v>
      </c>
      <c r="F49" s="939" t="s">
        <v>2969</v>
      </c>
      <c r="G49" s="1" t="s">
        <v>45</v>
      </c>
      <c r="H49" s="1"/>
      <c r="I49" s="1"/>
      <c r="J49" s="1"/>
      <c r="K49" s="1"/>
      <c r="L49" s="1"/>
      <c r="M49" s="211" t="s">
        <v>3469</v>
      </c>
    </row>
    <row r="50" spans="1:13" ht="19.5">
      <c r="A50" s="1">
        <v>7</v>
      </c>
      <c r="B50" s="239" t="s">
        <v>2314</v>
      </c>
      <c r="C50" s="172" t="s">
        <v>2315</v>
      </c>
      <c r="D50" s="4">
        <v>46113</v>
      </c>
      <c r="E50" s="244">
        <v>1200</v>
      </c>
      <c r="F50" s="909" t="s">
        <v>999</v>
      </c>
      <c r="G50" s="1" t="s">
        <v>45</v>
      </c>
      <c r="H50" s="1"/>
      <c r="I50" s="1"/>
      <c r="J50" s="1"/>
      <c r="K50" s="1"/>
      <c r="L50" s="1"/>
      <c r="M50" s="211"/>
    </row>
    <row r="51" spans="1:13" ht="19.5">
      <c r="A51" s="1">
        <v>8</v>
      </c>
      <c r="B51" s="239" t="s">
        <v>1217</v>
      </c>
      <c r="C51" s="172" t="s">
        <v>1577</v>
      </c>
      <c r="D51" s="4">
        <v>46368</v>
      </c>
      <c r="E51" s="244">
        <v>1900</v>
      </c>
      <c r="F51" s="1127" t="s">
        <v>2433</v>
      </c>
      <c r="G51" s="1" t="s">
        <v>45</v>
      </c>
      <c r="H51" s="1"/>
      <c r="I51" s="1"/>
      <c r="J51" s="1"/>
      <c r="K51" s="1"/>
      <c r="L51" s="1"/>
      <c r="M51" s="211"/>
    </row>
    <row r="52" spans="1:13" ht="19.5">
      <c r="A52" s="1">
        <v>9</v>
      </c>
      <c r="B52" s="2" t="s">
        <v>2314</v>
      </c>
      <c r="C52" s="1" t="s">
        <v>3138</v>
      </c>
      <c r="D52" s="4">
        <v>229082</v>
      </c>
      <c r="E52" s="1120">
        <v>1200</v>
      </c>
      <c r="F52" s="939" t="s">
        <v>2969</v>
      </c>
      <c r="G52" s="1" t="s">
        <v>45</v>
      </c>
      <c r="H52" s="1"/>
      <c r="I52" s="1"/>
      <c r="J52" s="1"/>
      <c r="K52" s="1"/>
      <c r="L52" s="1"/>
      <c r="M52" s="211" t="s">
        <v>3470</v>
      </c>
    </row>
    <row r="53" spans="1:13" ht="19.5">
      <c r="A53" s="1">
        <v>10</v>
      </c>
      <c r="B53" s="239" t="s">
        <v>2314</v>
      </c>
      <c r="C53" s="172" t="s">
        <v>2316</v>
      </c>
      <c r="D53" s="4">
        <v>46777</v>
      </c>
      <c r="E53" s="244">
        <v>1900</v>
      </c>
      <c r="F53" s="909" t="s">
        <v>999</v>
      </c>
      <c r="G53" s="1" t="s">
        <v>45</v>
      </c>
      <c r="H53" s="1"/>
      <c r="I53" s="1"/>
      <c r="J53" s="1"/>
      <c r="K53" s="1"/>
      <c r="L53" s="1"/>
      <c r="M53" s="211"/>
    </row>
    <row r="54" spans="1:13" ht="19.5">
      <c r="A54" s="1">
        <v>11</v>
      </c>
      <c r="B54" s="239" t="s">
        <v>2314</v>
      </c>
      <c r="C54" s="172" t="s">
        <v>2317</v>
      </c>
      <c r="D54" s="4">
        <v>46766</v>
      </c>
      <c r="E54" s="244">
        <v>1200</v>
      </c>
      <c r="F54" s="909" t="s">
        <v>999</v>
      </c>
      <c r="G54" s="1" t="s">
        <v>45</v>
      </c>
      <c r="H54" s="1"/>
      <c r="I54" s="1"/>
      <c r="J54" s="1"/>
      <c r="K54" s="1"/>
      <c r="L54" s="1"/>
      <c r="M54" s="211"/>
    </row>
    <row r="55" spans="1:13" ht="19.5">
      <c r="A55" s="1">
        <v>12</v>
      </c>
      <c r="B55" s="2" t="s">
        <v>1217</v>
      </c>
      <c r="C55" s="158" t="s">
        <v>2302</v>
      </c>
      <c r="D55" s="4">
        <v>11075</v>
      </c>
      <c r="E55" s="1078">
        <v>1900</v>
      </c>
      <c r="F55" s="1173" t="s">
        <v>1649</v>
      </c>
      <c r="G55" s="158" t="s">
        <v>45</v>
      </c>
      <c r="H55" s="1"/>
      <c r="I55" s="1"/>
      <c r="J55" s="1"/>
      <c r="K55" s="1"/>
      <c r="L55" s="1"/>
      <c r="M55" s="211" t="s">
        <v>3205</v>
      </c>
    </row>
    <row r="56" spans="1:13" ht="19.5">
      <c r="A56" s="1">
        <v>13</v>
      </c>
      <c r="B56" s="2" t="s">
        <v>2970</v>
      </c>
      <c r="C56" s="1" t="s">
        <v>3139</v>
      </c>
      <c r="D56" s="4">
        <v>230154</v>
      </c>
      <c r="E56" s="1120">
        <v>1900</v>
      </c>
      <c r="F56" s="939" t="s">
        <v>2969</v>
      </c>
      <c r="G56" s="1" t="s">
        <v>45</v>
      </c>
      <c r="H56" s="1"/>
      <c r="I56" s="1"/>
      <c r="J56" s="1"/>
      <c r="K56" s="1"/>
      <c r="L56" s="1"/>
      <c r="M56" s="211" t="s">
        <v>3471</v>
      </c>
    </row>
    <row r="57" spans="1:13" ht="19.5">
      <c r="A57" s="1">
        <v>14</v>
      </c>
      <c r="B57" s="245" t="s">
        <v>1263</v>
      </c>
      <c r="C57" s="158" t="s">
        <v>1264</v>
      </c>
      <c r="D57" s="4">
        <v>11194</v>
      </c>
      <c r="E57" s="58">
        <v>3824</v>
      </c>
      <c r="F57" s="1156" t="s">
        <v>1265</v>
      </c>
      <c r="G57" s="158" t="s">
        <v>45</v>
      </c>
      <c r="H57" s="1"/>
      <c r="I57" s="1"/>
      <c r="J57" s="1"/>
      <c r="K57" s="1"/>
      <c r="L57" s="1"/>
      <c r="M57" s="211" t="s">
        <v>3178</v>
      </c>
    </row>
    <row r="58" spans="1:13" ht="19.5">
      <c r="A58" s="1">
        <v>15</v>
      </c>
      <c r="B58" s="245" t="s">
        <v>1274</v>
      </c>
      <c r="C58" s="158" t="s">
        <v>1668</v>
      </c>
      <c r="D58" s="4">
        <v>11194</v>
      </c>
      <c r="E58" s="58">
        <v>3824</v>
      </c>
      <c r="F58" s="1156" t="s">
        <v>1265</v>
      </c>
      <c r="G58" s="158" t="s">
        <v>45</v>
      </c>
      <c r="H58" s="1"/>
      <c r="I58" s="1"/>
      <c r="J58" s="1"/>
      <c r="K58" s="1"/>
      <c r="L58" s="1"/>
      <c r="M58" s="211" t="s">
        <v>3178</v>
      </c>
    </row>
    <row r="59" spans="1:13" ht="19.5">
      <c r="A59" s="1">
        <v>16</v>
      </c>
      <c r="B59" s="245" t="s">
        <v>1266</v>
      </c>
      <c r="C59" s="158" t="s">
        <v>1267</v>
      </c>
      <c r="D59" s="4">
        <v>11194</v>
      </c>
      <c r="E59" s="58">
        <v>3824</v>
      </c>
      <c r="F59" s="1156" t="s">
        <v>1265</v>
      </c>
      <c r="G59" s="158" t="s">
        <v>45</v>
      </c>
      <c r="H59" s="1"/>
      <c r="I59" s="1"/>
      <c r="J59" s="1"/>
      <c r="K59" s="1"/>
      <c r="L59" s="1"/>
      <c r="M59" s="211" t="s">
        <v>3178</v>
      </c>
    </row>
    <row r="60" spans="1:13" ht="19.5">
      <c r="A60" s="1">
        <v>17</v>
      </c>
      <c r="B60" s="245" t="s">
        <v>1268</v>
      </c>
      <c r="C60" s="158" t="s">
        <v>1269</v>
      </c>
      <c r="D60" s="4">
        <v>11194</v>
      </c>
      <c r="E60" s="58">
        <v>3824</v>
      </c>
      <c r="F60" s="1156" t="s">
        <v>1265</v>
      </c>
      <c r="G60" s="158" t="s">
        <v>45</v>
      </c>
      <c r="H60" s="1"/>
      <c r="I60" s="1"/>
      <c r="J60" s="1"/>
      <c r="K60" s="1"/>
      <c r="L60" s="1"/>
      <c r="M60" s="211" t="s">
        <v>3178</v>
      </c>
    </row>
    <row r="61" spans="1:13" ht="19.5">
      <c r="A61" s="1">
        <v>18</v>
      </c>
      <c r="B61" s="245" t="s">
        <v>1274</v>
      </c>
      <c r="C61" s="158" t="s">
        <v>1275</v>
      </c>
      <c r="D61" s="4">
        <v>11194</v>
      </c>
      <c r="E61" s="58">
        <v>3824</v>
      </c>
      <c r="F61" s="1156" t="s">
        <v>1265</v>
      </c>
      <c r="G61" s="158" t="s">
        <v>45</v>
      </c>
      <c r="H61" s="1"/>
      <c r="I61" s="1"/>
      <c r="J61" s="1"/>
      <c r="K61" s="1"/>
      <c r="L61" s="1"/>
      <c r="M61" s="211" t="s">
        <v>3164</v>
      </c>
    </row>
    <row r="62" spans="1:13" ht="19.5">
      <c r="A62" s="1">
        <v>19</v>
      </c>
      <c r="B62" s="245" t="s">
        <v>1274</v>
      </c>
      <c r="C62" s="158" t="s">
        <v>1276</v>
      </c>
      <c r="D62" s="4">
        <v>11194</v>
      </c>
      <c r="E62" s="58">
        <v>3824</v>
      </c>
      <c r="F62" s="1156" t="s">
        <v>1265</v>
      </c>
      <c r="G62" s="158" t="s">
        <v>45</v>
      </c>
      <c r="H62" s="1"/>
      <c r="I62" s="1"/>
      <c r="J62" s="1"/>
      <c r="K62" s="1"/>
      <c r="L62" s="1"/>
      <c r="M62" s="211" t="s">
        <v>3164</v>
      </c>
    </row>
    <row r="63" spans="1:13" ht="19.5">
      <c r="A63" s="1">
        <v>20</v>
      </c>
      <c r="B63" s="245" t="s">
        <v>1274</v>
      </c>
      <c r="C63" s="158" t="s">
        <v>1277</v>
      </c>
      <c r="D63" s="4">
        <v>11194</v>
      </c>
      <c r="E63" s="58">
        <v>3824</v>
      </c>
      <c r="F63" s="1156" t="s">
        <v>1265</v>
      </c>
      <c r="G63" s="158" t="s">
        <v>45</v>
      </c>
      <c r="H63" s="1"/>
      <c r="I63" s="1"/>
      <c r="J63" s="1"/>
      <c r="K63" s="1"/>
      <c r="L63" s="1"/>
      <c r="M63" s="211" t="s">
        <v>3164</v>
      </c>
    </row>
    <row r="64" spans="1:13" s="249" customFormat="1" ht="19.5">
      <c r="A64" s="1">
        <v>21</v>
      </c>
      <c r="B64" s="245" t="s">
        <v>1274</v>
      </c>
      <c r="C64" s="158" t="s">
        <v>1278</v>
      </c>
      <c r="D64" s="4">
        <v>11194</v>
      </c>
      <c r="E64" s="58">
        <v>3824</v>
      </c>
      <c r="F64" s="1156" t="s">
        <v>1265</v>
      </c>
      <c r="G64" s="158" t="s">
        <v>45</v>
      </c>
      <c r="H64" s="1"/>
      <c r="I64" s="1"/>
      <c r="J64" s="1"/>
      <c r="K64" s="1"/>
      <c r="L64" s="1"/>
      <c r="M64" s="211" t="s">
        <v>3164</v>
      </c>
    </row>
    <row r="65" spans="1:13" s="249" customFormat="1" ht="19.5">
      <c r="A65" s="1">
        <v>22</v>
      </c>
      <c r="B65" s="245" t="s">
        <v>1274</v>
      </c>
      <c r="C65" s="158" t="s">
        <v>1279</v>
      </c>
      <c r="D65" s="4">
        <v>11194</v>
      </c>
      <c r="E65" s="58">
        <v>3824</v>
      </c>
      <c r="F65" s="1156" t="s">
        <v>1265</v>
      </c>
      <c r="G65" s="158" t="s">
        <v>45</v>
      </c>
      <c r="H65" s="1"/>
      <c r="I65" s="1"/>
      <c r="J65" s="1"/>
      <c r="K65" s="1"/>
      <c r="L65" s="1"/>
      <c r="M65" s="211" t="s">
        <v>3164</v>
      </c>
    </row>
    <row r="66" spans="1:13" ht="19.5">
      <c r="A66" s="1">
        <v>23</v>
      </c>
      <c r="B66" s="245" t="s">
        <v>1274</v>
      </c>
      <c r="C66" s="158" t="s">
        <v>1280</v>
      </c>
      <c r="D66" s="4">
        <v>11194</v>
      </c>
      <c r="E66" s="58">
        <v>3824</v>
      </c>
      <c r="F66" s="1156" t="s">
        <v>1265</v>
      </c>
      <c r="G66" s="158" t="s">
        <v>45</v>
      </c>
      <c r="H66" s="1"/>
      <c r="I66" s="1"/>
      <c r="J66" s="1"/>
      <c r="K66" s="1"/>
      <c r="L66" s="1"/>
      <c r="M66" s="211" t="s">
        <v>3164</v>
      </c>
    </row>
    <row r="67" spans="1:13" ht="19.5">
      <c r="A67" s="1">
        <v>24</v>
      </c>
      <c r="B67" s="245" t="s">
        <v>1274</v>
      </c>
      <c r="C67" s="158" t="s">
        <v>1281</v>
      </c>
      <c r="D67" s="4">
        <v>11194</v>
      </c>
      <c r="E67" s="58">
        <v>3824</v>
      </c>
      <c r="F67" s="1156" t="s">
        <v>1265</v>
      </c>
      <c r="G67" s="158" t="s">
        <v>45</v>
      </c>
      <c r="H67" s="1"/>
      <c r="I67" s="1"/>
      <c r="J67" s="1"/>
      <c r="K67" s="1"/>
      <c r="L67" s="1"/>
      <c r="M67" s="211" t="s">
        <v>3164</v>
      </c>
    </row>
    <row r="68" spans="1:13" ht="19.5">
      <c r="A68" s="1">
        <v>25</v>
      </c>
      <c r="B68" s="245" t="s">
        <v>1274</v>
      </c>
      <c r="C68" s="158" t="s">
        <v>1282</v>
      </c>
      <c r="D68" s="4">
        <v>11194</v>
      </c>
      <c r="E68" s="58">
        <v>3824</v>
      </c>
      <c r="F68" s="1156" t="s">
        <v>1265</v>
      </c>
      <c r="G68" s="158" t="s">
        <v>45</v>
      </c>
      <c r="H68" s="1"/>
      <c r="I68" s="1"/>
      <c r="J68" s="1"/>
      <c r="K68" s="1"/>
      <c r="L68" s="1"/>
      <c r="M68" s="211" t="s">
        <v>3164</v>
      </c>
    </row>
    <row r="69" spans="1:13" ht="19.5">
      <c r="A69" s="1">
        <v>26</v>
      </c>
      <c r="B69" s="245" t="s">
        <v>1274</v>
      </c>
      <c r="C69" s="158" t="s">
        <v>1283</v>
      </c>
      <c r="D69" s="4">
        <v>11194</v>
      </c>
      <c r="E69" s="58">
        <v>3824</v>
      </c>
      <c r="F69" s="1156" t="s">
        <v>1265</v>
      </c>
      <c r="G69" s="158" t="s">
        <v>45</v>
      </c>
      <c r="H69" s="1"/>
      <c r="I69" s="1"/>
      <c r="J69" s="1"/>
      <c r="K69" s="1"/>
      <c r="L69" s="1"/>
      <c r="M69" s="211" t="s">
        <v>3164</v>
      </c>
    </row>
    <row r="70" spans="1:13" ht="19.5">
      <c r="A70" s="1">
        <v>27</v>
      </c>
      <c r="B70" s="245" t="s">
        <v>1274</v>
      </c>
      <c r="C70" s="158" t="s">
        <v>1284</v>
      </c>
      <c r="D70" s="4">
        <v>11194</v>
      </c>
      <c r="E70" s="58">
        <v>3824</v>
      </c>
      <c r="F70" s="1156" t="s">
        <v>1265</v>
      </c>
      <c r="G70" s="158" t="s">
        <v>45</v>
      </c>
      <c r="H70" s="1"/>
      <c r="I70" s="1"/>
      <c r="J70" s="1"/>
      <c r="K70" s="1"/>
      <c r="L70" s="1"/>
      <c r="M70" s="211" t="s">
        <v>3164</v>
      </c>
    </row>
    <row r="71" spans="1:13" ht="19.5">
      <c r="A71" s="1">
        <v>28</v>
      </c>
      <c r="B71" s="245" t="s">
        <v>1274</v>
      </c>
      <c r="C71" s="158" t="s">
        <v>1285</v>
      </c>
      <c r="D71" s="4">
        <v>11194</v>
      </c>
      <c r="E71" s="58">
        <v>3824</v>
      </c>
      <c r="F71" s="1156" t="s">
        <v>1265</v>
      </c>
      <c r="G71" s="158" t="s">
        <v>45</v>
      </c>
      <c r="H71" s="1"/>
      <c r="I71" s="1"/>
      <c r="J71" s="1"/>
      <c r="K71" s="1"/>
      <c r="L71" s="1"/>
      <c r="M71" s="211" t="s">
        <v>3164</v>
      </c>
    </row>
    <row r="72" spans="1:13" ht="19.5">
      <c r="A72" s="1">
        <v>29</v>
      </c>
      <c r="B72" s="245" t="s">
        <v>1274</v>
      </c>
      <c r="C72" s="158" t="s">
        <v>1286</v>
      </c>
      <c r="D72" s="4">
        <v>11194</v>
      </c>
      <c r="E72" s="58">
        <v>3824</v>
      </c>
      <c r="F72" s="1156" t="s">
        <v>1265</v>
      </c>
      <c r="G72" s="158" t="s">
        <v>45</v>
      </c>
      <c r="H72" s="1"/>
      <c r="I72" s="1"/>
      <c r="J72" s="1"/>
      <c r="K72" s="1"/>
      <c r="L72" s="1"/>
      <c r="M72" s="211" t="s">
        <v>3164</v>
      </c>
    </row>
    <row r="73" spans="1:13" ht="19.5">
      <c r="A73" s="1">
        <v>30</v>
      </c>
      <c r="B73" s="245" t="s">
        <v>1274</v>
      </c>
      <c r="C73" s="158" t="s">
        <v>1287</v>
      </c>
      <c r="D73" s="4">
        <v>11194</v>
      </c>
      <c r="E73" s="58">
        <v>3824</v>
      </c>
      <c r="F73" s="1156" t="s">
        <v>1265</v>
      </c>
      <c r="G73" s="158" t="s">
        <v>45</v>
      </c>
      <c r="H73" s="1"/>
      <c r="I73" s="1"/>
      <c r="J73" s="1"/>
      <c r="K73" s="1"/>
      <c r="L73" s="1"/>
      <c r="M73" s="211" t="s">
        <v>3164</v>
      </c>
    </row>
    <row r="74" spans="1:13" ht="19.5">
      <c r="A74" s="1">
        <v>31</v>
      </c>
      <c r="B74" s="245" t="s">
        <v>1274</v>
      </c>
      <c r="C74" s="158" t="s">
        <v>1288</v>
      </c>
      <c r="D74" s="4">
        <v>11194</v>
      </c>
      <c r="E74" s="58">
        <v>3824</v>
      </c>
      <c r="F74" s="1156" t="s">
        <v>1265</v>
      </c>
      <c r="G74" s="158" t="s">
        <v>45</v>
      </c>
      <c r="H74" s="1"/>
      <c r="I74" s="1"/>
      <c r="J74" s="1"/>
      <c r="K74" s="1"/>
      <c r="L74" s="1"/>
      <c r="M74" s="211" t="s">
        <v>3164</v>
      </c>
    </row>
    <row r="75" spans="1:13" ht="19.5">
      <c r="A75" s="1">
        <v>32</v>
      </c>
      <c r="B75" s="245" t="s">
        <v>1274</v>
      </c>
      <c r="C75" s="158" t="s">
        <v>1289</v>
      </c>
      <c r="D75" s="4">
        <v>11194</v>
      </c>
      <c r="E75" s="58">
        <v>3824</v>
      </c>
      <c r="F75" s="1156" t="s">
        <v>1265</v>
      </c>
      <c r="G75" s="158" t="s">
        <v>45</v>
      </c>
      <c r="H75" s="1"/>
      <c r="I75" s="1"/>
      <c r="J75" s="1"/>
      <c r="K75" s="1"/>
      <c r="L75" s="1"/>
      <c r="M75" s="211" t="s">
        <v>3164</v>
      </c>
    </row>
    <row r="76" spans="1:13" ht="19.5">
      <c r="A76" s="1">
        <v>33</v>
      </c>
      <c r="B76" s="245" t="s">
        <v>1274</v>
      </c>
      <c r="C76" s="158" t="s">
        <v>1290</v>
      </c>
      <c r="D76" s="228">
        <v>11194</v>
      </c>
      <c r="E76" s="65">
        <v>3824</v>
      </c>
      <c r="F76" s="1174" t="s">
        <v>1265</v>
      </c>
      <c r="G76" s="158" t="s">
        <v>45</v>
      </c>
      <c r="H76" s="192"/>
      <c r="I76" s="192"/>
      <c r="J76" s="192"/>
      <c r="K76" s="192"/>
      <c r="L76" s="192"/>
      <c r="M76" s="211" t="s">
        <v>3164</v>
      </c>
    </row>
    <row r="77" spans="1:13" ht="19.5">
      <c r="A77" s="1">
        <v>34</v>
      </c>
      <c r="B77" s="246" t="s">
        <v>2305</v>
      </c>
      <c r="C77" s="232" t="s">
        <v>2303</v>
      </c>
      <c r="D77" s="4">
        <v>12930</v>
      </c>
      <c r="E77" s="247">
        <v>1200</v>
      </c>
      <c r="F77" s="1175" t="s">
        <v>1649</v>
      </c>
      <c r="G77" s="232" t="s">
        <v>45</v>
      </c>
      <c r="H77" s="1"/>
      <c r="I77" s="1"/>
      <c r="J77" s="1"/>
      <c r="K77" s="1"/>
      <c r="L77" s="1"/>
      <c r="M77" s="211" t="s">
        <v>3219</v>
      </c>
    </row>
    <row r="78" spans="1:13" ht="19.5">
      <c r="A78" s="1">
        <v>35</v>
      </c>
      <c r="B78" s="246" t="s">
        <v>2306</v>
      </c>
      <c r="C78" s="232" t="s">
        <v>2304</v>
      </c>
      <c r="D78" s="4">
        <v>13141</v>
      </c>
      <c r="E78" s="1098">
        <v>2300</v>
      </c>
      <c r="F78" s="939" t="s">
        <v>1508</v>
      </c>
      <c r="G78" s="232" t="s">
        <v>45</v>
      </c>
      <c r="H78" s="1"/>
      <c r="I78" s="1"/>
      <c r="J78" s="1"/>
      <c r="K78" s="1"/>
      <c r="L78" s="1"/>
      <c r="M78" s="211" t="s">
        <v>1508</v>
      </c>
    </row>
    <row r="79" spans="1:13" ht="19.5">
      <c r="A79" s="1">
        <v>36</v>
      </c>
      <c r="B79" s="239" t="s">
        <v>1217</v>
      </c>
      <c r="C79" s="1" t="s">
        <v>2307</v>
      </c>
      <c r="D79" s="4">
        <v>13413</v>
      </c>
      <c r="E79" s="1101">
        <v>2300</v>
      </c>
      <c r="F79" s="1011" t="s">
        <v>1649</v>
      </c>
      <c r="G79" s="1" t="s">
        <v>45</v>
      </c>
      <c r="H79" s="35"/>
      <c r="I79" s="35"/>
      <c r="J79" s="35"/>
      <c r="K79" s="35"/>
      <c r="L79" s="35"/>
      <c r="M79" s="517" t="s">
        <v>3205</v>
      </c>
    </row>
    <row r="80" spans="1:13" ht="19.5">
      <c r="A80" s="1">
        <v>37</v>
      </c>
      <c r="B80" s="239" t="s">
        <v>1217</v>
      </c>
      <c r="C80" s="1" t="s">
        <v>2310</v>
      </c>
      <c r="D80" s="4">
        <v>13717</v>
      </c>
      <c r="E80" s="1101">
        <v>2300</v>
      </c>
      <c r="F80" s="1011" t="s">
        <v>1649</v>
      </c>
      <c r="G80" s="1" t="s">
        <v>45</v>
      </c>
      <c r="H80" s="35"/>
      <c r="I80" s="35"/>
      <c r="J80" s="35"/>
      <c r="K80" s="35"/>
      <c r="L80" s="35"/>
      <c r="M80" s="517" t="s">
        <v>3205</v>
      </c>
    </row>
    <row r="81" spans="1:13" ht="19.5">
      <c r="A81" s="1">
        <v>38</v>
      </c>
      <c r="B81" s="239" t="s">
        <v>1217</v>
      </c>
      <c r="C81" s="1" t="s">
        <v>2309</v>
      </c>
      <c r="D81" s="4">
        <v>13717</v>
      </c>
      <c r="E81" s="1095">
        <v>2300</v>
      </c>
      <c r="F81" s="939" t="s">
        <v>1508</v>
      </c>
      <c r="G81" s="1" t="s">
        <v>45</v>
      </c>
      <c r="H81" s="35"/>
      <c r="I81" s="35"/>
      <c r="J81" s="35"/>
      <c r="K81" s="35"/>
      <c r="L81" s="35"/>
      <c r="M81" s="517" t="s">
        <v>3457</v>
      </c>
    </row>
    <row r="82" spans="1:13" ht="19.5">
      <c r="A82" s="1">
        <v>39</v>
      </c>
      <c r="B82" s="239" t="s">
        <v>1217</v>
      </c>
      <c r="C82" s="1" t="s">
        <v>2308</v>
      </c>
      <c r="D82" s="4">
        <v>13630</v>
      </c>
      <c r="E82" s="248">
        <v>2800</v>
      </c>
      <c r="F82" s="1127" t="s">
        <v>2433</v>
      </c>
      <c r="G82" s="1" t="s">
        <v>45</v>
      </c>
      <c r="H82" s="35"/>
      <c r="I82" s="35"/>
      <c r="J82" s="35"/>
      <c r="K82" s="35"/>
      <c r="L82" s="35"/>
      <c r="M82" s="517"/>
    </row>
    <row r="83" spans="1:13" ht="19.5">
      <c r="A83" s="1">
        <v>40</v>
      </c>
      <c r="B83" s="239" t="s">
        <v>1217</v>
      </c>
      <c r="C83" s="1" t="s">
        <v>2311</v>
      </c>
      <c r="D83" s="4">
        <v>13913</v>
      </c>
      <c r="E83" s="1095">
        <v>1700</v>
      </c>
      <c r="F83" s="939" t="s">
        <v>1649</v>
      </c>
      <c r="G83" s="1" t="s">
        <v>45</v>
      </c>
      <c r="H83" s="35"/>
      <c r="I83" s="35"/>
      <c r="J83" s="35"/>
      <c r="K83" s="35"/>
      <c r="L83" s="35"/>
      <c r="M83" s="517" t="s">
        <v>3205</v>
      </c>
    </row>
    <row r="84" spans="1:13" ht="19.5">
      <c r="A84" s="1">
        <v>41</v>
      </c>
      <c r="B84" s="239" t="s">
        <v>1217</v>
      </c>
      <c r="C84" s="1" t="s">
        <v>2312</v>
      </c>
      <c r="D84" s="4">
        <v>13913</v>
      </c>
      <c r="E84" s="1095">
        <v>1700</v>
      </c>
      <c r="F84" s="939" t="s">
        <v>1649</v>
      </c>
      <c r="G84" s="1" t="s">
        <v>45</v>
      </c>
      <c r="H84" s="35"/>
      <c r="I84" s="35"/>
      <c r="J84" s="35"/>
      <c r="K84" s="35"/>
      <c r="L84" s="35"/>
      <c r="M84" s="517" t="s">
        <v>3205</v>
      </c>
    </row>
    <row r="85" spans="1:13" ht="19.5">
      <c r="A85" s="1">
        <v>42</v>
      </c>
      <c r="B85" s="239" t="s">
        <v>2324</v>
      </c>
      <c r="C85" s="1" t="s">
        <v>2323</v>
      </c>
      <c r="D85" s="4">
        <v>14158</v>
      </c>
      <c r="E85" s="248">
        <v>12915</v>
      </c>
      <c r="F85" s="909" t="s">
        <v>1649</v>
      </c>
      <c r="G85" s="1" t="s">
        <v>45</v>
      </c>
      <c r="H85" s="35"/>
      <c r="I85" s="35"/>
      <c r="J85" s="35"/>
      <c r="K85" s="35"/>
      <c r="L85" s="35"/>
      <c r="M85" s="517"/>
    </row>
    <row r="86" spans="1:13" ht="19.5">
      <c r="A86" s="1">
        <v>43</v>
      </c>
      <c r="B86" s="2" t="s">
        <v>68</v>
      </c>
      <c r="C86" s="1" t="s">
        <v>69</v>
      </c>
      <c r="D86" s="4">
        <v>15234</v>
      </c>
      <c r="E86" s="63">
        <v>5000</v>
      </c>
      <c r="F86" s="1127" t="s">
        <v>2433</v>
      </c>
      <c r="G86" s="1" t="s">
        <v>45</v>
      </c>
      <c r="H86" s="1"/>
      <c r="I86" s="1"/>
      <c r="J86" s="1"/>
      <c r="K86" s="1"/>
      <c r="L86" s="1"/>
      <c r="M86" s="211" t="s">
        <v>3492</v>
      </c>
    </row>
    <row r="87" spans="1:13" ht="19.5">
      <c r="A87" s="1">
        <v>44</v>
      </c>
      <c r="B87" s="2" t="s">
        <v>1217</v>
      </c>
      <c r="C87" s="1" t="s">
        <v>1219</v>
      </c>
      <c r="D87" s="4">
        <v>15523</v>
      </c>
      <c r="E87" s="1083">
        <v>1800</v>
      </c>
      <c r="F87" s="939" t="s">
        <v>1220</v>
      </c>
      <c r="G87" s="1" t="s">
        <v>45</v>
      </c>
      <c r="H87" s="1"/>
      <c r="I87" s="1"/>
      <c r="J87" s="1"/>
      <c r="K87" s="1"/>
      <c r="L87" s="1"/>
      <c r="M87" s="211" t="s">
        <v>3473</v>
      </c>
    </row>
    <row r="88" spans="1:13" ht="19.5">
      <c r="A88" s="1">
        <v>45</v>
      </c>
      <c r="B88" s="2" t="s">
        <v>73</v>
      </c>
      <c r="C88" s="1" t="s">
        <v>74</v>
      </c>
      <c r="D88" s="4">
        <v>15604</v>
      </c>
      <c r="E88" s="63">
        <v>16000</v>
      </c>
      <c r="F88" s="1127" t="s">
        <v>2433</v>
      </c>
      <c r="G88" s="1" t="s">
        <v>45</v>
      </c>
      <c r="H88" s="1"/>
      <c r="I88" s="1"/>
      <c r="J88" s="1"/>
      <c r="K88" s="1"/>
      <c r="L88" s="1"/>
      <c r="M88" s="211"/>
    </row>
    <row r="89" spans="1:13" ht="19.5">
      <c r="A89" s="1">
        <v>46</v>
      </c>
      <c r="B89" s="2" t="s">
        <v>2971</v>
      </c>
      <c r="C89" s="1" t="s">
        <v>3140</v>
      </c>
      <c r="D89" s="4">
        <v>234803</v>
      </c>
      <c r="E89" s="1120">
        <v>2600</v>
      </c>
      <c r="F89" s="939" t="s">
        <v>2969</v>
      </c>
      <c r="G89" s="1" t="s">
        <v>45</v>
      </c>
      <c r="H89" s="1"/>
      <c r="I89" s="1"/>
      <c r="J89" s="1"/>
      <c r="K89" s="1"/>
      <c r="L89" s="1"/>
      <c r="M89" s="211" t="s">
        <v>3472</v>
      </c>
    </row>
    <row r="90" spans="1:13" ht="19.5">
      <c r="A90" s="1">
        <v>47</v>
      </c>
      <c r="B90" s="2" t="s">
        <v>70</v>
      </c>
      <c r="C90" s="250" t="s">
        <v>2346</v>
      </c>
      <c r="D90" s="4">
        <v>15759</v>
      </c>
      <c r="E90" s="63">
        <v>2500</v>
      </c>
      <c r="F90" s="1127" t="s">
        <v>2433</v>
      </c>
      <c r="G90" s="1" t="s">
        <v>45</v>
      </c>
      <c r="H90" s="1"/>
      <c r="I90" s="1"/>
      <c r="J90" s="1"/>
      <c r="K90" s="1"/>
      <c r="L90" s="1"/>
      <c r="M90" s="211"/>
    </row>
    <row r="91" spans="1:13" ht="19.5">
      <c r="A91" s="1">
        <v>48</v>
      </c>
      <c r="B91" s="2" t="s">
        <v>71</v>
      </c>
      <c r="C91" s="1" t="s">
        <v>72</v>
      </c>
      <c r="D91" s="4">
        <v>15740</v>
      </c>
      <c r="E91" s="1097">
        <v>2500</v>
      </c>
      <c r="F91" s="1176" t="s">
        <v>4036</v>
      </c>
      <c r="G91" s="1" t="s">
        <v>45</v>
      </c>
      <c r="H91" s="1"/>
      <c r="I91" s="1"/>
      <c r="J91" s="1"/>
      <c r="K91" s="1"/>
      <c r="L91" s="1"/>
      <c r="M91" s="211" t="s">
        <v>3219</v>
      </c>
    </row>
    <row r="92" spans="1:13" ht="19.5">
      <c r="A92" s="1">
        <v>49</v>
      </c>
      <c r="B92" s="2" t="s">
        <v>75</v>
      </c>
      <c r="C92" s="1" t="s">
        <v>76</v>
      </c>
      <c r="D92" s="4">
        <v>16129</v>
      </c>
      <c r="E92" s="63">
        <v>4400</v>
      </c>
      <c r="F92" s="1127" t="s">
        <v>2433</v>
      </c>
      <c r="G92" s="1" t="s">
        <v>45</v>
      </c>
      <c r="H92" s="1"/>
      <c r="I92" s="1"/>
      <c r="J92" s="1"/>
      <c r="K92" s="1"/>
      <c r="L92" s="1"/>
      <c r="M92" s="211"/>
    </row>
    <row r="93" spans="1:13" ht="19.5">
      <c r="A93" s="1">
        <v>50</v>
      </c>
      <c r="B93" s="239" t="s">
        <v>1217</v>
      </c>
      <c r="C93" s="172" t="s">
        <v>1574</v>
      </c>
      <c r="D93" s="4">
        <v>16129</v>
      </c>
      <c r="E93" s="244">
        <v>8300</v>
      </c>
      <c r="F93" s="1129" t="s">
        <v>1572</v>
      </c>
      <c r="G93" s="1" t="s">
        <v>45</v>
      </c>
      <c r="H93" s="1"/>
      <c r="I93" s="1"/>
      <c r="J93" s="1"/>
      <c r="K93" s="1"/>
      <c r="L93" s="1"/>
      <c r="M93" s="211"/>
    </row>
    <row r="94" spans="1:13" ht="19.5">
      <c r="A94" s="1">
        <v>51</v>
      </c>
      <c r="B94" s="245" t="s">
        <v>1274</v>
      </c>
      <c r="C94" s="158" t="s">
        <v>1291</v>
      </c>
      <c r="D94" s="4">
        <v>16325</v>
      </c>
      <c r="E94" s="58">
        <v>12000</v>
      </c>
      <c r="F94" s="1156" t="s">
        <v>1265</v>
      </c>
      <c r="G94" s="1" t="s">
        <v>45</v>
      </c>
      <c r="H94" s="1"/>
      <c r="I94" s="1"/>
      <c r="J94" s="1"/>
      <c r="K94" s="1"/>
      <c r="L94" s="1"/>
      <c r="M94" s="211" t="s">
        <v>3164</v>
      </c>
    </row>
    <row r="95" spans="1:13" ht="19.5">
      <c r="A95" s="1">
        <v>52</v>
      </c>
      <c r="B95" s="245" t="s">
        <v>1274</v>
      </c>
      <c r="C95" s="158" t="s">
        <v>77</v>
      </c>
      <c r="D95" s="4">
        <v>16325</v>
      </c>
      <c r="E95" s="58">
        <v>12000</v>
      </c>
      <c r="F95" s="1156" t="s">
        <v>1265</v>
      </c>
      <c r="G95" s="1" t="s">
        <v>45</v>
      </c>
      <c r="H95" s="3"/>
      <c r="I95" s="3"/>
      <c r="J95" s="3"/>
      <c r="K95" s="3"/>
      <c r="L95" s="3"/>
      <c r="M95" s="211" t="s">
        <v>3164</v>
      </c>
    </row>
    <row r="96" spans="1:13" ht="19.5">
      <c r="A96" s="1">
        <v>53</v>
      </c>
      <c r="B96" s="3" t="s">
        <v>1292</v>
      </c>
      <c r="C96" s="158" t="s">
        <v>1293</v>
      </c>
      <c r="D96" s="4">
        <v>16325</v>
      </c>
      <c r="E96" s="1078">
        <v>4000</v>
      </c>
      <c r="F96" s="939" t="s">
        <v>1508</v>
      </c>
      <c r="G96" s="1" t="s">
        <v>45</v>
      </c>
      <c r="H96" s="1"/>
      <c r="I96" s="1"/>
      <c r="J96" s="1"/>
      <c r="K96" s="1"/>
      <c r="L96" s="1"/>
      <c r="M96" s="211" t="s">
        <v>3273</v>
      </c>
    </row>
    <row r="97" spans="1:13" s="44" customFormat="1" ht="19.5">
      <c r="A97" s="1">
        <v>54</v>
      </c>
      <c r="B97" s="3" t="s">
        <v>1292</v>
      </c>
      <c r="C97" s="158" t="s">
        <v>1294</v>
      </c>
      <c r="D97" s="4">
        <v>16325</v>
      </c>
      <c r="E97" s="58">
        <v>4000</v>
      </c>
      <c r="F97" s="1156" t="s">
        <v>1265</v>
      </c>
      <c r="G97" s="1" t="s">
        <v>45</v>
      </c>
      <c r="H97" s="1"/>
      <c r="I97" s="1"/>
      <c r="J97" s="1"/>
      <c r="K97" s="1"/>
      <c r="L97" s="1"/>
      <c r="M97" s="211" t="s">
        <v>3273</v>
      </c>
    </row>
    <row r="98" spans="1:13" ht="19.5">
      <c r="A98" s="1">
        <v>55</v>
      </c>
      <c r="B98" s="2" t="s">
        <v>75</v>
      </c>
      <c r="C98" s="1" t="s">
        <v>78</v>
      </c>
      <c r="D98" s="4">
        <v>16129</v>
      </c>
      <c r="E98" s="63">
        <v>4400</v>
      </c>
      <c r="F98" s="1127" t="s">
        <v>2433</v>
      </c>
      <c r="G98" s="1" t="s">
        <v>45</v>
      </c>
      <c r="H98" s="1"/>
      <c r="I98" s="1"/>
      <c r="J98" s="1"/>
      <c r="K98" s="1"/>
      <c r="L98" s="1"/>
      <c r="M98" s="211"/>
    </row>
    <row r="99" spans="1:13" ht="19.5">
      <c r="A99" s="1">
        <v>56</v>
      </c>
      <c r="B99" s="2" t="s">
        <v>1217</v>
      </c>
      <c r="C99" s="1" t="s">
        <v>1218</v>
      </c>
      <c r="D99" s="4">
        <v>16537</v>
      </c>
      <c r="E99" s="1094">
        <v>2020</v>
      </c>
      <c r="F99" s="939" t="s">
        <v>1220</v>
      </c>
      <c r="G99" s="1" t="s">
        <v>45</v>
      </c>
      <c r="H99" s="1"/>
      <c r="I99" s="1"/>
      <c r="J99" s="1"/>
      <c r="K99" s="1"/>
      <c r="L99" s="1"/>
      <c r="M99" s="211" t="s">
        <v>3474</v>
      </c>
    </row>
    <row r="100" spans="1:13" ht="19.5">
      <c r="A100" s="1">
        <v>57</v>
      </c>
      <c r="B100" s="2" t="s">
        <v>71</v>
      </c>
      <c r="C100" s="1" t="s">
        <v>79</v>
      </c>
      <c r="D100" s="4">
        <v>17123</v>
      </c>
      <c r="E100" s="63">
        <v>2000</v>
      </c>
      <c r="F100" s="1127" t="s">
        <v>2433</v>
      </c>
      <c r="G100" s="1" t="s">
        <v>45</v>
      </c>
      <c r="H100" s="1"/>
      <c r="I100" s="1"/>
      <c r="J100" s="1"/>
      <c r="K100" s="1"/>
      <c r="L100" s="1"/>
      <c r="M100" s="211"/>
    </row>
    <row r="101" spans="1:13" ht="19.5">
      <c r="A101" s="1">
        <v>58</v>
      </c>
      <c r="B101" s="2" t="s">
        <v>1217</v>
      </c>
      <c r="C101" s="1" t="s">
        <v>2972</v>
      </c>
      <c r="D101" s="4">
        <v>236357</v>
      </c>
      <c r="E101" s="1120">
        <v>2020</v>
      </c>
      <c r="F101" s="939" t="s">
        <v>2969</v>
      </c>
      <c r="G101" s="1" t="s">
        <v>45</v>
      </c>
      <c r="H101" s="1"/>
      <c r="I101" s="1"/>
      <c r="J101" s="1"/>
      <c r="K101" s="1"/>
      <c r="L101" s="1"/>
      <c r="M101" s="211" t="s">
        <v>3476</v>
      </c>
    </row>
    <row r="102" spans="1:13" ht="19.5">
      <c r="A102" s="1">
        <v>59</v>
      </c>
      <c r="B102" s="2" t="s">
        <v>80</v>
      </c>
      <c r="C102" s="1" t="s">
        <v>81</v>
      </c>
      <c r="D102" s="4">
        <v>17760</v>
      </c>
      <c r="E102" s="63">
        <v>13589</v>
      </c>
      <c r="F102" s="1127" t="s">
        <v>2433</v>
      </c>
      <c r="G102" s="1" t="s">
        <v>45</v>
      </c>
      <c r="H102" s="1"/>
      <c r="I102" s="252"/>
      <c r="J102" s="1"/>
      <c r="K102" s="1"/>
      <c r="L102" s="1"/>
      <c r="M102" s="211"/>
    </row>
    <row r="103" spans="1:13" ht="19.5">
      <c r="A103" s="1">
        <v>60</v>
      </c>
      <c r="B103" s="2" t="s">
        <v>80</v>
      </c>
      <c r="C103" s="1" t="s">
        <v>82</v>
      </c>
      <c r="D103" s="4">
        <v>17760</v>
      </c>
      <c r="E103" s="63">
        <v>3424</v>
      </c>
      <c r="F103" s="1127" t="s">
        <v>2433</v>
      </c>
      <c r="G103" s="1" t="s">
        <v>45</v>
      </c>
      <c r="H103" s="1"/>
      <c r="I103" s="1"/>
      <c r="J103" s="1"/>
      <c r="K103" s="1"/>
      <c r="L103" s="1"/>
      <c r="M103" s="211"/>
    </row>
    <row r="104" spans="1:13" ht="19.5">
      <c r="A104" s="1">
        <v>61</v>
      </c>
      <c r="B104" s="2" t="s">
        <v>80</v>
      </c>
      <c r="C104" s="1" t="s">
        <v>83</v>
      </c>
      <c r="D104" s="4">
        <v>17760</v>
      </c>
      <c r="E104" s="63">
        <v>4922</v>
      </c>
      <c r="F104" s="1127" t="s">
        <v>2433</v>
      </c>
      <c r="G104" s="1" t="s">
        <v>45</v>
      </c>
      <c r="H104" s="1"/>
      <c r="I104" s="1"/>
      <c r="J104" s="1"/>
      <c r="K104" s="1"/>
      <c r="L104" s="1"/>
      <c r="M104" s="211" t="s">
        <v>3491</v>
      </c>
    </row>
    <row r="105" spans="1:13" ht="19.5">
      <c r="A105" s="1">
        <v>62</v>
      </c>
      <c r="B105" s="2" t="s">
        <v>71</v>
      </c>
      <c r="C105" s="1" t="s">
        <v>84</v>
      </c>
      <c r="D105" s="4">
        <v>17760</v>
      </c>
      <c r="E105" s="63">
        <v>4066</v>
      </c>
      <c r="F105" s="1127" t="s">
        <v>2433</v>
      </c>
      <c r="G105" s="1" t="s">
        <v>45</v>
      </c>
      <c r="H105" s="1"/>
      <c r="I105" s="1"/>
      <c r="J105" s="1"/>
      <c r="K105" s="1"/>
      <c r="L105" s="1"/>
      <c r="M105" s="211" t="s">
        <v>3468</v>
      </c>
    </row>
    <row r="106" spans="1:13" ht="19.5">
      <c r="A106" s="1">
        <v>63</v>
      </c>
      <c r="B106" s="2" t="s">
        <v>85</v>
      </c>
      <c r="C106" s="1" t="s">
        <v>86</v>
      </c>
      <c r="D106" s="4">
        <v>17760</v>
      </c>
      <c r="E106" s="63">
        <v>4066</v>
      </c>
      <c r="F106" s="1127" t="s">
        <v>2433</v>
      </c>
      <c r="G106" s="1" t="s">
        <v>45</v>
      </c>
      <c r="H106" s="1"/>
      <c r="I106" s="1"/>
      <c r="J106" s="1"/>
      <c r="K106" s="1"/>
      <c r="L106" s="1"/>
      <c r="M106" s="211"/>
    </row>
    <row r="107" spans="1:13" ht="19.5">
      <c r="A107" s="1">
        <v>64</v>
      </c>
      <c r="B107" s="2" t="s">
        <v>87</v>
      </c>
      <c r="C107" s="1" t="s">
        <v>88</v>
      </c>
      <c r="D107" s="4">
        <v>17788</v>
      </c>
      <c r="E107" s="63">
        <v>8346</v>
      </c>
      <c r="F107" s="1127" t="s">
        <v>2433</v>
      </c>
      <c r="G107" s="1" t="s">
        <v>45</v>
      </c>
      <c r="H107" s="1"/>
      <c r="I107" s="1"/>
      <c r="J107" s="1"/>
      <c r="K107" s="1"/>
      <c r="L107" s="1"/>
      <c r="M107" s="211"/>
    </row>
    <row r="108" spans="1:13" ht="19.5">
      <c r="A108" s="1">
        <v>65</v>
      </c>
      <c r="B108" s="2" t="s">
        <v>89</v>
      </c>
      <c r="C108" s="1" t="s">
        <v>90</v>
      </c>
      <c r="D108" s="4">
        <v>17760</v>
      </c>
      <c r="E108" s="63">
        <v>6992.45</v>
      </c>
      <c r="F108" s="1127" t="s">
        <v>2433</v>
      </c>
      <c r="G108" s="1" t="s">
        <v>45</v>
      </c>
      <c r="H108" s="1"/>
      <c r="I108" s="1"/>
      <c r="J108" s="1"/>
      <c r="K108" s="1"/>
      <c r="L108" s="1"/>
      <c r="M108" s="211"/>
    </row>
    <row r="109" spans="1:13" ht="19.5">
      <c r="A109" s="1">
        <v>66</v>
      </c>
      <c r="B109" s="2" t="s">
        <v>89</v>
      </c>
      <c r="C109" s="1" t="s">
        <v>91</v>
      </c>
      <c r="D109" s="4">
        <v>17760</v>
      </c>
      <c r="E109" s="63">
        <v>6992.45</v>
      </c>
      <c r="F109" s="1127" t="s">
        <v>2433</v>
      </c>
      <c r="G109" s="1" t="s">
        <v>45</v>
      </c>
      <c r="H109" s="1"/>
      <c r="I109" s="1"/>
      <c r="J109" s="1"/>
      <c r="K109" s="1"/>
      <c r="L109" s="1"/>
      <c r="M109" s="211"/>
    </row>
    <row r="110" spans="1:13" ht="19.5">
      <c r="A110" s="1">
        <v>67</v>
      </c>
      <c r="B110" s="2" t="s">
        <v>1217</v>
      </c>
      <c r="C110" s="1" t="s">
        <v>2313</v>
      </c>
      <c r="D110" s="4">
        <v>17788</v>
      </c>
      <c r="E110" s="253">
        <v>3638</v>
      </c>
      <c r="F110" s="1127" t="s">
        <v>2433</v>
      </c>
      <c r="G110" s="1" t="s">
        <v>45</v>
      </c>
      <c r="H110" s="1"/>
      <c r="I110" s="1"/>
      <c r="J110" s="1"/>
      <c r="K110" s="1"/>
      <c r="L110" s="1"/>
      <c r="M110" s="211"/>
    </row>
    <row r="111" spans="1:13" ht="19.5">
      <c r="A111" s="1">
        <v>68</v>
      </c>
      <c r="B111" s="2" t="s">
        <v>92</v>
      </c>
      <c r="C111" s="1" t="s">
        <v>93</v>
      </c>
      <c r="D111" s="4">
        <v>17932</v>
      </c>
      <c r="E111" s="63">
        <v>4600</v>
      </c>
      <c r="F111" s="1127" t="s">
        <v>2433</v>
      </c>
      <c r="G111" s="1" t="s">
        <v>45</v>
      </c>
      <c r="H111" s="1"/>
      <c r="I111" s="1"/>
      <c r="J111" s="1"/>
      <c r="K111" s="1"/>
      <c r="L111" s="1"/>
      <c r="M111" s="211"/>
    </row>
    <row r="112" spans="1:13" ht="19.5">
      <c r="A112" s="1">
        <v>69</v>
      </c>
      <c r="B112" s="2" t="s">
        <v>71</v>
      </c>
      <c r="C112" s="1" t="s">
        <v>94</v>
      </c>
      <c r="D112" s="4">
        <v>17932</v>
      </c>
      <c r="E112" s="63">
        <v>3800</v>
      </c>
      <c r="F112" s="1127" t="s">
        <v>2433</v>
      </c>
      <c r="G112" s="1" t="s">
        <v>45</v>
      </c>
      <c r="H112" s="1"/>
      <c r="I112" s="1"/>
      <c r="J112" s="1"/>
      <c r="K112" s="1"/>
      <c r="L112" s="1"/>
      <c r="M112" s="211"/>
    </row>
    <row r="113" spans="1:13" ht="19.5">
      <c r="A113" s="1">
        <v>70</v>
      </c>
      <c r="B113" s="2" t="s">
        <v>95</v>
      </c>
      <c r="C113" s="1" t="s">
        <v>96</v>
      </c>
      <c r="D113" s="4">
        <v>17932</v>
      </c>
      <c r="E113" s="63">
        <v>850</v>
      </c>
      <c r="F113" s="1127" t="s">
        <v>2433</v>
      </c>
      <c r="G113" s="1" t="s">
        <v>45</v>
      </c>
      <c r="H113" s="1"/>
      <c r="I113" s="1"/>
      <c r="J113" s="1"/>
      <c r="K113" s="1"/>
      <c r="L113" s="1"/>
      <c r="M113" s="211"/>
    </row>
    <row r="114" spans="1:13" ht="19.5">
      <c r="A114" s="1">
        <v>71</v>
      </c>
      <c r="B114" s="2" t="s">
        <v>97</v>
      </c>
      <c r="C114" s="1" t="s">
        <v>98</v>
      </c>
      <c r="D114" s="4">
        <v>18461</v>
      </c>
      <c r="E114" s="63">
        <v>7300</v>
      </c>
      <c r="F114" s="1127" t="s">
        <v>2433</v>
      </c>
      <c r="G114" s="1" t="s">
        <v>45</v>
      </c>
      <c r="H114" s="1"/>
      <c r="I114" s="1"/>
      <c r="J114" s="1"/>
      <c r="K114" s="1"/>
      <c r="L114" s="1"/>
      <c r="M114" s="211"/>
    </row>
    <row r="115" spans="1:13" ht="19.5">
      <c r="A115" s="1">
        <v>72</v>
      </c>
      <c r="B115" s="2" t="s">
        <v>99</v>
      </c>
      <c r="C115" s="1" t="s">
        <v>100</v>
      </c>
      <c r="D115" s="4">
        <v>18851</v>
      </c>
      <c r="E115" s="63">
        <v>7000</v>
      </c>
      <c r="F115" s="1127" t="s">
        <v>2433</v>
      </c>
      <c r="G115" s="1" t="s">
        <v>45</v>
      </c>
      <c r="H115" s="1"/>
      <c r="I115" s="1"/>
      <c r="J115" s="1"/>
      <c r="K115" s="1"/>
      <c r="L115" s="1"/>
      <c r="M115" s="211"/>
    </row>
    <row r="116" spans="1:13" ht="19.5">
      <c r="A116" s="1">
        <v>73</v>
      </c>
      <c r="B116" s="2" t="s">
        <v>99</v>
      </c>
      <c r="C116" s="1" t="s">
        <v>101</v>
      </c>
      <c r="D116" s="4">
        <v>18851</v>
      </c>
      <c r="E116" s="63">
        <v>8000</v>
      </c>
      <c r="F116" s="1127" t="s">
        <v>2433</v>
      </c>
      <c r="G116" s="1" t="s">
        <v>45</v>
      </c>
      <c r="H116" s="1"/>
      <c r="I116" s="1"/>
      <c r="J116" s="1"/>
      <c r="K116" s="1"/>
      <c r="L116" s="1"/>
      <c r="M116" s="211"/>
    </row>
    <row r="117" spans="1:13" ht="19.5">
      <c r="A117" s="1">
        <v>74</v>
      </c>
      <c r="B117" s="2" t="s">
        <v>99</v>
      </c>
      <c r="C117" s="1" t="s">
        <v>102</v>
      </c>
      <c r="D117" s="4">
        <v>18851</v>
      </c>
      <c r="E117" s="63">
        <v>8000</v>
      </c>
      <c r="F117" s="1127" t="s">
        <v>2433</v>
      </c>
      <c r="G117" s="1" t="s">
        <v>45</v>
      </c>
      <c r="H117" s="1"/>
      <c r="I117" s="1"/>
      <c r="J117" s="1"/>
      <c r="K117" s="1"/>
      <c r="L117" s="1"/>
      <c r="M117" s="211"/>
    </row>
    <row r="118" spans="1:13" ht="19.5">
      <c r="A118" s="1">
        <v>75</v>
      </c>
      <c r="B118" s="2" t="s">
        <v>99</v>
      </c>
      <c r="C118" s="1" t="s">
        <v>103</v>
      </c>
      <c r="D118" s="4">
        <v>18851</v>
      </c>
      <c r="E118" s="63">
        <v>8000</v>
      </c>
      <c r="F118" s="1127" t="s">
        <v>2433</v>
      </c>
      <c r="G118" s="1" t="s">
        <v>45</v>
      </c>
      <c r="H118" s="1"/>
      <c r="I118" s="1"/>
      <c r="J118" s="1"/>
      <c r="K118" s="1"/>
      <c r="L118" s="1"/>
      <c r="M118" s="211"/>
    </row>
    <row r="119" spans="1:13" ht="19.5">
      <c r="A119" s="1">
        <v>76</v>
      </c>
      <c r="B119" s="2" t="s">
        <v>99</v>
      </c>
      <c r="C119" s="1" t="s">
        <v>104</v>
      </c>
      <c r="D119" s="4">
        <v>18851</v>
      </c>
      <c r="E119" s="63">
        <v>8000</v>
      </c>
      <c r="F119" s="1127" t="s">
        <v>2433</v>
      </c>
      <c r="G119" s="1" t="s">
        <v>45</v>
      </c>
      <c r="H119" s="1"/>
      <c r="I119" s="1"/>
      <c r="J119" s="1"/>
      <c r="K119" s="1"/>
      <c r="L119" s="1"/>
      <c r="M119" s="211"/>
    </row>
    <row r="120" spans="1:13" ht="19.5">
      <c r="A120" s="1">
        <v>77</v>
      </c>
      <c r="B120" s="2" t="s">
        <v>71</v>
      </c>
      <c r="C120" s="1" t="s">
        <v>105</v>
      </c>
      <c r="D120" s="4">
        <v>18851</v>
      </c>
      <c r="E120" s="63">
        <v>4000</v>
      </c>
      <c r="F120" s="1127" t="s">
        <v>2433</v>
      </c>
      <c r="G120" s="1" t="s">
        <v>45</v>
      </c>
      <c r="H120" s="1"/>
      <c r="I120" s="1"/>
      <c r="J120" s="1"/>
      <c r="K120" s="1"/>
      <c r="L120" s="1"/>
      <c r="M120" s="211"/>
    </row>
    <row r="121" spans="1:13" ht="19.5">
      <c r="A121" s="1">
        <v>78</v>
      </c>
      <c r="B121" s="2" t="s">
        <v>71</v>
      </c>
      <c r="C121" s="1" t="s">
        <v>106</v>
      </c>
      <c r="D121" s="4">
        <v>18851</v>
      </c>
      <c r="E121" s="63">
        <v>4000</v>
      </c>
      <c r="F121" s="1127" t="s">
        <v>2433</v>
      </c>
      <c r="G121" s="1" t="s">
        <v>45</v>
      </c>
      <c r="H121" s="1"/>
      <c r="I121" s="1"/>
      <c r="J121" s="1"/>
      <c r="K121" s="1"/>
      <c r="L121" s="1"/>
      <c r="M121" s="211"/>
    </row>
    <row r="122" spans="1:13" ht="19.5">
      <c r="A122" s="1">
        <v>79</v>
      </c>
      <c r="B122" s="2" t="s">
        <v>71</v>
      </c>
      <c r="C122" s="1" t="s">
        <v>107</v>
      </c>
      <c r="D122" s="4">
        <v>18851</v>
      </c>
      <c r="E122" s="63">
        <v>4000</v>
      </c>
      <c r="F122" s="1127" t="s">
        <v>2433</v>
      </c>
      <c r="G122" s="1" t="s">
        <v>45</v>
      </c>
      <c r="H122" s="1"/>
      <c r="I122" s="1"/>
      <c r="J122" s="1"/>
      <c r="K122" s="1"/>
      <c r="L122" s="1"/>
      <c r="M122" s="211"/>
    </row>
    <row r="123" spans="1:13" ht="19.5">
      <c r="A123" s="1">
        <v>80</v>
      </c>
      <c r="B123" s="2" t="s">
        <v>71</v>
      </c>
      <c r="C123" s="1" t="s">
        <v>108</v>
      </c>
      <c r="D123" s="4">
        <v>18851</v>
      </c>
      <c r="E123" s="63">
        <v>4000</v>
      </c>
      <c r="F123" s="1127" t="s">
        <v>2433</v>
      </c>
      <c r="G123" s="1" t="s">
        <v>45</v>
      </c>
      <c r="H123" s="1"/>
      <c r="I123" s="1"/>
      <c r="J123" s="1"/>
      <c r="K123" s="1"/>
      <c r="L123" s="1"/>
      <c r="M123" s="211"/>
    </row>
    <row r="124" spans="1:13" ht="19.5">
      <c r="A124" s="1">
        <v>81</v>
      </c>
      <c r="B124" s="2" t="s">
        <v>99</v>
      </c>
      <c r="C124" s="1" t="s">
        <v>109</v>
      </c>
      <c r="D124" s="4">
        <v>19132</v>
      </c>
      <c r="E124" s="63">
        <v>2650</v>
      </c>
      <c r="F124" s="1127" t="s">
        <v>2433</v>
      </c>
      <c r="G124" s="1" t="s">
        <v>45</v>
      </c>
      <c r="H124" s="1"/>
      <c r="I124" s="1"/>
      <c r="J124" s="1"/>
      <c r="K124" s="1"/>
      <c r="L124" s="1"/>
      <c r="M124" s="211"/>
    </row>
    <row r="125" spans="1:13" ht="19.5">
      <c r="A125" s="1">
        <v>82</v>
      </c>
      <c r="B125" s="2" t="s">
        <v>99</v>
      </c>
      <c r="C125" s="1" t="s">
        <v>110</v>
      </c>
      <c r="D125" s="4">
        <v>19132</v>
      </c>
      <c r="E125" s="63">
        <v>2650</v>
      </c>
      <c r="F125" s="1127" t="s">
        <v>2433</v>
      </c>
      <c r="G125" s="1" t="s">
        <v>45</v>
      </c>
      <c r="H125" s="1"/>
      <c r="I125" s="1"/>
      <c r="J125" s="1"/>
      <c r="K125" s="1"/>
      <c r="L125" s="1"/>
      <c r="M125" s="211"/>
    </row>
    <row r="126" spans="1:13" ht="19.5">
      <c r="A126" s="1">
        <v>83</v>
      </c>
      <c r="B126" s="2" t="s">
        <v>99</v>
      </c>
      <c r="C126" s="1" t="s">
        <v>111</v>
      </c>
      <c r="D126" s="4">
        <v>19132</v>
      </c>
      <c r="E126" s="63">
        <v>2650</v>
      </c>
      <c r="F126" s="1127" t="s">
        <v>2433</v>
      </c>
      <c r="G126" s="1" t="s">
        <v>45</v>
      </c>
      <c r="H126" s="1"/>
      <c r="I126" s="1"/>
      <c r="J126" s="1"/>
      <c r="K126" s="1"/>
      <c r="L126" s="1"/>
      <c r="M126" s="211"/>
    </row>
    <row r="127" spans="1:13" ht="19.5">
      <c r="A127" s="1">
        <v>84</v>
      </c>
      <c r="B127" s="2" t="s">
        <v>99</v>
      </c>
      <c r="C127" s="1" t="s">
        <v>112</v>
      </c>
      <c r="D127" s="4">
        <v>19132</v>
      </c>
      <c r="E127" s="63">
        <v>2650</v>
      </c>
      <c r="F127" s="1127" t="s">
        <v>2433</v>
      </c>
      <c r="G127" s="1" t="s">
        <v>45</v>
      </c>
      <c r="H127" s="1"/>
      <c r="I127" s="1"/>
      <c r="J127" s="1"/>
      <c r="K127" s="1"/>
      <c r="L127" s="1"/>
      <c r="M127" s="211"/>
    </row>
    <row r="128" spans="1:13" ht="19.5">
      <c r="A128" s="1">
        <v>85</v>
      </c>
      <c r="B128" s="2" t="s">
        <v>99</v>
      </c>
      <c r="C128" s="1" t="s">
        <v>113</v>
      </c>
      <c r="D128" s="4">
        <v>19132</v>
      </c>
      <c r="E128" s="63">
        <v>2650</v>
      </c>
      <c r="F128" s="1127" t="s">
        <v>2433</v>
      </c>
      <c r="G128" s="1" t="s">
        <v>45</v>
      </c>
      <c r="H128" s="1"/>
      <c r="I128" s="1"/>
      <c r="J128" s="1"/>
      <c r="K128" s="1"/>
      <c r="L128" s="1"/>
      <c r="M128" s="211"/>
    </row>
    <row r="129" spans="1:13" ht="19.5">
      <c r="A129" s="1">
        <v>86</v>
      </c>
      <c r="B129" s="2" t="s">
        <v>99</v>
      </c>
      <c r="C129" s="1" t="s">
        <v>114</v>
      </c>
      <c r="D129" s="4">
        <v>19132</v>
      </c>
      <c r="E129" s="63">
        <v>2650</v>
      </c>
      <c r="F129" s="1127" t="s">
        <v>2433</v>
      </c>
      <c r="G129" s="1" t="s">
        <v>45</v>
      </c>
      <c r="H129" s="1"/>
      <c r="I129" s="1"/>
      <c r="J129" s="1"/>
      <c r="K129" s="1"/>
      <c r="L129" s="1"/>
      <c r="M129" s="211"/>
    </row>
    <row r="130" spans="1:13" ht="19.5">
      <c r="A130" s="1">
        <v>87</v>
      </c>
      <c r="B130" s="2" t="s">
        <v>99</v>
      </c>
      <c r="C130" s="1" t="s">
        <v>115</v>
      </c>
      <c r="D130" s="4">
        <v>19132</v>
      </c>
      <c r="E130" s="63">
        <v>2650</v>
      </c>
      <c r="F130" s="1127" t="s">
        <v>2433</v>
      </c>
      <c r="G130" s="1" t="s">
        <v>45</v>
      </c>
      <c r="H130" s="1"/>
      <c r="I130" s="1"/>
      <c r="J130" s="1"/>
      <c r="K130" s="1"/>
      <c r="L130" s="1"/>
      <c r="M130" s="211"/>
    </row>
    <row r="131" spans="1:13" ht="19.5">
      <c r="A131" s="1">
        <v>88</v>
      </c>
      <c r="B131" s="2" t="s">
        <v>99</v>
      </c>
      <c r="C131" s="1" t="s">
        <v>116</v>
      </c>
      <c r="D131" s="4">
        <v>19132</v>
      </c>
      <c r="E131" s="63">
        <v>2650</v>
      </c>
      <c r="F131" s="1127" t="s">
        <v>2433</v>
      </c>
      <c r="G131" s="1" t="s">
        <v>45</v>
      </c>
      <c r="H131" s="1"/>
      <c r="I131" s="1"/>
      <c r="J131" s="1"/>
      <c r="K131" s="1"/>
      <c r="L131" s="1"/>
      <c r="M131" s="211"/>
    </row>
    <row r="132" spans="1:13" ht="19.5">
      <c r="A132" s="1">
        <v>89</v>
      </c>
      <c r="B132" s="2" t="s">
        <v>99</v>
      </c>
      <c r="C132" s="1" t="s">
        <v>117</v>
      </c>
      <c r="D132" s="4">
        <v>19132</v>
      </c>
      <c r="E132" s="63">
        <v>2650</v>
      </c>
      <c r="F132" s="1127" t="s">
        <v>2433</v>
      </c>
      <c r="G132" s="1" t="s">
        <v>45</v>
      </c>
      <c r="H132" s="1"/>
      <c r="I132" s="1"/>
      <c r="J132" s="1"/>
      <c r="K132" s="1"/>
      <c r="L132" s="1"/>
      <c r="M132" s="211"/>
    </row>
    <row r="133" spans="1:13" ht="19.5">
      <c r="A133" s="1">
        <v>90</v>
      </c>
      <c r="B133" s="2" t="s">
        <v>71</v>
      </c>
      <c r="C133" s="1" t="s">
        <v>118</v>
      </c>
      <c r="D133" s="4">
        <v>19132</v>
      </c>
      <c r="E133" s="63">
        <v>625</v>
      </c>
      <c r="F133" s="1127" t="s">
        <v>2433</v>
      </c>
      <c r="G133" s="1" t="s">
        <v>45</v>
      </c>
      <c r="H133" s="1"/>
      <c r="I133" s="1"/>
      <c r="J133" s="1"/>
      <c r="K133" s="1"/>
      <c r="L133" s="1"/>
      <c r="M133" s="211"/>
    </row>
    <row r="134" spans="1:13" ht="19.5">
      <c r="A134" s="1">
        <v>91</v>
      </c>
      <c r="B134" s="2" t="s">
        <v>997</v>
      </c>
      <c r="C134" s="1" t="s">
        <v>998</v>
      </c>
      <c r="D134" s="4">
        <v>19041</v>
      </c>
      <c r="E134" s="1077">
        <v>4550</v>
      </c>
      <c r="F134" s="939" t="s">
        <v>999</v>
      </c>
      <c r="G134" s="1" t="s">
        <v>45</v>
      </c>
      <c r="H134" s="1"/>
      <c r="I134" s="1"/>
      <c r="J134" s="1"/>
      <c r="K134" s="1"/>
      <c r="L134" s="1"/>
      <c r="M134" s="211"/>
    </row>
    <row r="135" spans="1:13" ht="19.5">
      <c r="A135" s="1">
        <v>92</v>
      </c>
      <c r="B135" s="2" t="s">
        <v>997</v>
      </c>
      <c r="C135" s="1" t="s">
        <v>1000</v>
      </c>
      <c r="D135" s="4">
        <v>19041</v>
      </c>
      <c r="E135" s="1077">
        <v>4550</v>
      </c>
      <c r="F135" s="939" t="s">
        <v>999</v>
      </c>
      <c r="G135" s="1" t="s">
        <v>45</v>
      </c>
      <c r="H135" s="1"/>
      <c r="I135" s="1"/>
      <c r="J135" s="1"/>
      <c r="K135" s="1"/>
      <c r="L135" s="1"/>
      <c r="M135" s="211"/>
    </row>
    <row r="136" spans="1:13" ht="19.5">
      <c r="A136" s="1">
        <v>93</v>
      </c>
      <c r="B136" s="2" t="s">
        <v>997</v>
      </c>
      <c r="C136" s="1" t="s">
        <v>1001</v>
      </c>
      <c r="D136" s="4">
        <v>19041</v>
      </c>
      <c r="E136" s="1077">
        <v>4550</v>
      </c>
      <c r="F136" s="939" t="s">
        <v>999</v>
      </c>
      <c r="G136" s="1" t="s">
        <v>45</v>
      </c>
      <c r="H136" s="1"/>
      <c r="I136" s="1"/>
      <c r="J136" s="1"/>
      <c r="K136" s="1"/>
      <c r="L136" s="1"/>
      <c r="M136" s="211"/>
    </row>
    <row r="137" spans="1:13" ht="19.5">
      <c r="A137" s="1">
        <v>94</v>
      </c>
      <c r="B137" s="2" t="s">
        <v>997</v>
      </c>
      <c r="C137" s="1" t="s">
        <v>1002</v>
      </c>
      <c r="D137" s="4">
        <v>19041</v>
      </c>
      <c r="E137" s="1077">
        <v>4550</v>
      </c>
      <c r="F137" s="939" t="s">
        <v>999</v>
      </c>
      <c r="G137" s="1" t="s">
        <v>45</v>
      </c>
      <c r="H137" s="1"/>
      <c r="I137" s="1"/>
      <c r="J137" s="1"/>
      <c r="K137" s="1"/>
      <c r="L137" s="1"/>
      <c r="M137" s="211"/>
    </row>
    <row r="138" spans="1:13" ht="19.5">
      <c r="A138" s="1">
        <v>95</v>
      </c>
      <c r="B138" s="2" t="s">
        <v>997</v>
      </c>
      <c r="C138" s="1" t="s">
        <v>1003</v>
      </c>
      <c r="D138" s="4">
        <v>19041</v>
      </c>
      <c r="E138" s="1077">
        <v>4550</v>
      </c>
      <c r="F138" s="939" t="s">
        <v>999</v>
      </c>
      <c r="G138" s="1" t="s">
        <v>45</v>
      </c>
      <c r="H138" s="1"/>
      <c r="I138" s="1"/>
      <c r="J138" s="1"/>
      <c r="K138" s="1"/>
      <c r="L138" s="1"/>
      <c r="M138" s="211"/>
    </row>
    <row r="139" spans="1:13" ht="19.5">
      <c r="A139" s="1">
        <v>96</v>
      </c>
      <c r="B139" s="2" t="s">
        <v>997</v>
      </c>
      <c r="C139" s="1" t="s">
        <v>1004</v>
      </c>
      <c r="D139" s="4">
        <v>19041</v>
      </c>
      <c r="E139" s="1077">
        <v>4550</v>
      </c>
      <c r="F139" s="939" t="s">
        <v>999</v>
      </c>
      <c r="G139" s="1" t="s">
        <v>45</v>
      </c>
      <c r="H139" s="1"/>
      <c r="I139" s="1"/>
      <c r="J139" s="1"/>
      <c r="K139" s="1"/>
      <c r="L139" s="1"/>
      <c r="M139" s="211"/>
    </row>
    <row r="140" spans="1:13" ht="19.5">
      <c r="A140" s="1">
        <v>97</v>
      </c>
      <c r="B140" s="2" t="s">
        <v>997</v>
      </c>
      <c r="C140" s="1" t="s">
        <v>1005</v>
      </c>
      <c r="D140" s="4">
        <v>19041</v>
      </c>
      <c r="E140" s="1077">
        <v>4550</v>
      </c>
      <c r="F140" s="939" t="s">
        <v>999</v>
      </c>
      <c r="G140" s="1" t="s">
        <v>45</v>
      </c>
      <c r="H140" s="1"/>
      <c r="I140" s="1"/>
      <c r="J140" s="1"/>
      <c r="K140" s="1"/>
      <c r="L140" s="1"/>
      <c r="M140" s="211"/>
    </row>
    <row r="141" spans="1:13" ht="19.5">
      <c r="A141" s="1">
        <v>98</v>
      </c>
      <c r="B141" s="2" t="s">
        <v>997</v>
      </c>
      <c r="C141" s="1" t="s">
        <v>1006</v>
      </c>
      <c r="D141" s="4">
        <v>19041</v>
      </c>
      <c r="E141" s="1077">
        <v>4550</v>
      </c>
      <c r="F141" s="939" t="s">
        <v>999</v>
      </c>
      <c r="G141" s="1" t="s">
        <v>45</v>
      </c>
      <c r="H141" s="1"/>
      <c r="I141" s="1"/>
      <c r="J141" s="1"/>
      <c r="K141" s="1"/>
      <c r="L141" s="1"/>
      <c r="M141" s="211"/>
    </row>
    <row r="142" spans="1:13" ht="19.5">
      <c r="A142" s="1">
        <v>99</v>
      </c>
      <c r="B142" s="2" t="s">
        <v>997</v>
      </c>
      <c r="C142" s="1" t="s">
        <v>1007</v>
      </c>
      <c r="D142" s="4">
        <v>19041</v>
      </c>
      <c r="E142" s="1077">
        <v>4550</v>
      </c>
      <c r="F142" s="939" t="s">
        <v>999</v>
      </c>
      <c r="G142" s="1" t="s">
        <v>45</v>
      </c>
      <c r="H142" s="1"/>
      <c r="I142" s="1"/>
      <c r="J142" s="1"/>
      <c r="K142" s="1"/>
      <c r="L142" s="1"/>
      <c r="M142" s="211"/>
    </row>
    <row r="143" spans="1:13" ht="19.5">
      <c r="A143" s="1">
        <v>100</v>
      </c>
      <c r="B143" s="2" t="s">
        <v>997</v>
      </c>
      <c r="C143" s="1" t="s">
        <v>1008</v>
      </c>
      <c r="D143" s="4">
        <v>19041</v>
      </c>
      <c r="E143" s="1077">
        <v>4550</v>
      </c>
      <c r="F143" s="939" t="s">
        <v>999</v>
      </c>
      <c r="G143" s="1" t="s">
        <v>45</v>
      </c>
      <c r="H143" s="1"/>
      <c r="I143" s="1"/>
      <c r="J143" s="1"/>
      <c r="K143" s="1"/>
      <c r="L143" s="1"/>
      <c r="M143" s="211"/>
    </row>
    <row r="144" spans="1:13" ht="19.5">
      <c r="A144" s="1">
        <v>101</v>
      </c>
      <c r="B144" s="2" t="s">
        <v>997</v>
      </c>
      <c r="C144" s="1" t="s">
        <v>1009</v>
      </c>
      <c r="D144" s="4">
        <v>19041</v>
      </c>
      <c r="E144" s="1077">
        <v>4550</v>
      </c>
      <c r="F144" s="939" t="s">
        <v>999</v>
      </c>
      <c r="G144" s="1" t="s">
        <v>45</v>
      </c>
      <c r="H144" s="1"/>
      <c r="I144" s="1"/>
      <c r="J144" s="1"/>
      <c r="K144" s="1"/>
      <c r="L144" s="1"/>
      <c r="M144" s="211"/>
    </row>
    <row r="145" spans="1:13" ht="19.5">
      <c r="A145" s="1">
        <v>102</v>
      </c>
      <c r="B145" s="2" t="s">
        <v>1010</v>
      </c>
      <c r="C145" s="1" t="s">
        <v>1011</v>
      </c>
      <c r="D145" s="4">
        <v>19041</v>
      </c>
      <c r="E145" s="1077">
        <v>2170</v>
      </c>
      <c r="F145" s="939" t="s">
        <v>999</v>
      </c>
      <c r="G145" s="1" t="s">
        <v>45</v>
      </c>
      <c r="H145" s="1"/>
      <c r="I145" s="1"/>
      <c r="J145" s="1"/>
      <c r="K145" s="1"/>
      <c r="L145" s="1"/>
      <c r="M145" s="211"/>
    </row>
    <row r="146" spans="1:13" ht="19.5">
      <c r="A146" s="1">
        <v>103</v>
      </c>
      <c r="B146" s="2" t="s">
        <v>1010</v>
      </c>
      <c r="C146" s="1" t="s">
        <v>1012</v>
      </c>
      <c r="D146" s="4">
        <v>19041</v>
      </c>
      <c r="E146" s="1077">
        <v>2170</v>
      </c>
      <c r="F146" s="939" t="s">
        <v>999</v>
      </c>
      <c r="G146" s="1" t="s">
        <v>45</v>
      </c>
      <c r="H146" s="1"/>
      <c r="I146" s="1"/>
      <c r="J146" s="1"/>
      <c r="K146" s="1"/>
      <c r="L146" s="1"/>
      <c r="M146" s="211"/>
    </row>
    <row r="147" spans="1:13" ht="19.5">
      <c r="A147" s="1">
        <v>104</v>
      </c>
      <c r="B147" s="2" t="s">
        <v>1010</v>
      </c>
      <c r="C147" s="1" t="s">
        <v>1013</v>
      </c>
      <c r="D147" s="4">
        <v>19041</v>
      </c>
      <c r="E147" s="1077">
        <v>2170</v>
      </c>
      <c r="F147" s="939" t="s">
        <v>999</v>
      </c>
      <c r="G147" s="1" t="s">
        <v>45</v>
      </c>
      <c r="H147" s="1"/>
      <c r="I147" s="1"/>
      <c r="J147" s="1"/>
      <c r="K147" s="1"/>
      <c r="L147" s="1"/>
      <c r="M147" s="211" t="s">
        <v>3453</v>
      </c>
    </row>
    <row r="148" spans="1:13" ht="19.5">
      <c r="A148" s="1">
        <v>105</v>
      </c>
      <c r="B148" s="2" t="s">
        <v>1010</v>
      </c>
      <c r="C148" s="1" t="s">
        <v>1014</v>
      </c>
      <c r="D148" s="4">
        <v>19041</v>
      </c>
      <c r="E148" s="1077">
        <v>2170</v>
      </c>
      <c r="F148" s="939" t="s">
        <v>999</v>
      </c>
      <c r="G148" s="1" t="s">
        <v>45</v>
      </c>
      <c r="H148" s="1"/>
      <c r="I148" s="1"/>
      <c r="J148" s="1"/>
      <c r="K148" s="1"/>
      <c r="L148" s="1"/>
      <c r="M148" s="211"/>
    </row>
    <row r="149" spans="1:13" ht="19.5">
      <c r="A149" s="1261">
        <v>106</v>
      </c>
      <c r="B149" s="2" t="s">
        <v>1015</v>
      </c>
      <c r="C149" s="1261" t="s">
        <v>1016</v>
      </c>
      <c r="D149" s="4">
        <v>19041</v>
      </c>
      <c r="E149" s="1259">
        <v>4130</v>
      </c>
      <c r="F149" s="939" t="s">
        <v>999</v>
      </c>
      <c r="G149" s="1" t="s">
        <v>45</v>
      </c>
      <c r="H149" s="1"/>
      <c r="I149" s="1"/>
      <c r="J149" s="1"/>
      <c r="K149" s="1"/>
      <c r="L149" s="1"/>
      <c r="M149" s="211" t="s">
        <v>3453</v>
      </c>
    </row>
    <row r="150" spans="1:13" ht="19.5">
      <c r="A150" s="1262"/>
      <c r="B150" s="2" t="s">
        <v>1020</v>
      </c>
      <c r="C150" s="1262"/>
      <c r="D150" s="4">
        <v>19041</v>
      </c>
      <c r="E150" s="1260"/>
      <c r="F150" s="939" t="s">
        <v>999</v>
      </c>
      <c r="G150" s="1" t="s">
        <v>45</v>
      </c>
      <c r="H150" s="1"/>
      <c r="I150" s="1"/>
      <c r="J150" s="1"/>
      <c r="K150" s="1"/>
      <c r="L150" s="1"/>
      <c r="M150" s="211" t="s">
        <v>3453</v>
      </c>
    </row>
    <row r="151" spans="1:13" ht="19.5">
      <c r="A151" s="1261">
        <v>107</v>
      </c>
      <c r="B151" s="2" t="s">
        <v>1015</v>
      </c>
      <c r="C151" s="1261" t="s">
        <v>1017</v>
      </c>
      <c r="D151" s="4">
        <v>19041</v>
      </c>
      <c r="E151" s="1259">
        <v>4130</v>
      </c>
      <c r="F151" s="939" t="s">
        <v>999</v>
      </c>
      <c r="G151" s="1" t="s">
        <v>45</v>
      </c>
      <c r="H151" s="1"/>
      <c r="I151" s="1"/>
      <c r="J151" s="1"/>
      <c r="K151" s="1"/>
      <c r="L151" s="1"/>
      <c r="M151" s="211"/>
    </row>
    <row r="152" spans="1:13" ht="19.5">
      <c r="A152" s="1262"/>
      <c r="B152" s="2" t="s">
        <v>1020</v>
      </c>
      <c r="C152" s="1262"/>
      <c r="D152" s="4">
        <v>19041</v>
      </c>
      <c r="E152" s="1260"/>
      <c r="F152" s="939" t="s">
        <v>999</v>
      </c>
      <c r="G152" s="1" t="s">
        <v>45</v>
      </c>
      <c r="H152" s="1"/>
      <c r="I152" s="1"/>
      <c r="J152" s="1"/>
      <c r="K152" s="1"/>
      <c r="L152" s="1"/>
      <c r="M152" s="211"/>
    </row>
    <row r="153" spans="1:13" ht="19.5">
      <c r="A153" s="1261">
        <v>108</v>
      </c>
      <c r="B153" s="2" t="s">
        <v>1015</v>
      </c>
      <c r="C153" s="1261" t="s">
        <v>1018</v>
      </c>
      <c r="D153" s="4">
        <v>19041</v>
      </c>
      <c r="E153" s="1259">
        <v>4130</v>
      </c>
      <c r="F153" s="939" t="s">
        <v>999</v>
      </c>
      <c r="G153" s="1" t="s">
        <v>45</v>
      </c>
      <c r="H153" s="1"/>
      <c r="I153" s="1"/>
      <c r="J153" s="1"/>
      <c r="K153" s="1"/>
      <c r="L153" s="1"/>
      <c r="M153" s="211"/>
    </row>
    <row r="154" spans="1:13" ht="19.5">
      <c r="A154" s="1262"/>
      <c r="B154" s="2" t="s">
        <v>1020</v>
      </c>
      <c r="C154" s="1255"/>
      <c r="D154" s="4">
        <v>19041</v>
      </c>
      <c r="E154" s="1260"/>
      <c r="F154" s="939" t="s">
        <v>999</v>
      </c>
      <c r="G154" s="1" t="s">
        <v>45</v>
      </c>
      <c r="H154" s="1"/>
      <c r="I154" s="1"/>
      <c r="J154" s="1"/>
      <c r="K154" s="1"/>
      <c r="L154" s="1"/>
      <c r="M154" s="211"/>
    </row>
    <row r="155" spans="1:13" ht="19.5">
      <c r="A155" s="1261">
        <v>109</v>
      </c>
      <c r="B155" s="2" t="s">
        <v>1015</v>
      </c>
      <c r="C155" s="1261" t="s">
        <v>1019</v>
      </c>
      <c r="D155" s="4">
        <v>19041</v>
      </c>
      <c r="E155" s="1259">
        <v>4130</v>
      </c>
      <c r="F155" s="939" t="s">
        <v>999</v>
      </c>
      <c r="G155" s="1" t="s">
        <v>45</v>
      </c>
      <c r="H155" s="1"/>
      <c r="I155" s="1"/>
      <c r="J155" s="1"/>
      <c r="K155" s="1"/>
      <c r="L155" s="1"/>
      <c r="M155" s="211"/>
    </row>
    <row r="156" spans="1:13" ht="19.5">
      <c r="A156" s="1262"/>
      <c r="B156" s="2" t="s">
        <v>1020</v>
      </c>
      <c r="C156" s="1255"/>
      <c r="D156" s="4">
        <v>19041</v>
      </c>
      <c r="E156" s="1260"/>
      <c r="F156" s="939" t="s">
        <v>999</v>
      </c>
      <c r="G156" s="1" t="s">
        <v>45</v>
      </c>
      <c r="H156" s="1"/>
      <c r="I156" s="1"/>
      <c r="J156" s="1"/>
      <c r="K156" s="1"/>
      <c r="L156" s="1"/>
      <c r="M156" s="211"/>
    </row>
    <row r="157" spans="1:13" ht="19.5">
      <c r="A157" s="1">
        <v>110</v>
      </c>
      <c r="B157" s="2" t="s">
        <v>1021</v>
      </c>
      <c r="C157" s="1" t="s">
        <v>1022</v>
      </c>
      <c r="D157" s="4">
        <v>19041</v>
      </c>
      <c r="E157" s="1077">
        <v>2520</v>
      </c>
      <c r="F157" s="939" t="s">
        <v>999</v>
      </c>
      <c r="G157" s="1" t="s">
        <v>45</v>
      </c>
      <c r="H157" s="1"/>
      <c r="I157" s="1"/>
      <c r="J157" s="1"/>
      <c r="K157" s="1"/>
      <c r="L157" s="1"/>
      <c r="M157" s="211"/>
    </row>
    <row r="158" spans="1:13" ht="19.5">
      <c r="A158" s="1">
        <v>111</v>
      </c>
      <c r="B158" s="2" t="s">
        <v>1021</v>
      </c>
      <c r="C158" s="1" t="s">
        <v>1023</v>
      </c>
      <c r="D158" s="4">
        <v>19041</v>
      </c>
      <c r="E158" s="1077">
        <v>2520</v>
      </c>
      <c r="F158" s="939" t="s">
        <v>999</v>
      </c>
      <c r="G158" s="1" t="s">
        <v>45</v>
      </c>
      <c r="H158" s="1"/>
      <c r="I158" s="1"/>
      <c r="J158" s="1"/>
      <c r="K158" s="1"/>
      <c r="L158" s="1"/>
      <c r="M158" s="211"/>
    </row>
    <row r="159" spans="1:13" ht="19.5">
      <c r="A159" s="1">
        <v>112</v>
      </c>
      <c r="B159" s="2" t="s">
        <v>1024</v>
      </c>
      <c r="C159" s="1" t="s">
        <v>1025</v>
      </c>
      <c r="D159" s="4">
        <v>19041</v>
      </c>
      <c r="E159" s="1077">
        <v>3290</v>
      </c>
      <c r="F159" s="939" t="s">
        <v>999</v>
      </c>
      <c r="G159" s="1" t="s">
        <v>45</v>
      </c>
      <c r="H159" s="1"/>
      <c r="I159" s="1"/>
      <c r="J159" s="1"/>
      <c r="K159" s="1"/>
      <c r="L159" s="1"/>
      <c r="M159" s="211"/>
    </row>
    <row r="160" spans="1:13" ht="19.5">
      <c r="A160" s="1">
        <v>113</v>
      </c>
      <c r="B160" s="2" t="s">
        <v>1026</v>
      </c>
      <c r="C160" s="1" t="s">
        <v>1027</v>
      </c>
      <c r="D160" s="4">
        <v>19041</v>
      </c>
      <c r="E160" s="1077">
        <v>3360</v>
      </c>
      <c r="F160" s="939" t="s">
        <v>999</v>
      </c>
      <c r="G160" s="1" t="s">
        <v>45</v>
      </c>
      <c r="H160" s="1"/>
      <c r="I160" s="1"/>
      <c r="J160" s="1"/>
      <c r="K160" s="1"/>
      <c r="L160" s="1"/>
      <c r="M160" s="211"/>
    </row>
    <row r="161" spans="1:13" ht="19.5">
      <c r="A161" s="1">
        <v>114</v>
      </c>
      <c r="B161" s="2" t="s">
        <v>1028</v>
      </c>
      <c r="C161" s="1" t="s">
        <v>1029</v>
      </c>
      <c r="D161" s="4">
        <v>19041</v>
      </c>
      <c r="E161" s="1077">
        <v>2170</v>
      </c>
      <c r="F161" s="939" t="s">
        <v>999</v>
      </c>
      <c r="G161" s="1" t="s">
        <v>45</v>
      </c>
      <c r="H161" s="1"/>
      <c r="I161" s="1"/>
      <c r="J161" s="1"/>
      <c r="K161" s="1"/>
      <c r="L161" s="1"/>
      <c r="M161" s="211"/>
    </row>
    <row r="162" spans="1:13" ht="19.5">
      <c r="A162" s="1">
        <v>115</v>
      </c>
      <c r="B162" s="2" t="s">
        <v>1028</v>
      </c>
      <c r="C162" s="1" t="s">
        <v>1030</v>
      </c>
      <c r="D162" s="4">
        <v>19041</v>
      </c>
      <c r="E162" s="1077">
        <v>2170</v>
      </c>
      <c r="F162" s="939" t="s">
        <v>999</v>
      </c>
      <c r="G162" s="1" t="s">
        <v>45</v>
      </c>
      <c r="H162" s="1"/>
      <c r="I162" s="1"/>
      <c r="J162" s="1"/>
      <c r="K162" s="1"/>
      <c r="L162" s="1"/>
      <c r="M162" s="211"/>
    </row>
    <row r="163" spans="1:13" ht="19.5">
      <c r="A163" s="1">
        <v>116</v>
      </c>
      <c r="B163" s="2" t="s">
        <v>1028</v>
      </c>
      <c r="C163" s="1" t="s">
        <v>1031</v>
      </c>
      <c r="D163" s="4">
        <v>19041</v>
      </c>
      <c r="E163" s="1077">
        <v>2170</v>
      </c>
      <c r="F163" s="939" t="s">
        <v>999</v>
      </c>
      <c r="G163" s="1" t="s">
        <v>45</v>
      </c>
      <c r="H163" s="1"/>
      <c r="I163" s="1"/>
      <c r="J163" s="1"/>
      <c r="K163" s="1"/>
      <c r="L163" s="1"/>
      <c r="M163" s="211"/>
    </row>
    <row r="164" spans="1:13" ht="19.5">
      <c r="A164" s="1">
        <v>117</v>
      </c>
      <c r="B164" s="2" t="s">
        <v>1028</v>
      </c>
      <c r="C164" s="1" t="s">
        <v>1032</v>
      </c>
      <c r="D164" s="4">
        <v>19041</v>
      </c>
      <c r="E164" s="1077">
        <v>2170</v>
      </c>
      <c r="F164" s="939" t="s">
        <v>999</v>
      </c>
      <c r="G164" s="1" t="s">
        <v>45</v>
      </c>
      <c r="H164" s="1"/>
      <c r="I164" s="1"/>
      <c r="J164" s="1"/>
      <c r="K164" s="1"/>
      <c r="L164" s="1"/>
      <c r="M164" s="211"/>
    </row>
    <row r="165" spans="1:13" ht="19.5">
      <c r="A165" s="1">
        <v>118</v>
      </c>
      <c r="B165" s="2" t="s">
        <v>1028</v>
      </c>
      <c r="C165" s="1" t="s">
        <v>1033</v>
      </c>
      <c r="D165" s="4">
        <v>19041</v>
      </c>
      <c r="E165" s="1077">
        <v>2170</v>
      </c>
      <c r="F165" s="939" t="s">
        <v>999</v>
      </c>
      <c r="G165" s="1" t="s">
        <v>45</v>
      </c>
      <c r="H165" s="1"/>
      <c r="I165" s="1"/>
      <c r="J165" s="1"/>
      <c r="K165" s="1"/>
      <c r="L165" s="1"/>
      <c r="M165" s="211"/>
    </row>
    <row r="166" spans="1:13" ht="19.5">
      <c r="A166" s="1">
        <v>119</v>
      </c>
      <c r="B166" s="2" t="s">
        <v>1028</v>
      </c>
      <c r="C166" s="1" t="s">
        <v>1034</v>
      </c>
      <c r="D166" s="4">
        <v>19041</v>
      </c>
      <c r="E166" s="1077">
        <v>2170</v>
      </c>
      <c r="F166" s="939" t="s">
        <v>999</v>
      </c>
      <c r="G166" s="1" t="s">
        <v>45</v>
      </c>
      <c r="H166" s="1"/>
      <c r="I166" s="1"/>
      <c r="J166" s="1"/>
      <c r="K166" s="1"/>
      <c r="L166" s="1"/>
      <c r="M166" s="211"/>
    </row>
    <row r="167" spans="1:13" ht="19.5">
      <c r="A167" s="1">
        <v>120</v>
      </c>
      <c r="B167" s="2" t="s">
        <v>1028</v>
      </c>
      <c r="C167" s="1" t="s">
        <v>1035</v>
      </c>
      <c r="D167" s="4">
        <v>19041</v>
      </c>
      <c r="E167" s="1077">
        <v>2170</v>
      </c>
      <c r="F167" s="939" t="s">
        <v>999</v>
      </c>
      <c r="G167" s="1" t="s">
        <v>45</v>
      </c>
      <c r="H167" s="1"/>
      <c r="I167" s="1"/>
      <c r="J167" s="1"/>
      <c r="K167" s="1"/>
      <c r="L167" s="1"/>
      <c r="M167" s="211"/>
    </row>
    <row r="168" spans="1:13" ht="19.5">
      <c r="A168" s="1">
        <v>121</v>
      </c>
      <c r="B168" s="2" t="s">
        <v>1036</v>
      </c>
      <c r="C168" s="1" t="s">
        <v>1037</v>
      </c>
      <c r="D168" s="4">
        <v>19041</v>
      </c>
      <c r="E168" s="1077">
        <v>1750</v>
      </c>
      <c r="F168" s="939" t="s">
        <v>999</v>
      </c>
      <c r="G168" s="1" t="s">
        <v>45</v>
      </c>
      <c r="H168" s="1"/>
      <c r="I168" s="1"/>
      <c r="J168" s="1"/>
      <c r="K168" s="1"/>
      <c r="L168" s="1"/>
      <c r="M168" s="211"/>
    </row>
    <row r="169" spans="1:13" ht="19.5">
      <c r="A169" s="1">
        <v>122</v>
      </c>
      <c r="B169" s="2" t="s">
        <v>1036</v>
      </c>
      <c r="C169" s="1" t="s">
        <v>1038</v>
      </c>
      <c r="D169" s="4">
        <v>19041</v>
      </c>
      <c r="E169" s="1077">
        <v>1750</v>
      </c>
      <c r="F169" s="939" t="s">
        <v>999</v>
      </c>
      <c r="G169" s="1" t="s">
        <v>45</v>
      </c>
      <c r="H169" s="1"/>
      <c r="I169" s="1"/>
      <c r="J169" s="1"/>
      <c r="K169" s="1"/>
      <c r="L169" s="1"/>
      <c r="M169" s="211"/>
    </row>
    <row r="170" spans="1:13" ht="19.5">
      <c r="A170" s="1">
        <v>123</v>
      </c>
      <c r="B170" s="2" t="s">
        <v>1039</v>
      </c>
      <c r="C170" s="1" t="s">
        <v>1040</v>
      </c>
      <c r="D170" s="4">
        <v>19041</v>
      </c>
      <c r="E170" s="1077">
        <v>1750</v>
      </c>
      <c r="F170" s="939" t="s">
        <v>999</v>
      </c>
      <c r="G170" s="1" t="s">
        <v>45</v>
      </c>
      <c r="H170" s="1"/>
      <c r="I170" s="1"/>
      <c r="J170" s="1"/>
      <c r="K170" s="1"/>
      <c r="L170" s="1"/>
      <c r="M170" s="211"/>
    </row>
    <row r="171" spans="1:13" ht="19.5">
      <c r="A171" s="1">
        <v>124</v>
      </c>
      <c r="B171" s="2" t="s">
        <v>1039</v>
      </c>
      <c r="C171" s="1" t="s">
        <v>1041</v>
      </c>
      <c r="D171" s="4">
        <v>19041</v>
      </c>
      <c r="E171" s="1077">
        <v>1750</v>
      </c>
      <c r="F171" s="939" t="s">
        <v>999</v>
      </c>
      <c r="G171" s="1" t="s">
        <v>45</v>
      </c>
      <c r="H171" s="1"/>
      <c r="I171" s="1"/>
      <c r="J171" s="1"/>
      <c r="K171" s="1"/>
      <c r="L171" s="1"/>
      <c r="M171" s="211"/>
    </row>
    <row r="172" spans="1:13" ht="19.5">
      <c r="A172" s="1">
        <v>125</v>
      </c>
      <c r="B172" s="2" t="s">
        <v>1039</v>
      </c>
      <c r="C172" s="1" t="s">
        <v>1042</v>
      </c>
      <c r="D172" s="4">
        <v>19041</v>
      </c>
      <c r="E172" s="1077">
        <v>1750</v>
      </c>
      <c r="F172" s="939" t="s">
        <v>999</v>
      </c>
      <c r="G172" s="1" t="s">
        <v>45</v>
      </c>
      <c r="H172" s="1"/>
      <c r="I172" s="1"/>
      <c r="J172" s="1"/>
      <c r="K172" s="1"/>
      <c r="L172" s="1"/>
      <c r="M172" s="211"/>
    </row>
    <row r="173" spans="1:13" ht="19.5">
      <c r="A173" s="1">
        <v>126</v>
      </c>
      <c r="B173" s="2" t="s">
        <v>1039</v>
      </c>
      <c r="C173" s="1" t="s">
        <v>1043</v>
      </c>
      <c r="D173" s="4">
        <v>19041</v>
      </c>
      <c r="E173" s="1077">
        <v>1750</v>
      </c>
      <c r="F173" s="939" t="s">
        <v>999</v>
      </c>
      <c r="G173" s="1" t="s">
        <v>45</v>
      </c>
      <c r="H173" s="1"/>
      <c r="I173" s="1"/>
      <c r="J173" s="1"/>
      <c r="K173" s="1"/>
      <c r="L173" s="1"/>
      <c r="M173" s="211"/>
    </row>
    <row r="174" spans="1:13" ht="19.5">
      <c r="A174" s="1">
        <v>127</v>
      </c>
      <c r="B174" s="2" t="s">
        <v>1039</v>
      </c>
      <c r="C174" s="1" t="s">
        <v>1044</v>
      </c>
      <c r="D174" s="4">
        <v>19041</v>
      </c>
      <c r="E174" s="1077">
        <v>1750</v>
      </c>
      <c r="F174" s="939" t="s">
        <v>999</v>
      </c>
      <c r="G174" s="1" t="s">
        <v>45</v>
      </c>
      <c r="H174" s="1"/>
      <c r="I174" s="1"/>
      <c r="J174" s="1"/>
      <c r="K174" s="1"/>
      <c r="L174" s="1"/>
      <c r="M174" s="211"/>
    </row>
    <row r="175" spans="1:13" ht="19.5">
      <c r="A175" s="1">
        <v>128</v>
      </c>
      <c r="B175" s="2" t="s">
        <v>1039</v>
      </c>
      <c r="C175" s="1" t="s">
        <v>1045</v>
      </c>
      <c r="D175" s="4">
        <v>19041</v>
      </c>
      <c r="E175" s="1077">
        <v>1750</v>
      </c>
      <c r="F175" s="939" t="s">
        <v>999</v>
      </c>
      <c r="G175" s="1" t="s">
        <v>45</v>
      </c>
      <c r="H175" s="1"/>
      <c r="I175" s="1"/>
      <c r="J175" s="1"/>
      <c r="K175" s="1"/>
      <c r="L175" s="1"/>
      <c r="M175" s="211"/>
    </row>
    <row r="176" spans="1:13" ht="19.5">
      <c r="A176" s="1">
        <v>129</v>
      </c>
      <c r="B176" s="2" t="s">
        <v>1039</v>
      </c>
      <c r="C176" s="1" t="s">
        <v>1046</v>
      </c>
      <c r="D176" s="4">
        <v>19041</v>
      </c>
      <c r="E176" s="1077">
        <v>1750</v>
      </c>
      <c r="F176" s="939" t="s">
        <v>999</v>
      </c>
      <c r="G176" s="1" t="s">
        <v>45</v>
      </c>
      <c r="H176" s="1"/>
      <c r="I176" s="1"/>
      <c r="J176" s="1"/>
      <c r="K176" s="1"/>
      <c r="L176" s="1"/>
      <c r="M176" s="211" t="s">
        <v>3453</v>
      </c>
    </row>
    <row r="177" spans="1:13" ht="19.5">
      <c r="A177" s="1">
        <v>130</v>
      </c>
      <c r="B177" s="2" t="s">
        <v>1039</v>
      </c>
      <c r="C177" s="1" t="s">
        <v>1047</v>
      </c>
      <c r="D177" s="4">
        <v>19041</v>
      </c>
      <c r="E177" s="1077">
        <v>1750</v>
      </c>
      <c r="F177" s="939" t="s">
        <v>999</v>
      </c>
      <c r="G177" s="1" t="s">
        <v>45</v>
      </c>
      <c r="H177" s="1"/>
      <c r="I177" s="1"/>
      <c r="J177" s="1"/>
      <c r="K177" s="1"/>
      <c r="L177" s="1"/>
      <c r="M177" s="211"/>
    </row>
    <row r="178" spans="1:13" ht="19.5">
      <c r="A178" s="1">
        <v>131</v>
      </c>
      <c r="B178" s="2" t="s">
        <v>1039</v>
      </c>
      <c r="C178" s="1" t="s">
        <v>1048</v>
      </c>
      <c r="D178" s="4">
        <v>19041</v>
      </c>
      <c r="E178" s="1077">
        <v>1750</v>
      </c>
      <c r="F178" s="939" t="s">
        <v>999</v>
      </c>
      <c r="G178" s="1" t="s">
        <v>45</v>
      </c>
      <c r="H178" s="1"/>
      <c r="I178" s="1"/>
      <c r="J178" s="1"/>
      <c r="K178" s="1"/>
      <c r="L178" s="1"/>
      <c r="M178" s="211"/>
    </row>
    <row r="179" spans="1:13" ht="19.5">
      <c r="A179" s="1">
        <v>132</v>
      </c>
      <c r="B179" s="2" t="s">
        <v>1039</v>
      </c>
      <c r="C179" s="1" t="s">
        <v>1049</v>
      </c>
      <c r="D179" s="4">
        <v>19041</v>
      </c>
      <c r="E179" s="1077">
        <v>1750</v>
      </c>
      <c r="F179" s="939" t="s">
        <v>999</v>
      </c>
      <c r="G179" s="1" t="s">
        <v>45</v>
      </c>
      <c r="H179" s="1"/>
      <c r="I179" s="1"/>
      <c r="J179" s="1"/>
      <c r="K179" s="1"/>
      <c r="L179" s="1"/>
      <c r="M179" s="211"/>
    </row>
    <row r="180" spans="1:13" ht="19.5">
      <c r="A180" s="1">
        <v>133</v>
      </c>
      <c r="B180" s="2" t="s">
        <v>71</v>
      </c>
      <c r="C180" s="1" t="s">
        <v>119</v>
      </c>
      <c r="D180" s="4">
        <v>19190</v>
      </c>
      <c r="E180" s="187">
        <v>2000</v>
      </c>
      <c r="F180" s="1011" t="s">
        <v>1649</v>
      </c>
      <c r="G180" s="1" t="s">
        <v>45</v>
      </c>
      <c r="H180" s="1"/>
      <c r="I180" s="1"/>
      <c r="J180" s="1"/>
      <c r="K180" s="1"/>
      <c r="L180" s="1"/>
      <c r="M180" s="211" t="s">
        <v>3223</v>
      </c>
    </row>
    <row r="181" spans="1:13" ht="19.5">
      <c r="A181" s="1">
        <v>134</v>
      </c>
      <c r="B181" s="2" t="s">
        <v>71</v>
      </c>
      <c r="C181" s="1" t="s">
        <v>120</v>
      </c>
      <c r="D181" s="4">
        <v>19190</v>
      </c>
      <c r="E181" s="63">
        <v>2000</v>
      </c>
      <c r="F181" s="1127" t="s">
        <v>2433</v>
      </c>
      <c r="G181" s="1" t="s">
        <v>45</v>
      </c>
      <c r="H181" s="1"/>
      <c r="I181" s="1"/>
      <c r="J181" s="1"/>
      <c r="K181" s="1"/>
      <c r="L181" s="1"/>
      <c r="M181" s="211"/>
    </row>
    <row r="182" spans="1:13" ht="19.5">
      <c r="A182" s="1">
        <v>135</v>
      </c>
      <c r="B182" s="2" t="s">
        <v>71</v>
      </c>
      <c r="C182" s="1" t="s">
        <v>121</v>
      </c>
      <c r="D182" s="4">
        <v>19190</v>
      </c>
      <c r="E182" s="63">
        <v>2000</v>
      </c>
      <c r="F182" s="1127" t="s">
        <v>2433</v>
      </c>
      <c r="G182" s="1" t="s">
        <v>45</v>
      </c>
      <c r="H182" s="1"/>
      <c r="I182" s="1"/>
      <c r="J182" s="1"/>
      <c r="K182" s="1"/>
      <c r="L182" s="1"/>
      <c r="M182" s="211"/>
    </row>
    <row r="183" spans="1:13" ht="19.5">
      <c r="A183" s="1">
        <v>136</v>
      </c>
      <c r="B183" s="245" t="s">
        <v>1295</v>
      </c>
      <c r="C183" s="158" t="s">
        <v>1296</v>
      </c>
      <c r="D183" s="4">
        <v>19428</v>
      </c>
      <c r="E183" s="58">
        <v>1600</v>
      </c>
      <c r="F183" s="1131" t="s">
        <v>1265</v>
      </c>
      <c r="G183" s="1" t="s">
        <v>45</v>
      </c>
      <c r="H183" s="1"/>
      <c r="I183" s="1"/>
      <c r="J183" s="1"/>
      <c r="K183" s="1"/>
      <c r="L183" s="1"/>
      <c r="M183" s="211" t="s">
        <v>3179</v>
      </c>
    </row>
    <row r="184" spans="1:13" ht="19.5">
      <c r="A184" s="1">
        <v>137</v>
      </c>
      <c r="B184" s="245" t="s">
        <v>1295</v>
      </c>
      <c r="C184" s="158" t="s">
        <v>1297</v>
      </c>
      <c r="D184" s="4">
        <v>19428</v>
      </c>
      <c r="E184" s="58">
        <v>1600</v>
      </c>
      <c r="F184" s="1131" t="s">
        <v>1265</v>
      </c>
      <c r="G184" s="1" t="s">
        <v>45</v>
      </c>
      <c r="H184" s="1"/>
      <c r="I184" s="1"/>
      <c r="J184" s="1"/>
      <c r="K184" s="1"/>
      <c r="L184" s="1"/>
      <c r="M184" s="211" t="s">
        <v>3170</v>
      </c>
    </row>
    <row r="185" spans="1:13" ht="19.5">
      <c r="A185" s="1">
        <v>138</v>
      </c>
      <c r="B185" s="245" t="s">
        <v>1295</v>
      </c>
      <c r="C185" s="158" t="s">
        <v>1298</v>
      </c>
      <c r="D185" s="4">
        <v>19428</v>
      </c>
      <c r="E185" s="58">
        <v>1600</v>
      </c>
      <c r="F185" s="1131" t="s">
        <v>1265</v>
      </c>
      <c r="G185" s="1" t="s">
        <v>45</v>
      </c>
      <c r="H185" s="1"/>
      <c r="I185" s="1"/>
      <c r="J185" s="1"/>
      <c r="K185" s="1"/>
      <c r="L185" s="1"/>
      <c r="M185" s="211" t="s">
        <v>3179</v>
      </c>
    </row>
    <row r="186" spans="1:13" ht="19.5">
      <c r="A186" s="1">
        <v>139</v>
      </c>
      <c r="B186" s="245" t="s">
        <v>1295</v>
      </c>
      <c r="C186" s="158" t="s">
        <v>1299</v>
      </c>
      <c r="D186" s="4">
        <v>19428</v>
      </c>
      <c r="E186" s="58">
        <v>1600</v>
      </c>
      <c r="F186" s="1131" t="s">
        <v>1265</v>
      </c>
      <c r="G186" s="1" t="s">
        <v>45</v>
      </c>
      <c r="H186" s="1"/>
      <c r="I186" s="1"/>
      <c r="J186" s="1"/>
      <c r="K186" s="1"/>
      <c r="L186" s="1"/>
      <c r="M186" s="211" t="s">
        <v>3179</v>
      </c>
    </row>
    <row r="187" spans="1:13" ht="19.5">
      <c r="A187" s="1">
        <v>140</v>
      </c>
      <c r="B187" s="245" t="s">
        <v>1295</v>
      </c>
      <c r="C187" s="158" t="s">
        <v>1300</v>
      </c>
      <c r="D187" s="4">
        <v>19428</v>
      </c>
      <c r="E187" s="58">
        <v>1600</v>
      </c>
      <c r="F187" s="1131" t="s">
        <v>1265</v>
      </c>
      <c r="G187" s="1" t="s">
        <v>45</v>
      </c>
      <c r="H187" s="1"/>
      <c r="I187" s="1"/>
      <c r="J187" s="1"/>
      <c r="K187" s="1"/>
      <c r="L187" s="1"/>
      <c r="M187" s="211" t="s">
        <v>3170</v>
      </c>
    </row>
    <row r="188" spans="1:13" ht="19.5">
      <c r="A188" s="1">
        <v>141</v>
      </c>
      <c r="B188" s="245" t="s">
        <v>1295</v>
      </c>
      <c r="C188" s="158" t="s">
        <v>1301</v>
      </c>
      <c r="D188" s="4">
        <v>19428</v>
      </c>
      <c r="E188" s="58">
        <v>1600</v>
      </c>
      <c r="F188" s="1131" t="s">
        <v>1265</v>
      </c>
      <c r="G188" s="1" t="s">
        <v>45</v>
      </c>
      <c r="H188" s="1"/>
      <c r="I188" s="1"/>
      <c r="J188" s="1"/>
      <c r="K188" s="1"/>
      <c r="L188" s="1"/>
      <c r="M188" s="211" t="s">
        <v>3179</v>
      </c>
    </row>
    <row r="189" spans="1:13" ht="19.5">
      <c r="A189" s="1">
        <v>142</v>
      </c>
      <c r="B189" s="245" t="s">
        <v>1302</v>
      </c>
      <c r="C189" s="158" t="s">
        <v>1303</v>
      </c>
      <c r="D189" s="4">
        <v>19428</v>
      </c>
      <c r="E189" s="58">
        <v>1450</v>
      </c>
      <c r="F189" s="1131" t="s">
        <v>1265</v>
      </c>
      <c r="G189" s="1" t="s">
        <v>45</v>
      </c>
      <c r="H189" s="1"/>
      <c r="I189" s="1"/>
      <c r="J189" s="1"/>
      <c r="K189" s="1"/>
      <c r="L189" s="1"/>
      <c r="M189" s="211" t="s">
        <v>3170</v>
      </c>
    </row>
    <row r="190" spans="1:13" ht="19.5">
      <c r="A190" s="1">
        <v>143</v>
      </c>
      <c r="B190" s="245" t="s">
        <v>1302</v>
      </c>
      <c r="C190" s="158" t="s">
        <v>1304</v>
      </c>
      <c r="D190" s="4">
        <v>19428</v>
      </c>
      <c r="E190" s="58">
        <v>1450</v>
      </c>
      <c r="F190" s="1131" t="s">
        <v>1265</v>
      </c>
      <c r="G190" s="1" t="s">
        <v>45</v>
      </c>
      <c r="H190" s="1"/>
      <c r="I190" s="1"/>
      <c r="J190" s="1"/>
      <c r="K190" s="1"/>
      <c r="L190" s="1"/>
      <c r="M190" s="211" t="s">
        <v>3170</v>
      </c>
    </row>
    <row r="191" spans="1:13" ht="19.5">
      <c r="A191" s="1">
        <v>144</v>
      </c>
      <c r="B191" s="2" t="s">
        <v>122</v>
      </c>
      <c r="C191" s="1" t="s">
        <v>123</v>
      </c>
      <c r="D191" s="4">
        <v>20612</v>
      </c>
      <c r="E191" s="63">
        <v>6420</v>
      </c>
      <c r="F191" s="1127" t="s">
        <v>2422</v>
      </c>
      <c r="G191" s="1" t="s">
        <v>45</v>
      </c>
      <c r="H191" s="1"/>
      <c r="I191" s="1"/>
      <c r="J191" s="1"/>
      <c r="K191" s="1"/>
      <c r="L191" s="1"/>
      <c r="M191" s="211"/>
    </row>
    <row r="192" spans="1:13" ht="19.5">
      <c r="A192" s="1">
        <v>145</v>
      </c>
      <c r="B192" s="2" t="s">
        <v>122</v>
      </c>
      <c r="C192" s="1" t="s">
        <v>124</v>
      </c>
      <c r="D192" s="4">
        <v>20612</v>
      </c>
      <c r="E192" s="63">
        <v>6420</v>
      </c>
      <c r="F192" s="1127" t="s">
        <v>2422</v>
      </c>
      <c r="G192" s="1" t="s">
        <v>45</v>
      </c>
      <c r="H192" s="1"/>
      <c r="I192" s="1"/>
      <c r="J192" s="1"/>
      <c r="K192" s="1"/>
      <c r="L192" s="1"/>
      <c r="M192" s="211"/>
    </row>
    <row r="193" spans="1:13" ht="19.5">
      <c r="A193" s="1">
        <v>146</v>
      </c>
      <c r="B193" s="2" t="s">
        <v>71</v>
      </c>
      <c r="C193" s="1" t="s">
        <v>125</v>
      </c>
      <c r="D193" s="4">
        <v>20612</v>
      </c>
      <c r="E193" s="63">
        <v>3294.5</v>
      </c>
      <c r="F193" s="1127" t="s">
        <v>2433</v>
      </c>
      <c r="G193" s="1" t="s">
        <v>45</v>
      </c>
      <c r="H193" s="1"/>
      <c r="I193" s="1"/>
      <c r="J193" s="1"/>
      <c r="K193" s="1"/>
      <c r="L193" s="1"/>
      <c r="M193" s="211"/>
    </row>
    <row r="194" spans="1:13" ht="19.5">
      <c r="A194" s="1">
        <v>147</v>
      </c>
      <c r="B194" s="2" t="s">
        <v>71</v>
      </c>
      <c r="C194" s="1" t="s">
        <v>126</v>
      </c>
      <c r="D194" s="4">
        <v>20612</v>
      </c>
      <c r="E194" s="63">
        <v>3294.5</v>
      </c>
      <c r="F194" s="1127" t="s">
        <v>2422</v>
      </c>
      <c r="G194" s="1" t="s">
        <v>45</v>
      </c>
      <c r="H194" s="1"/>
      <c r="I194" s="1"/>
      <c r="J194" s="1"/>
      <c r="K194" s="1"/>
      <c r="L194" s="1"/>
      <c r="M194" s="211"/>
    </row>
    <row r="195" spans="1:13" ht="19.5">
      <c r="A195" s="1">
        <v>148</v>
      </c>
      <c r="B195" s="239" t="s">
        <v>1217</v>
      </c>
      <c r="C195" s="172" t="s">
        <v>1576</v>
      </c>
      <c r="D195" s="4">
        <v>20612</v>
      </c>
      <c r="E195" s="244">
        <v>1369.5</v>
      </c>
      <c r="F195" s="1127" t="s">
        <v>2422</v>
      </c>
      <c r="G195" s="1" t="s">
        <v>45</v>
      </c>
      <c r="H195" s="1"/>
      <c r="I195" s="1"/>
      <c r="J195" s="1"/>
      <c r="K195" s="1"/>
      <c r="L195" s="1"/>
      <c r="M195" s="211"/>
    </row>
    <row r="196" spans="1:13" ht="19.5">
      <c r="A196" s="1">
        <v>149</v>
      </c>
      <c r="B196" s="239" t="s">
        <v>1217</v>
      </c>
      <c r="C196" s="172" t="s">
        <v>1575</v>
      </c>
      <c r="D196" s="4">
        <v>20612</v>
      </c>
      <c r="E196" s="244">
        <v>1369.5</v>
      </c>
      <c r="F196" s="1127" t="s">
        <v>2422</v>
      </c>
      <c r="G196" s="1" t="s">
        <v>45</v>
      </c>
      <c r="H196" s="1"/>
      <c r="I196" s="1"/>
      <c r="J196" s="1"/>
      <c r="K196" s="1"/>
      <c r="L196" s="1"/>
      <c r="M196" s="211"/>
    </row>
    <row r="197" spans="1:13" ht="19.5">
      <c r="A197" s="1">
        <v>150</v>
      </c>
      <c r="B197" s="2" t="s">
        <v>122</v>
      </c>
      <c r="C197" s="1" t="s">
        <v>127</v>
      </c>
      <c r="D197" s="4">
        <v>20612</v>
      </c>
      <c r="E197" s="63">
        <v>8635.16</v>
      </c>
      <c r="F197" s="1127" t="s">
        <v>2433</v>
      </c>
      <c r="G197" s="1" t="s">
        <v>45</v>
      </c>
      <c r="H197" s="1"/>
      <c r="I197" s="1"/>
      <c r="J197" s="1"/>
      <c r="K197" s="1"/>
      <c r="L197" s="1"/>
      <c r="M197" s="211"/>
    </row>
    <row r="198" spans="1:13" ht="19.5">
      <c r="A198" s="1">
        <v>151</v>
      </c>
      <c r="B198" s="2" t="s">
        <v>2322</v>
      </c>
      <c r="C198" s="1" t="s">
        <v>2321</v>
      </c>
      <c r="D198" s="4">
        <v>21735</v>
      </c>
      <c r="E198" s="1097">
        <v>3350</v>
      </c>
      <c r="F198" s="939" t="s">
        <v>1508</v>
      </c>
      <c r="G198" s="1" t="s">
        <v>45</v>
      </c>
      <c r="H198" s="1"/>
      <c r="J198" s="1"/>
      <c r="K198" s="1"/>
      <c r="L198" s="1"/>
      <c r="M198" s="211" t="s">
        <v>3481</v>
      </c>
    </row>
    <row r="199" spans="1:13" ht="21">
      <c r="A199" s="1">
        <v>152</v>
      </c>
      <c r="B199" s="254" t="s">
        <v>128</v>
      </c>
      <c r="C199" s="255" t="s">
        <v>129</v>
      </c>
      <c r="D199" s="4">
        <v>241764</v>
      </c>
      <c r="E199" s="63">
        <v>7000</v>
      </c>
      <c r="F199" s="1127" t="s">
        <v>2433</v>
      </c>
      <c r="G199" s="1" t="s">
        <v>45</v>
      </c>
      <c r="H199" s="1"/>
      <c r="I199" s="1"/>
      <c r="J199" s="1"/>
      <c r="K199" s="1"/>
      <c r="L199" s="1"/>
      <c r="M199" s="211" t="s">
        <v>3494</v>
      </c>
    </row>
    <row r="200" spans="1:13" ht="19.5">
      <c r="A200" s="1">
        <v>153</v>
      </c>
      <c r="B200" s="2" t="s">
        <v>99</v>
      </c>
      <c r="C200" s="1" t="s">
        <v>130</v>
      </c>
      <c r="D200" s="4">
        <v>22726</v>
      </c>
      <c r="E200" s="63">
        <v>3380</v>
      </c>
      <c r="F200" s="1127" t="s">
        <v>2433</v>
      </c>
      <c r="G200" s="1" t="s">
        <v>45</v>
      </c>
      <c r="H200" s="1"/>
      <c r="I200" s="1"/>
      <c r="J200" s="1"/>
      <c r="K200" s="1"/>
      <c r="L200" s="1"/>
      <c r="M200" s="211"/>
    </row>
    <row r="201" spans="1:13" ht="19.5">
      <c r="A201" s="1">
        <v>154</v>
      </c>
      <c r="B201" s="2" t="s">
        <v>99</v>
      </c>
      <c r="C201" s="1" t="s">
        <v>131</v>
      </c>
      <c r="D201" s="4">
        <v>22726</v>
      </c>
      <c r="E201" s="63">
        <v>3380</v>
      </c>
      <c r="F201" s="1127" t="s">
        <v>2433</v>
      </c>
      <c r="G201" s="1" t="s">
        <v>45</v>
      </c>
      <c r="H201" s="1"/>
      <c r="I201" s="1"/>
      <c r="J201" s="1"/>
      <c r="K201" s="1"/>
      <c r="L201" s="1"/>
      <c r="M201" s="211"/>
    </row>
    <row r="202" spans="1:13" ht="19.5">
      <c r="A202" s="1">
        <v>155</v>
      </c>
      <c r="B202" s="2" t="s">
        <v>99</v>
      </c>
      <c r="C202" s="1" t="s">
        <v>132</v>
      </c>
      <c r="D202" s="4">
        <v>22726</v>
      </c>
      <c r="E202" s="63">
        <v>3380</v>
      </c>
      <c r="F202" s="1127" t="s">
        <v>2433</v>
      </c>
      <c r="G202" s="1" t="s">
        <v>45</v>
      </c>
      <c r="H202" s="1"/>
      <c r="I202" s="1"/>
      <c r="J202" s="1"/>
      <c r="K202" s="1"/>
      <c r="L202" s="1"/>
      <c r="M202" s="211"/>
    </row>
    <row r="203" spans="1:13" ht="19.5">
      <c r="A203" s="1">
        <v>156</v>
      </c>
      <c r="B203" s="2" t="s">
        <v>99</v>
      </c>
      <c r="C203" s="1" t="s">
        <v>133</v>
      </c>
      <c r="D203" s="4">
        <v>22726</v>
      </c>
      <c r="E203" s="63">
        <v>3380</v>
      </c>
      <c r="F203" s="1127" t="s">
        <v>2433</v>
      </c>
      <c r="G203" s="1" t="s">
        <v>45</v>
      </c>
      <c r="H203" s="1"/>
      <c r="I203" s="1"/>
      <c r="J203" s="1"/>
      <c r="K203" s="1"/>
      <c r="L203" s="1"/>
      <c r="M203" s="211"/>
    </row>
    <row r="204" spans="1:13" ht="19.5">
      <c r="A204" s="1">
        <v>157</v>
      </c>
      <c r="B204" s="2" t="s">
        <v>99</v>
      </c>
      <c r="C204" s="1" t="s">
        <v>134</v>
      </c>
      <c r="D204" s="4">
        <v>22726</v>
      </c>
      <c r="E204" s="63">
        <v>3380</v>
      </c>
      <c r="F204" s="1127" t="s">
        <v>2433</v>
      </c>
      <c r="G204" s="1" t="s">
        <v>45</v>
      </c>
      <c r="H204" s="1"/>
      <c r="I204" s="1"/>
      <c r="J204" s="1"/>
      <c r="K204" s="1"/>
      <c r="L204" s="1"/>
      <c r="M204" s="211"/>
    </row>
    <row r="205" spans="1:13" ht="19.5">
      <c r="A205" s="1">
        <v>158</v>
      </c>
      <c r="B205" s="2" t="s">
        <v>99</v>
      </c>
      <c r="C205" s="1" t="s">
        <v>135</v>
      </c>
      <c r="D205" s="4">
        <v>22726</v>
      </c>
      <c r="E205" s="63">
        <v>3380</v>
      </c>
      <c r="F205" s="1127" t="s">
        <v>2433</v>
      </c>
      <c r="G205" s="1" t="s">
        <v>45</v>
      </c>
      <c r="H205" s="1"/>
      <c r="I205" s="1"/>
      <c r="J205" s="1"/>
      <c r="K205" s="1"/>
      <c r="L205" s="1"/>
      <c r="M205" s="211"/>
    </row>
    <row r="206" spans="1:13" ht="19.5">
      <c r="A206" s="1">
        <v>159</v>
      </c>
      <c r="B206" s="2" t="s">
        <v>99</v>
      </c>
      <c r="C206" s="1" t="s">
        <v>136</v>
      </c>
      <c r="D206" s="4">
        <v>22726</v>
      </c>
      <c r="E206" s="63">
        <v>3380</v>
      </c>
      <c r="F206" s="1127" t="s">
        <v>2433</v>
      </c>
      <c r="G206" s="1" t="s">
        <v>45</v>
      </c>
      <c r="H206" s="1"/>
      <c r="I206" s="1"/>
      <c r="J206" s="1"/>
      <c r="K206" s="1"/>
      <c r="L206" s="1"/>
      <c r="M206" s="211"/>
    </row>
    <row r="207" spans="1:13" ht="19.5">
      <c r="A207" s="1">
        <v>160</v>
      </c>
      <c r="B207" s="2" t="s">
        <v>99</v>
      </c>
      <c r="C207" s="1" t="s">
        <v>137</v>
      </c>
      <c r="D207" s="4">
        <v>22726</v>
      </c>
      <c r="E207" s="63">
        <v>3380</v>
      </c>
      <c r="F207" s="1127" t="s">
        <v>2433</v>
      </c>
      <c r="G207" s="1" t="s">
        <v>45</v>
      </c>
      <c r="H207" s="1"/>
      <c r="I207" s="1"/>
      <c r="J207" s="1"/>
      <c r="K207" s="1"/>
      <c r="L207" s="1"/>
      <c r="M207" s="211"/>
    </row>
    <row r="208" spans="1:13" ht="19.5">
      <c r="A208" s="1">
        <v>161</v>
      </c>
      <c r="B208" s="2" t="s">
        <v>99</v>
      </c>
      <c r="C208" s="1" t="s">
        <v>138</v>
      </c>
      <c r="D208" s="4">
        <v>22726</v>
      </c>
      <c r="E208" s="63">
        <v>3380</v>
      </c>
      <c r="F208" s="1127" t="s">
        <v>2433</v>
      </c>
      <c r="G208" s="1" t="s">
        <v>45</v>
      </c>
      <c r="H208" s="1"/>
      <c r="I208" s="1"/>
      <c r="J208" s="1"/>
      <c r="K208" s="1"/>
      <c r="L208" s="1"/>
      <c r="M208" s="211"/>
    </row>
    <row r="209" spans="1:13" ht="19.5">
      <c r="A209" s="1">
        <v>162</v>
      </c>
      <c r="B209" s="2" t="s">
        <v>99</v>
      </c>
      <c r="C209" s="1" t="s">
        <v>139</v>
      </c>
      <c r="D209" s="4">
        <v>22726</v>
      </c>
      <c r="E209" s="63">
        <v>3380</v>
      </c>
      <c r="F209" s="1127" t="s">
        <v>2433</v>
      </c>
      <c r="G209" s="1" t="s">
        <v>45</v>
      </c>
      <c r="H209" s="1"/>
      <c r="I209" s="1"/>
      <c r="J209" s="1"/>
      <c r="K209" s="1"/>
      <c r="L209" s="1"/>
      <c r="M209" s="211" t="s">
        <v>3444</v>
      </c>
    </row>
    <row r="210" spans="1:13" ht="19.5">
      <c r="A210" s="1">
        <v>163</v>
      </c>
      <c r="B210" s="2" t="s">
        <v>99</v>
      </c>
      <c r="C210" s="1" t="s">
        <v>140</v>
      </c>
      <c r="D210" s="4">
        <v>22726</v>
      </c>
      <c r="E210" s="63">
        <v>3380</v>
      </c>
      <c r="F210" s="1127" t="s">
        <v>2433</v>
      </c>
      <c r="G210" s="1" t="s">
        <v>45</v>
      </c>
      <c r="H210" s="1"/>
      <c r="I210" s="1"/>
      <c r="J210" s="1"/>
      <c r="K210" s="1"/>
      <c r="L210" s="1"/>
      <c r="M210" s="211"/>
    </row>
    <row r="211" spans="1:13" ht="19.5">
      <c r="A211" s="1">
        <v>164</v>
      </c>
      <c r="B211" s="2" t="s">
        <v>99</v>
      </c>
      <c r="C211" s="1" t="s">
        <v>141</v>
      </c>
      <c r="D211" s="4">
        <v>22726</v>
      </c>
      <c r="E211" s="63">
        <v>3380</v>
      </c>
      <c r="F211" s="1127" t="s">
        <v>2433</v>
      </c>
      <c r="G211" s="1" t="s">
        <v>45</v>
      </c>
      <c r="H211" s="1"/>
      <c r="I211" s="1"/>
      <c r="J211" s="1"/>
      <c r="K211" s="1"/>
      <c r="L211" s="1"/>
      <c r="M211" s="211"/>
    </row>
    <row r="212" spans="1:13" ht="19.5">
      <c r="A212" s="1">
        <v>165</v>
      </c>
      <c r="B212" s="2" t="s">
        <v>99</v>
      </c>
      <c r="C212" s="1" t="s">
        <v>142</v>
      </c>
      <c r="D212" s="4">
        <v>22726</v>
      </c>
      <c r="E212" s="63">
        <v>3380</v>
      </c>
      <c r="F212" s="1127" t="s">
        <v>2433</v>
      </c>
      <c r="G212" s="1" t="s">
        <v>45</v>
      </c>
      <c r="H212" s="1"/>
      <c r="I212" s="1"/>
      <c r="J212" s="1"/>
      <c r="K212" s="1"/>
      <c r="L212" s="1"/>
      <c r="M212" s="211"/>
    </row>
    <row r="213" spans="1:13" ht="19.5">
      <c r="A213" s="1">
        <v>166</v>
      </c>
      <c r="B213" s="2" t="s">
        <v>99</v>
      </c>
      <c r="C213" s="1" t="s">
        <v>143</v>
      </c>
      <c r="D213" s="4">
        <v>22726</v>
      </c>
      <c r="E213" s="63">
        <v>3380</v>
      </c>
      <c r="F213" s="1127" t="s">
        <v>2433</v>
      </c>
      <c r="G213" s="1" t="s">
        <v>45</v>
      </c>
      <c r="H213" s="1"/>
      <c r="I213" s="1"/>
      <c r="J213" s="1"/>
      <c r="K213" s="1"/>
      <c r="L213" s="1"/>
      <c r="M213" s="211" t="s">
        <v>3494</v>
      </c>
    </row>
    <row r="214" spans="1:13" ht="19.5">
      <c r="A214" s="1">
        <v>167</v>
      </c>
      <c r="B214" s="2" t="s">
        <v>99</v>
      </c>
      <c r="C214" s="1" t="s">
        <v>146</v>
      </c>
      <c r="D214" s="4">
        <v>22726</v>
      </c>
      <c r="E214" s="63">
        <v>3380</v>
      </c>
      <c r="F214" s="1127" t="s">
        <v>2433</v>
      </c>
      <c r="G214" s="1" t="s">
        <v>45</v>
      </c>
      <c r="H214" s="1"/>
      <c r="I214" s="1"/>
      <c r="J214" s="1"/>
      <c r="K214" s="1"/>
      <c r="L214" s="1"/>
      <c r="M214" s="211"/>
    </row>
    <row r="215" spans="1:13" ht="19.5">
      <c r="A215" s="1">
        <v>168</v>
      </c>
      <c r="B215" s="2" t="s">
        <v>99</v>
      </c>
      <c r="C215" s="1" t="s">
        <v>147</v>
      </c>
      <c r="D215" s="4">
        <v>22726</v>
      </c>
      <c r="E215" s="63">
        <v>3380</v>
      </c>
      <c r="F215" s="1127" t="s">
        <v>2433</v>
      </c>
      <c r="G215" s="1" t="s">
        <v>45</v>
      </c>
      <c r="H215" s="1"/>
      <c r="I215" s="1"/>
      <c r="J215" s="1"/>
      <c r="K215" s="1"/>
      <c r="L215" s="1"/>
      <c r="M215" s="211"/>
    </row>
    <row r="216" spans="1:13" ht="19.5">
      <c r="A216" s="1">
        <v>169</v>
      </c>
      <c r="B216" s="2" t="s">
        <v>99</v>
      </c>
      <c r="C216" s="1" t="s">
        <v>148</v>
      </c>
      <c r="D216" s="4">
        <v>22726</v>
      </c>
      <c r="E216" s="63">
        <v>3380</v>
      </c>
      <c r="F216" s="1127" t="s">
        <v>2433</v>
      </c>
      <c r="G216" s="1" t="s">
        <v>45</v>
      </c>
      <c r="H216" s="1"/>
      <c r="I216" s="1"/>
      <c r="J216" s="1"/>
      <c r="K216" s="1"/>
      <c r="L216" s="1"/>
      <c r="M216" s="211"/>
    </row>
    <row r="217" spans="1:13" ht="19.5">
      <c r="A217" s="1">
        <v>170</v>
      </c>
      <c r="B217" s="2" t="s">
        <v>99</v>
      </c>
      <c r="C217" s="1" t="s">
        <v>149</v>
      </c>
      <c r="D217" s="4">
        <v>22726</v>
      </c>
      <c r="E217" s="63">
        <v>3380</v>
      </c>
      <c r="F217" s="1127" t="s">
        <v>2433</v>
      </c>
      <c r="G217" s="1" t="s">
        <v>45</v>
      </c>
      <c r="H217" s="1"/>
      <c r="I217" s="1"/>
      <c r="J217" s="1"/>
      <c r="K217" s="1"/>
      <c r="L217" s="1"/>
      <c r="M217" s="211"/>
    </row>
    <row r="218" spans="1:13" ht="19.5">
      <c r="A218" s="1">
        <v>171</v>
      </c>
      <c r="B218" s="2" t="s">
        <v>99</v>
      </c>
      <c r="C218" s="1" t="s">
        <v>150</v>
      </c>
      <c r="D218" s="4">
        <v>22726</v>
      </c>
      <c r="E218" s="63">
        <v>3380</v>
      </c>
      <c r="F218" s="1127" t="s">
        <v>2433</v>
      </c>
      <c r="G218" s="1" t="s">
        <v>45</v>
      </c>
      <c r="H218" s="1"/>
      <c r="I218" s="1"/>
      <c r="J218" s="1"/>
      <c r="K218" s="1"/>
      <c r="L218" s="1"/>
      <c r="M218" s="211"/>
    </row>
    <row r="219" spans="1:13" ht="19.5">
      <c r="A219" s="1">
        <v>172</v>
      </c>
      <c r="B219" s="2" t="s">
        <v>99</v>
      </c>
      <c r="C219" s="1" t="s">
        <v>151</v>
      </c>
      <c r="D219" s="4">
        <v>22726</v>
      </c>
      <c r="E219" s="63">
        <v>3380</v>
      </c>
      <c r="F219" s="1127" t="s">
        <v>2433</v>
      </c>
      <c r="G219" s="1" t="s">
        <v>45</v>
      </c>
      <c r="H219" s="1"/>
      <c r="I219" s="1"/>
      <c r="J219" s="1"/>
      <c r="K219" s="1"/>
      <c r="L219" s="1"/>
      <c r="M219" s="211"/>
    </row>
    <row r="220" spans="1:13" ht="19.5">
      <c r="A220" s="1">
        <v>173</v>
      </c>
      <c r="B220" s="2" t="s">
        <v>99</v>
      </c>
      <c r="C220" s="1" t="s">
        <v>152</v>
      </c>
      <c r="D220" s="4">
        <v>22726</v>
      </c>
      <c r="E220" s="63">
        <v>3380</v>
      </c>
      <c r="F220" s="1127" t="s">
        <v>2433</v>
      </c>
      <c r="G220" s="1" t="s">
        <v>45</v>
      </c>
      <c r="H220" s="1"/>
      <c r="I220" s="1"/>
      <c r="J220" s="1"/>
      <c r="K220" s="1"/>
      <c r="L220" s="1"/>
      <c r="M220" s="211"/>
    </row>
    <row r="221" spans="1:13" ht="19.5">
      <c r="A221" s="1">
        <v>174</v>
      </c>
      <c r="B221" s="2" t="s">
        <v>99</v>
      </c>
      <c r="C221" s="1" t="s">
        <v>153</v>
      </c>
      <c r="D221" s="4">
        <v>22726</v>
      </c>
      <c r="E221" s="63">
        <v>3380</v>
      </c>
      <c r="F221" s="1127" t="s">
        <v>2433</v>
      </c>
      <c r="G221" s="1" t="s">
        <v>45</v>
      </c>
      <c r="H221" s="1"/>
      <c r="I221" s="1"/>
      <c r="J221" s="1"/>
      <c r="K221" s="1"/>
      <c r="L221" s="1"/>
      <c r="M221" s="211"/>
    </row>
    <row r="222" spans="1:13" ht="19.5">
      <c r="A222" s="1">
        <v>175</v>
      </c>
      <c r="B222" s="2" t="s">
        <v>99</v>
      </c>
      <c r="C222" s="1" t="s">
        <v>154</v>
      </c>
      <c r="D222" s="4">
        <v>22726</v>
      </c>
      <c r="E222" s="63">
        <v>3380</v>
      </c>
      <c r="F222" s="1127" t="s">
        <v>2433</v>
      </c>
      <c r="G222" s="1" t="s">
        <v>45</v>
      </c>
      <c r="H222" s="1"/>
      <c r="I222" s="1"/>
      <c r="J222" s="1"/>
      <c r="K222" s="1"/>
      <c r="L222" s="1"/>
      <c r="M222" s="211"/>
    </row>
    <row r="223" spans="1:13" ht="19.5">
      <c r="A223" s="1">
        <v>176</v>
      </c>
      <c r="B223" s="2" t="s">
        <v>99</v>
      </c>
      <c r="C223" s="1" t="s">
        <v>155</v>
      </c>
      <c r="D223" s="4">
        <v>22726</v>
      </c>
      <c r="E223" s="63">
        <v>3380</v>
      </c>
      <c r="F223" s="1127" t="s">
        <v>2433</v>
      </c>
      <c r="G223" s="1" t="s">
        <v>45</v>
      </c>
      <c r="H223" s="1"/>
      <c r="I223" s="1"/>
      <c r="J223" s="1"/>
      <c r="K223" s="1"/>
      <c r="L223" s="1"/>
      <c r="M223" s="211"/>
    </row>
    <row r="224" spans="1:13" ht="19.5">
      <c r="A224" s="1">
        <v>177</v>
      </c>
      <c r="B224" s="2" t="s">
        <v>99</v>
      </c>
      <c r="C224" s="1" t="s">
        <v>156</v>
      </c>
      <c r="D224" s="4">
        <v>22726</v>
      </c>
      <c r="E224" s="63">
        <v>3380</v>
      </c>
      <c r="F224" s="1127" t="s">
        <v>2433</v>
      </c>
      <c r="G224" s="1" t="s">
        <v>45</v>
      </c>
      <c r="H224" s="1"/>
      <c r="I224" s="1"/>
      <c r="J224" s="1"/>
      <c r="K224" s="1"/>
      <c r="L224" s="1"/>
      <c r="M224" s="211" t="s">
        <v>3444</v>
      </c>
    </row>
    <row r="225" spans="1:13" ht="19.5">
      <c r="A225" s="1">
        <v>178</v>
      </c>
      <c r="B225" s="2" t="s">
        <v>99</v>
      </c>
      <c r="C225" s="1" t="s">
        <v>157</v>
      </c>
      <c r="D225" s="4">
        <v>22726</v>
      </c>
      <c r="E225" s="63">
        <v>3380</v>
      </c>
      <c r="F225" s="1127" t="s">
        <v>2433</v>
      </c>
      <c r="G225" s="1" t="s">
        <v>45</v>
      </c>
      <c r="H225" s="1"/>
      <c r="I225" s="1"/>
      <c r="J225" s="1"/>
      <c r="K225" s="1"/>
      <c r="L225" s="1"/>
      <c r="M225" s="211"/>
    </row>
    <row r="226" spans="1:13" ht="19.5">
      <c r="A226" s="1">
        <v>179</v>
      </c>
      <c r="B226" s="2" t="s">
        <v>99</v>
      </c>
      <c r="C226" s="1" t="s">
        <v>158</v>
      </c>
      <c r="D226" s="4">
        <v>22726</v>
      </c>
      <c r="E226" s="63">
        <v>3380</v>
      </c>
      <c r="F226" s="1127" t="s">
        <v>2433</v>
      </c>
      <c r="G226" s="1" t="s">
        <v>45</v>
      </c>
      <c r="H226" s="1"/>
      <c r="I226" s="1"/>
      <c r="J226" s="1"/>
      <c r="K226" s="1"/>
      <c r="L226" s="1"/>
      <c r="M226" s="211"/>
    </row>
    <row r="227" spans="1:13" ht="19.5">
      <c r="A227" s="1">
        <v>180</v>
      </c>
      <c r="B227" s="2" t="s">
        <v>99</v>
      </c>
      <c r="C227" s="1" t="s">
        <v>159</v>
      </c>
      <c r="D227" s="4">
        <v>22726</v>
      </c>
      <c r="E227" s="63">
        <v>3380</v>
      </c>
      <c r="F227" s="1127" t="s">
        <v>2433</v>
      </c>
      <c r="G227" s="1" t="s">
        <v>45</v>
      </c>
      <c r="H227" s="1"/>
      <c r="I227" s="1"/>
      <c r="J227" s="1"/>
      <c r="K227" s="1"/>
      <c r="L227" s="1"/>
      <c r="M227" s="211"/>
    </row>
    <row r="228" spans="1:13" ht="19.5">
      <c r="A228" s="1">
        <v>181</v>
      </c>
      <c r="B228" s="2" t="s">
        <v>99</v>
      </c>
      <c r="C228" s="1" t="s">
        <v>160</v>
      </c>
      <c r="D228" s="4">
        <v>22726</v>
      </c>
      <c r="E228" s="63">
        <v>3380</v>
      </c>
      <c r="F228" s="1127" t="s">
        <v>2433</v>
      </c>
      <c r="G228" s="1" t="s">
        <v>45</v>
      </c>
      <c r="H228" s="1"/>
      <c r="I228" s="1"/>
      <c r="J228" s="1"/>
      <c r="K228" s="1"/>
      <c r="L228" s="1"/>
      <c r="M228" s="211"/>
    </row>
    <row r="229" spans="1:13" ht="19.5">
      <c r="A229" s="1">
        <v>182</v>
      </c>
      <c r="B229" s="2" t="s">
        <v>99</v>
      </c>
      <c r="C229" s="1" t="s">
        <v>161</v>
      </c>
      <c r="D229" s="4">
        <v>22726</v>
      </c>
      <c r="E229" s="63">
        <v>3380</v>
      </c>
      <c r="F229" s="1127" t="s">
        <v>2433</v>
      </c>
      <c r="G229" s="1" t="s">
        <v>45</v>
      </c>
      <c r="H229" s="1"/>
      <c r="I229" s="1"/>
      <c r="J229" s="1"/>
      <c r="K229" s="1"/>
      <c r="L229" s="1"/>
      <c r="M229" s="211"/>
    </row>
    <row r="230" spans="1:13" ht="19.5">
      <c r="A230" s="1">
        <v>183</v>
      </c>
      <c r="B230" s="2" t="s">
        <v>99</v>
      </c>
      <c r="C230" s="1" t="s">
        <v>162</v>
      </c>
      <c r="D230" s="4">
        <v>22726</v>
      </c>
      <c r="E230" s="63">
        <v>3380</v>
      </c>
      <c r="F230" s="1127" t="s">
        <v>2433</v>
      </c>
      <c r="G230" s="1" t="s">
        <v>45</v>
      </c>
      <c r="H230" s="1"/>
      <c r="I230" s="1"/>
      <c r="J230" s="1"/>
      <c r="K230" s="1"/>
      <c r="L230" s="1"/>
      <c r="M230" s="211"/>
    </row>
    <row r="231" spans="1:13" ht="19.5">
      <c r="A231" s="1">
        <v>184</v>
      </c>
      <c r="B231" s="2" t="s">
        <v>99</v>
      </c>
      <c r="C231" s="1" t="s">
        <v>163</v>
      </c>
      <c r="D231" s="4">
        <v>22726</v>
      </c>
      <c r="E231" s="63">
        <v>3380</v>
      </c>
      <c r="F231" s="1127" t="s">
        <v>2433</v>
      </c>
      <c r="G231" s="1" t="s">
        <v>45</v>
      </c>
      <c r="H231" s="1"/>
      <c r="I231" s="1"/>
      <c r="J231" s="1"/>
      <c r="K231" s="1"/>
      <c r="L231" s="1"/>
      <c r="M231" s="211"/>
    </row>
    <row r="232" spans="1:13" ht="19.5">
      <c r="A232" s="1">
        <v>185</v>
      </c>
      <c r="B232" s="2" t="s">
        <v>99</v>
      </c>
      <c r="C232" s="1" t="s">
        <v>164</v>
      </c>
      <c r="D232" s="4">
        <v>22726</v>
      </c>
      <c r="E232" s="63">
        <v>3380</v>
      </c>
      <c r="F232" s="1127" t="s">
        <v>2433</v>
      </c>
      <c r="G232" s="1" t="s">
        <v>45</v>
      </c>
      <c r="H232" s="1"/>
      <c r="I232" s="1"/>
      <c r="J232" s="1"/>
      <c r="K232" s="1"/>
      <c r="L232" s="1"/>
      <c r="M232" s="211"/>
    </row>
    <row r="233" spans="1:13" ht="19.5">
      <c r="A233" s="1">
        <v>186</v>
      </c>
      <c r="B233" s="2" t="s">
        <v>99</v>
      </c>
      <c r="C233" s="1" t="s">
        <v>165</v>
      </c>
      <c r="D233" s="4">
        <v>22726</v>
      </c>
      <c r="E233" s="63">
        <v>3380</v>
      </c>
      <c r="F233" s="1127" t="s">
        <v>2433</v>
      </c>
      <c r="G233" s="1" t="s">
        <v>45</v>
      </c>
      <c r="H233" s="158"/>
      <c r="I233" s="158"/>
      <c r="J233" s="158"/>
      <c r="K233" s="158"/>
      <c r="L233" s="158"/>
      <c r="M233" s="523"/>
    </row>
    <row r="234" spans="1:13" ht="19.5">
      <c r="A234" s="1">
        <v>187</v>
      </c>
      <c r="B234" s="2" t="s">
        <v>99</v>
      </c>
      <c r="C234" s="1" t="s">
        <v>166</v>
      </c>
      <c r="D234" s="4">
        <v>22726</v>
      </c>
      <c r="E234" s="63">
        <v>3380</v>
      </c>
      <c r="F234" s="1127" t="s">
        <v>2433</v>
      </c>
      <c r="G234" s="1" t="s">
        <v>45</v>
      </c>
      <c r="H234" s="1"/>
      <c r="I234" s="158"/>
      <c r="J234" s="158"/>
      <c r="K234" s="158"/>
      <c r="L234" s="158"/>
      <c r="M234" s="523"/>
    </row>
    <row r="235" spans="1:13" ht="19.5">
      <c r="A235" s="1">
        <v>188</v>
      </c>
      <c r="B235" s="2" t="s">
        <v>99</v>
      </c>
      <c r="C235" s="1" t="s">
        <v>167</v>
      </c>
      <c r="D235" s="4">
        <v>22726</v>
      </c>
      <c r="E235" s="63">
        <v>3380</v>
      </c>
      <c r="F235" s="1127" t="s">
        <v>2433</v>
      </c>
      <c r="G235" s="1" t="s">
        <v>45</v>
      </c>
      <c r="H235" s="1"/>
      <c r="I235" s="1"/>
      <c r="J235" s="1"/>
      <c r="K235" s="1"/>
      <c r="L235" s="1"/>
      <c r="M235" s="211"/>
    </row>
    <row r="236" spans="1:13" ht="19.5">
      <c r="A236" s="1">
        <v>189</v>
      </c>
      <c r="B236" s="2" t="s">
        <v>99</v>
      </c>
      <c r="C236" s="1" t="s">
        <v>168</v>
      </c>
      <c r="D236" s="4">
        <v>22726</v>
      </c>
      <c r="E236" s="63">
        <v>3380</v>
      </c>
      <c r="F236" s="1127" t="s">
        <v>2433</v>
      </c>
      <c r="G236" s="1" t="s">
        <v>45</v>
      </c>
      <c r="H236" s="1"/>
      <c r="I236" s="1"/>
      <c r="J236" s="1"/>
      <c r="K236" s="1"/>
      <c r="L236" s="1"/>
      <c r="M236" s="211"/>
    </row>
    <row r="237" spans="1:13" ht="19.5">
      <c r="A237" s="1">
        <v>190</v>
      </c>
      <c r="B237" s="2" t="s">
        <v>99</v>
      </c>
      <c r="C237" s="1" t="s">
        <v>169</v>
      </c>
      <c r="D237" s="4">
        <v>22726</v>
      </c>
      <c r="E237" s="63">
        <v>3380</v>
      </c>
      <c r="F237" s="1127" t="s">
        <v>2433</v>
      </c>
      <c r="G237" s="1" t="s">
        <v>45</v>
      </c>
      <c r="H237" s="1"/>
      <c r="I237" s="1"/>
      <c r="J237" s="1"/>
      <c r="K237" s="1"/>
      <c r="L237" s="1"/>
      <c r="M237" s="211"/>
    </row>
    <row r="238" spans="1:13" ht="19.5">
      <c r="A238" s="1">
        <v>191</v>
      </c>
      <c r="B238" s="2" t="s">
        <v>99</v>
      </c>
      <c r="C238" s="1" t="s">
        <v>170</v>
      </c>
      <c r="D238" s="4">
        <v>22726</v>
      </c>
      <c r="E238" s="63">
        <v>3380</v>
      </c>
      <c r="F238" s="1127" t="s">
        <v>2433</v>
      </c>
      <c r="G238" s="1" t="s">
        <v>45</v>
      </c>
      <c r="H238" s="1"/>
      <c r="I238" s="1"/>
      <c r="J238" s="1"/>
      <c r="K238" s="1"/>
      <c r="L238" s="1"/>
      <c r="M238" s="211"/>
    </row>
    <row r="239" spans="1:13" ht="19.5">
      <c r="A239" s="1">
        <v>192</v>
      </c>
      <c r="B239" s="2" t="s">
        <v>99</v>
      </c>
      <c r="C239" s="1" t="s">
        <v>171</v>
      </c>
      <c r="D239" s="4">
        <v>22726</v>
      </c>
      <c r="E239" s="63">
        <v>3380</v>
      </c>
      <c r="F239" s="1127" t="s">
        <v>2433</v>
      </c>
      <c r="G239" s="1" t="s">
        <v>45</v>
      </c>
      <c r="H239" s="1"/>
      <c r="I239" s="1"/>
      <c r="J239" s="1"/>
      <c r="K239" s="1"/>
      <c r="L239" s="1"/>
      <c r="M239" s="211"/>
    </row>
    <row r="240" spans="1:13" ht="19.5">
      <c r="A240" s="1">
        <v>193</v>
      </c>
      <c r="B240" s="2" t="s">
        <v>99</v>
      </c>
      <c r="C240" s="1" t="s">
        <v>172</v>
      </c>
      <c r="D240" s="4">
        <v>22726</v>
      </c>
      <c r="E240" s="63">
        <v>3380</v>
      </c>
      <c r="F240" s="1127" t="s">
        <v>2433</v>
      </c>
      <c r="G240" s="1" t="s">
        <v>45</v>
      </c>
      <c r="H240" s="1"/>
      <c r="I240" s="1"/>
      <c r="J240" s="1"/>
      <c r="K240" s="1"/>
      <c r="L240" s="1"/>
      <c r="M240" s="211" t="s">
        <v>3444</v>
      </c>
    </row>
    <row r="241" spans="1:13" ht="19.5">
      <c r="A241" s="1">
        <v>194</v>
      </c>
      <c r="B241" s="2" t="s">
        <v>99</v>
      </c>
      <c r="C241" s="1" t="s">
        <v>173</v>
      </c>
      <c r="D241" s="4">
        <v>22726</v>
      </c>
      <c r="E241" s="63">
        <v>3380</v>
      </c>
      <c r="F241" s="1127" t="s">
        <v>2433</v>
      </c>
      <c r="G241" s="1" t="s">
        <v>45</v>
      </c>
      <c r="H241" s="1"/>
      <c r="I241" s="1"/>
      <c r="J241" s="1"/>
      <c r="K241" s="1"/>
      <c r="L241" s="1"/>
      <c r="M241" s="211"/>
    </row>
    <row r="242" spans="1:13" ht="19.5">
      <c r="A242" s="1">
        <v>195</v>
      </c>
      <c r="B242" s="2" t="s">
        <v>99</v>
      </c>
      <c r="C242" s="1" t="s">
        <v>174</v>
      </c>
      <c r="D242" s="4">
        <v>22726</v>
      </c>
      <c r="E242" s="63">
        <v>3380</v>
      </c>
      <c r="F242" s="1127" t="s">
        <v>2433</v>
      </c>
      <c r="G242" s="1" t="s">
        <v>45</v>
      </c>
      <c r="H242" s="1"/>
      <c r="I242" s="1"/>
      <c r="J242" s="1"/>
      <c r="K242" s="1"/>
      <c r="L242" s="1"/>
      <c r="M242" s="211"/>
    </row>
    <row r="243" spans="1:13" ht="19.5">
      <c r="A243" s="1">
        <v>196</v>
      </c>
      <c r="B243" s="2" t="s">
        <v>99</v>
      </c>
      <c r="C243" s="1" t="s">
        <v>175</v>
      </c>
      <c r="D243" s="4">
        <v>22726</v>
      </c>
      <c r="E243" s="63">
        <v>3380</v>
      </c>
      <c r="F243" s="1127" t="s">
        <v>2433</v>
      </c>
      <c r="G243" s="1" t="s">
        <v>45</v>
      </c>
      <c r="H243" s="1"/>
      <c r="I243" s="1"/>
      <c r="J243" s="1"/>
      <c r="K243" s="1"/>
      <c r="L243" s="1"/>
      <c r="M243" s="211"/>
    </row>
    <row r="244" spans="1:13" ht="19.5">
      <c r="A244" s="1">
        <v>197</v>
      </c>
      <c r="B244" s="2" t="s">
        <v>99</v>
      </c>
      <c r="C244" s="1" t="s">
        <v>176</v>
      </c>
      <c r="D244" s="4">
        <v>22726</v>
      </c>
      <c r="E244" s="63">
        <v>3380</v>
      </c>
      <c r="F244" s="1127" t="s">
        <v>2433</v>
      </c>
      <c r="G244" s="1" t="s">
        <v>45</v>
      </c>
      <c r="H244" s="1"/>
      <c r="I244" s="1"/>
      <c r="J244" s="1"/>
      <c r="K244" s="1"/>
      <c r="L244" s="1"/>
      <c r="M244" s="211"/>
    </row>
    <row r="245" spans="1:13" ht="19.5">
      <c r="A245" s="1">
        <v>198</v>
      </c>
      <c r="B245" s="2" t="s">
        <v>99</v>
      </c>
      <c r="C245" s="1" t="s">
        <v>177</v>
      </c>
      <c r="D245" s="4">
        <v>22726</v>
      </c>
      <c r="E245" s="63">
        <v>3380</v>
      </c>
      <c r="F245" s="1127" t="s">
        <v>2433</v>
      </c>
      <c r="G245" s="1" t="s">
        <v>45</v>
      </c>
      <c r="H245" s="1"/>
      <c r="I245" s="1"/>
      <c r="J245" s="1"/>
      <c r="K245" s="1"/>
      <c r="L245" s="1"/>
      <c r="M245" s="211"/>
    </row>
    <row r="246" spans="1:13" ht="19.5">
      <c r="A246" s="1">
        <v>199</v>
      </c>
      <c r="B246" s="2" t="s">
        <v>99</v>
      </c>
      <c r="C246" s="1" t="s">
        <v>178</v>
      </c>
      <c r="D246" s="4">
        <v>22726</v>
      </c>
      <c r="E246" s="63">
        <v>3380</v>
      </c>
      <c r="F246" s="1127" t="s">
        <v>2433</v>
      </c>
      <c r="G246" s="1" t="s">
        <v>45</v>
      </c>
      <c r="H246" s="1"/>
      <c r="I246" s="1"/>
      <c r="J246" s="1"/>
      <c r="K246" s="1"/>
      <c r="L246" s="1"/>
      <c r="M246" s="211"/>
    </row>
    <row r="247" spans="1:13" ht="19.5">
      <c r="A247" s="1">
        <v>200</v>
      </c>
      <c r="B247" s="2" t="s">
        <v>99</v>
      </c>
      <c r="C247" s="1" t="s">
        <v>179</v>
      </c>
      <c r="D247" s="4">
        <v>22726</v>
      </c>
      <c r="E247" s="63">
        <v>3380</v>
      </c>
      <c r="F247" s="1127" t="s">
        <v>2433</v>
      </c>
      <c r="G247" s="1" t="s">
        <v>45</v>
      </c>
      <c r="H247" s="1"/>
      <c r="I247" s="1"/>
      <c r="J247" s="1"/>
      <c r="K247" s="1"/>
      <c r="L247" s="1"/>
      <c r="M247" s="211"/>
    </row>
    <row r="248" spans="1:13" ht="19.5">
      <c r="A248" s="1">
        <v>201</v>
      </c>
      <c r="B248" s="2" t="s">
        <v>99</v>
      </c>
      <c r="C248" s="1" t="s">
        <v>180</v>
      </c>
      <c r="D248" s="4">
        <v>22726</v>
      </c>
      <c r="E248" s="63">
        <v>3380</v>
      </c>
      <c r="F248" s="1127" t="s">
        <v>2433</v>
      </c>
      <c r="G248" s="1" t="s">
        <v>45</v>
      </c>
      <c r="H248" s="1"/>
      <c r="I248" s="1"/>
      <c r="J248" s="1"/>
      <c r="K248" s="1"/>
      <c r="L248" s="1"/>
      <c r="M248" s="211"/>
    </row>
    <row r="249" spans="1:13" ht="19.5">
      <c r="A249" s="1">
        <v>202</v>
      </c>
      <c r="B249" s="2" t="s">
        <v>99</v>
      </c>
      <c r="C249" s="1" t="s">
        <v>182</v>
      </c>
      <c r="D249" s="4">
        <v>22726</v>
      </c>
      <c r="E249" s="63">
        <v>3380</v>
      </c>
      <c r="F249" s="1127" t="s">
        <v>2433</v>
      </c>
      <c r="G249" s="1" t="s">
        <v>45</v>
      </c>
      <c r="H249" s="1"/>
      <c r="I249" s="1"/>
      <c r="J249" s="1"/>
      <c r="K249" s="1"/>
      <c r="L249" s="1"/>
      <c r="M249" s="211"/>
    </row>
    <row r="250" spans="1:13" ht="19.5">
      <c r="A250" s="1">
        <v>203</v>
      </c>
      <c r="B250" s="2" t="s">
        <v>99</v>
      </c>
      <c r="C250" s="1" t="s">
        <v>183</v>
      </c>
      <c r="D250" s="4">
        <v>22726</v>
      </c>
      <c r="E250" s="63">
        <v>3380</v>
      </c>
      <c r="F250" s="1127" t="s">
        <v>2433</v>
      </c>
      <c r="G250" s="1" t="s">
        <v>45</v>
      </c>
      <c r="H250" s="1"/>
      <c r="I250" s="1"/>
      <c r="J250" s="1"/>
      <c r="K250" s="1"/>
      <c r="L250" s="1"/>
      <c r="M250" s="211"/>
    </row>
    <row r="251" spans="1:13" ht="19.5">
      <c r="A251" s="1">
        <v>204</v>
      </c>
      <c r="B251" s="2" t="s">
        <v>99</v>
      </c>
      <c r="C251" s="1" t="s">
        <v>184</v>
      </c>
      <c r="D251" s="4">
        <v>22726</v>
      </c>
      <c r="E251" s="63">
        <v>3380</v>
      </c>
      <c r="F251" s="1127" t="s">
        <v>2433</v>
      </c>
      <c r="G251" s="1" t="s">
        <v>45</v>
      </c>
      <c r="H251" s="1"/>
      <c r="I251" s="1"/>
      <c r="J251" s="1"/>
      <c r="K251" s="1"/>
      <c r="L251" s="1"/>
      <c r="M251" s="211"/>
    </row>
    <row r="252" spans="1:13" ht="19.5">
      <c r="A252" s="1">
        <v>205</v>
      </c>
      <c r="B252" s="2" t="s">
        <v>99</v>
      </c>
      <c r="C252" s="1" t="s">
        <v>185</v>
      </c>
      <c r="D252" s="4">
        <v>22726</v>
      </c>
      <c r="E252" s="63">
        <v>3380</v>
      </c>
      <c r="F252" s="1127" t="s">
        <v>2433</v>
      </c>
      <c r="G252" s="1" t="s">
        <v>45</v>
      </c>
      <c r="H252" s="1"/>
      <c r="I252" s="1"/>
      <c r="J252" s="1"/>
      <c r="K252" s="1"/>
      <c r="L252" s="1"/>
      <c r="M252" s="211"/>
    </row>
    <row r="253" spans="1:13" ht="19.5">
      <c r="A253" s="1">
        <v>206</v>
      </c>
      <c r="B253" s="2" t="s">
        <v>99</v>
      </c>
      <c r="C253" s="1" t="s">
        <v>186</v>
      </c>
      <c r="D253" s="4">
        <v>22726</v>
      </c>
      <c r="E253" s="63">
        <v>3380</v>
      </c>
      <c r="F253" s="1127" t="s">
        <v>2433</v>
      </c>
      <c r="G253" s="1" t="s">
        <v>45</v>
      </c>
      <c r="H253" s="1"/>
      <c r="I253" s="1"/>
      <c r="J253" s="1"/>
      <c r="K253" s="1"/>
      <c r="L253" s="1"/>
      <c r="M253" s="211" t="s">
        <v>3444</v>
      </c>
    </row>
    <row r="254" spans="1:13" ht="19.5">
      <c r="A254" s="1">
        <v>207</v>
      </c>
      <c r="B254" s="2" t="s">
        <v>99</v>
      </c>
      <c r="C254" s="1" t="s">
        <v>187</v>
      </c>
      <c r="D254" s="4">
        <v>22726</v>
      </c>
      <c r="E254" s="63">
        <v>3380</v>
      </c>
      <c r="F254" s="1127" t="s">
        <v>2433</v>
      </c>
      <c r="G254" s="1" t="s">
        <v>45</v>
      </c>
      <c r="H254" s="1"/>
      <c r="I254" s="1"/>
      <c r="J254" s="1"/>
      <c r="K254" s="1"/>
      <c r="L254" s="1"/>
      <c r="M254" s="211"/>
    </row>
    <row r="255" spans="1:13" ht="19.5">
      <c r="A255" s="1">
        <v>208</v>
      </c>
      <c r="B255" s="2" t="s">
        <v>99</v>
      </c>
      <c r="C255" s="1" t="s">
        <v>188</v>
      </c>
      <c r="D255" s="4">
        <v>22726</v>
      </c>
      <c r="E255" s="63">
        <v>3380</v>
      </c>
      <c r="F255" s="1127" t="s">
        <v>2433</v>
      </c>
      <c r="G255" s="1" t="s">
        <v>45</v>
      </c>
      <c r="H255" s="1"/>
      <c r="I255" s="1"/>
      <c r="J255" s="1"/>
      <c r="K255" s="1"/>
      <c r="L255" s="1"/>
      <c r="M255" s="211"/>
    </row>
    <row r="256" spans="1:13" ht="19.5">
      <c r="A256" s="1">
        <v>209</v>
      </c>
      <c r="B256" s="2" t="s">
        <v>99</v>
      </c>
      <c r="C256" s="1" t="s">
        <v>189</v>
      </c>
      <c r="D256" s="4">
        <v>22726</v>
      </c>
      <c r="E256" s="63">
        <v>3380</v>
      </c>
      <c r="F256" s="1127" t="s">
        <v>2433</v>
      </c>
      <c r="G256" s="1" t="s">
        <v>45</v>
      </c>
      <c r="H256" s="1"/>
      <c r="I256" s="1"/>
      <c r="J256" s="1"/>
      <c r="K256" s="1"/>
      <c r="L256" s="1"/>
      <c r="M256" s="211"/>
    </row>
    <row r="257" spans="1:13" ht="19.5">
      <c r="A257" s="1">
        <v>210</v>
      </c>
      <c r="B257" s="2" t="s">
        <v>1217</v>
      </c>
      <c r="C257" s="1" t="s">
        <v>3003</v>
      </c>
      <c r="D257" s="4">
        <v>242741</v>
      </c>
      <c r="E257" s="143">
        <v>6000</v>
      </c>
      <c r="F257" s="1011" t="s">
        <v>1649</v>
      </c>
      <c r="G257" s="1" t="s">
        <v>45</v>
      </c>
      <c r="H257" s="1"/>
      <c r="I257" s="1"/>
      <c r="J257" s="1"/>
      <c r="K257" s="1"/>
      <c r="L257" s="1"/>
      <c r="M257" s="211" t="s">
        <v>2683</v>
      </c>
    </row>
    <row r="258" spans="1:13" ht="19.5">
      <c r="A258" s="1">
        <v>211</v>
      </c>
      <c r="B258" s="2" t="s">
        <v>1217</v>
      </c>
      <c r="C258" s="1" t="s">
        <v>2906</v>
      </c>
      <c r="D258" s="4">
        <v>242885</v>
      </c>
      <c r="E258" s="143">
        <v>77000</v>
      </c>
      <c r="F258" s="1127" t="s">
        <v>2907</v>
      </c>
      <c r="G258" s="1" t="s">
        <v>45</v>
      </c>
      <c r="H258" s="1"/>
      <c r="I258" s="1"/>
      <c r="J258" s="1"/>
      <c r="K258" s="1"/>
      <c r="L258" s="1"/>
      <c r="M258" s="211" t="s">
        <v>3495</v>
      </c>
    </row>
    <row r="259" spans="1:13" ht="19.5">
      <c r="A259" s="1">
        <v>212</v>
      </c>
      <c r="B259" s="2" t="s">
        <v>1217</v>
      </c>
      <c r="C259" s="1" t="s">
        <v>2908</v>
      </c>
      <c r="D259" s="4">
        <v>242885</v>
      </c>
      <c r="E259" s="143">
        <v>75000</v>
      </c>
      <c r="F259" s="1127" t="s">
        <v>2907</v>
      </c>
      <c r="G259" s="1" t="s">
        <v>45</v>
      </c>
      <c r="H259" s="1"/>
      <c r="I259" s="1"/>
      <c r="J259" s="1"/>
      <c r="K259" s="1"/>
      <c r="L259" s="1"/>
      <c r="M259" s="211" t="s">
        <v>3200</v>
      </c>
    </row>
    <row r="260" spans="1:13" ht="19.5">
      <c r="A260" s="1">
        <v>213</v>
      </c>
      <c r="B260" s="2" t="s">
        <v>1217</v>
      </c>
      <c r="C260" s="1" t="s">
        <v>2909</v>
      </c>
      <c r="D260" s="4">
        <v>242885</v>
      </c>
      <c r="E260" s="143">
        <v>75000</v>
      </c>
      <c r="F260" s="1127" t="s">
        <v>2907</v>
      </c>
      <c r="G260" s="1" t="s">
        <v>45</v>
      </c>
      <c r="H260" s="1"/>
      <c r="I260" s="1"/>
      <c r="J260" s="1"/>
      <c r="K260" s="1"/>
      <c r="L260" s="1"/>
      <c r="M260" s="211"/>
    </row>
    <row r="261" spans="1:13" ht="19.5">
      <c r="A261" s="1">
        <v>214</v>
      </c>
      <c r="B261" s="2" t="s">
        <v>1217</v>
      </c>
      <c r="C261" s="1" t="s">
        <v>2910</v>
      </c>
      <c r="D261" s="4">
        <v>242885</v>
      </c>
      <c r="E261" s="143">
        <v>75000</v>
      </c>
      <c r="F261" s="1127" t="s">
        <v>2907</v>
      </c>
      <c r="G261" s="1" t="s">
        <v>45</v>
      </c>
      <c r="H261" s="1"/>
      <c r="I261" s="1"/>
      <c r="J261" s="1"/>
      <c r="K261" s="1"/>
      <c r="L261" s="1"/>
      <c r="M261" s="211"/>
    </row>
    <row r="262" spans="1:13" ht="19.5">
      <c r="A262" s="1">
        <v>215</v>
      </c>
      <c r="B262" s="2" t="s">
        <v>1217</v>
      </c>
      <c r="C262" s="1" t="s">
        <v>2911</v>
      </c>
      <c r="D262" s="4">
        <v>242885</v>
      </c>
      <c r="E262" s="143">
        <v>3400</v>
      </c>
      <c r="F262" s="1127" t="s">
        <v>2907</v>
      </c>
      <c r="G262" s="1" t="s">
        <v>45</v>
      </c>
      <c r="H262" s="1"/>
      <c r="I262" s="1"/>
      <c r="J262" s="1"/>
      <c r="K262" s="1"/>
      <c r="L262" s="1"/>
      <c r="M262" s="211" t="s">
        <v>3496</v>
      </c>
    </row>
    <row r="263" spans="1:13" ht="19.5">
      <c r="A263" s="1">
        <v>216</v>
      </c>
      <c r="B263" s="2" t="s">
        <v>1217</v>
      </c>
      <c r="C263" s="1" t="s">
        <v>2913</v>
      </c>
      <c r="D263" s="4">
        <v>242885</v>
      </c>
      <c r="E263" s="143">
        <v>3400</v>
      </c>
      <c r="F263" s="1127" t="s">
        <v>2907</v>
      </c>
      <c r="G263" s="1" t="s">
        <v>45</v>
      </c>
      <c r="H263" s="1"/>
      <c r="I263" s="1"/>
      <c r="J263" s="1"/>
      <c r="K263" s="1"/>
      <c r="L263" s="1"/>
      <c r="M263" s="211"/>
    </row>
    <row r="264" spans="1:13" ht="19.5">
      <c r="A264" s="1">
        <v>217</v>
      </c>
      <c r="B264" s="2" t="s">
        <v>1217</v>
      </c>
      <c r="C264" s="1" t="s">
        <v>2914</v>
      </c>
      <c r="D264" s="4">
        <v>242885</v>
      </c>
      <c r="E264" s="143">
        <v>3400</v>
      </c>
      <c r="F264" s="1127" t="s">
        <v>2907</v>
      </c>
      <c r="G264" s="1" t="s">
        <v>45</v>
      </c>
      <c r="H264" s="1"/>
      <c r="I264" s="1"/>
      <c r="J264" s="1"/>
      <c r="K264" s="1"/>
      <c r="L264" s="1"/>
      <c r="M264" s="211" t="s">
        <v>3502</v>
      </c>
    </row>
    <row r="265" spans="1:13" ht="19.5">
      <c r="A265" s="1">
        <v>218</v>
      </c>
      <c r="B265" s="2" t="s">
        <v>1217</v>
      </c>
      <c r="C265" s="1" t="s">
        <v>2915</v>
      </c>
      <c r="D265" s="4">
        <v>242885</v>
      </c>
      <c r="E265" s="143">
        <v>3400</v>
      </c>
      <c r="F265" s="1127" t="s">
        <v>2907</v>
      </c>
      <c r="G265" s="1" t="s">
        <v>45</v>
      </c>
      <c r="H265" s="1"/>
      <c r="I265" s="1"/>
      <c r="J265" s="1"/>
      <c r="K265" s="1"/>
      <c r="L265" s="1"/>
      <c r="M265" s="211" t="s">
        <v>3497</v>
      </c>
    </row>
    <row r="266" spans="1:13" ht="19.5">
      <c r="A266" s="1">
        <v>219</v>
      </c>
      <c r="B266" s="2" t="s">
        <v>2916</v>
      </c>
      <c r="C266" s="1" t="s">
        <v>2917</v>
      </c>
      <c r="D266" s="4">
        <v>242885</v>
      </c>
      <c r="E266" s="143">
        <v>2300</v>
      </c>
      <c r="F266" s="1127" t="s">
        <v>2907</v>
      </c>
      <c r="G266" s="1" t="s">
        <v>45</v>
      </c>
      <c r="H266" s="1"/>
      <c r="I266" s="1"/>
      <c r="J266" s="1"/>
      <c r="K266" s="1"/>
      <c r="L266" s="1"/>
      <c r="M266" s="211" t="s">
        <v>3502</v>
      </c>
    </row>
    <row r="267" spans="1:13" ht="19.5">
      <c r="A267" s="1">
        <v>220</v>
      </c>
      <c r="B267" s="2" t="s">
        <v>2918</v>
      </c>
      <c r="C267" s="1" t="s">
        <v>2919</v>
      </c>
      <c r="D267" s="4">
        <v>242885</v>
      </c>
      <c r="E267" s="143">
        <v>8000</v>
      </c>
      <c r="F267" s="1127" t="s">
        <v>2907</v>
      </c>
      <c r="G267" s="1" t="s">
        <v>45</v>
      </c>
      <c r="H267" s="1"/>
      <c r="I267" s="1"/>
      <c r="J267" s="1"/>
      <c r="K267" s="1"/>
      <c r="L267" s="1"/>
      <c r="M267" s="211" t="s">
        <v>3498</v>
      </c>
    </row>
    <row r="268" spans="1:13" ht="19.5">
      <c r="A268" s="1">
        <v>221</v>
      </c>
      <c r="B268" s="2" t="s">
        <v>2918</v>
      </c>
      <c r="C268" s="1" t="s">
        <v>2920</v>
      </c>
      <c r="D268" s="4">
        <v>242885</v>
      </c>
      <c r="E268" s="143">
        <v>8000</v>
      </c>
      <c r="F268" s="1127" t="s">
        <v>2907</v>
      </c>
      <c r="G268" s="1" t="s">
        <v>45</v>
      </c>
      <c r="H268" s="1"/>
      <c r="I268" s="1"/>
      <c r="J268" s="1"/>
      <c r="K268" s="1"/>
      <c r="L268" s="1"/>
      <c r="M268" s="211" t="s">
        <v>3445</v>
      </c>
    </row>
    <row r="269" spans="1:13" ht="19.5">
      <c r="A269" s="1">
        <v>222</v>
      </c>
      <c r="B269" s="2" t="s">
        <v>2918</v>
      </c>
      <c r="C269" s="1" t="s">
        <v>2921</v>
      </c>
      <c r="D269" s="4">
        <v>242885</v>
      </c>
      <c r="E269" s="143">
        <v>8000</v>
      </c>
      <c r="F269" s="1127" t="s">
        <v>2907</v>
      </c>
      <c r="G269" s="1" t="s">
        <v>45</v>
      </c>
      <c r="H269" s="1"/>
      <c r="I269" s="1"/>
      <c r="J269" s="1"/>
      <c r="K269" s="1"/>
      <c r="L269" s="1"/>
      <c r="M269" s="211" t="s">
        <v>3499</v>
      </c>
    </row>
    <row r="270" spans="1:13" ht="19.5">
      <c r="A270" s="1">
        <v>223</v>
      </c>
      <c r="B270" s="2" t="s">
        <v>3141</v>
      </c>
      <c r="C270" s="1" t="s">
        <v>2874</v>
      </c>
      <c r="D270" s="4">
        <v>242914</v>
      </c>
      <c r="E270" s="143">
        <v>32619</v>
      </c>
      <c r="F270" s="1129" t="s">
        <v>1572</v>
      </c>
      <c r="G270" s="1" t="s">
        <v>45</v>
      </c>
      <c r="H270" s="1"/>
      <c r="I270" s="1"/>
      <c r="J270" s="1"/>
      <c r="K270" s="1"/>
      <c r="L270" s="1"/>
      <c r="M270" s="211" t="s">
        <v>3500</v>
      </c>
    </row>
    <row r="271" spans="1:13" ht="19.5">
      <c r="A271" s="1">
        <v>224</v>
      </c>
      <c r="B271" s="2" t="s">
        <v>3282</v>
      </c>
      <c r="C271" s="1" t="s">
        <v>3283</v>
      </c>
      <c r="D271" s="4" t="s">
        <v>3284</v>
      </c>
      <c r="E271" s="143">
        <v>8500</v>
      </c>
      <c r="F271" s="1129" t="s">
        <v>2770</v>
      </c>
      <c r="G271" s="1" t="s">
        <v>45</v>
      </c>
      <c r="H271" s="1"/>
      <c r="I271" s="1"/>
      <c r="J271" s="1"/>
      <c r="K271" s="1"/>
      <c r="L271" s="1"/>
      <c r="M271" s="289" t="s">
        <v>3494</v>
      </c>
    </row>
    <row r="272" spans="1:13" ht="19.5">
      <c r="A272" s="1">
        <v>225</v>
      </c>
      <c r="B272" s="2" t="s">
        <v>3285</v>
      </c>
      <c r="C272" s="1" t="s">
        <v>3286</v>
      </c>
      <c r="D272" s="4" t="s">
        <v>3289</v>
      </c>
      <c r="E272" s="143">
        <v>8500</v>
      </c>
      <c r="F272" s="1129" t="s">
        <v>3287</v>
      </c>
      <c r="G272" s="1" t="s">
        <v>45</v>
      </c>
      <c r="H272" s="1"/>
      <c r="I272" s="1"/>
      <c r="J272" s="1"/>
      <c r="K272" s="1"/>
      <c r="L272" s="1"/>
      <c r="M272" s="211" t="s">
        <v>3490</v>
      </c>
    </row>
    <row r="273" spans="1:13" s="891" customFormat="1" ht="19.5">
      <c r="A273" s="857">
        <v>227</v>
      </c>
      <c r="B273" s="863" t="s">
        <v>80</v>
      </c>
      <c r="C273" s="857" t="s">
        <v>3629</v>
      </c>
      <c r="D273" s="866">
        <v>24390</v>
      </c>
      <c r="E273" s="872">
        <v>14000</v>
      </c>
      <c r="F273" s="1130" t="s">
        <v>3287</v>
      </c>
      <c r="G273" s="857" t="s">
        <v>45</v>
      </c>
      <c r="H273" s="857"/>
      <c r="I273" s="857"/>
      <c r="J273" s="857"/>
      <c r="K273" s="857"/>
      <c r="L273" s="857"/>
      <c r="M273" s="860" t="s">
        <v>3549</v>
      </c>
    </row>
    <row r="274" spans="1:13" s="914" customFormat="1" ht="20.25" thickBot="1">
      <c r="A274" s="909">
        <v>227</v>
      </c>
      <c r="B274" s="908"/>
      <c r="C274" s="909"/>
      <c r="D274" s="910" t="s">
        <v>64</v>
      </c>
      <c r="E274" s="911">
        <f>SUM(E44:E273)</f>
        <v>1163306.06</v>
      </c>
      <c r="F274" s="909"/>
      <c r="G274" s="909"/>
      <c r="H274" s="909"/>
      <c r="I274" s="909"/>
      <c r="J274" s="909"/>
      <c r="K274" s="909"/>
      <c r="L274" s="909"/>
      <c r="M274" s="913"/>
    </row>
    <row r="275" spans="1:13" ht="20.25" thickTop="1">
      <c r="A275" s="1"/>
      <c r="B275" s="2"/>
      <c r="C275" s="1"/>
      <c r="D275" s="47"/>
      <c r="E275" s="95"/>
      <c r="F275" s="1"/>
      <c r="G275" s="1"/>
      <c r="H275" s="1"/>
      <c r="I275" s="1"/>
      <c r="J275" s="1"/>
      <c r="K275" s="1"/>
      <c r="L275" s="1"/>
      <c r="M275" s="211"/>
    </row>
    <row r="276" spans="1:13" ht="19.5">
      <c r="A276" s="158"/>
      <c r="B276" s="5" t="s">
        <v>190</v>
      </c>
      <c r="C276" s="158"/>
      <c r="D276" s="1"/>
      <c r="E276" s="185"/>
      <c r="F276" s="158"/>
      <c r="G276" s="1"/>
      <c r="H276" s="1"/>
      <c r="I276" s="1"/>
      <c r="J276" s="1"/>
      <c r="K276" s="1"/>
      <c r="L276" s="1"/>
      <c r="M276" s="211"/>
    </row>
    <row r="277" spans="1:13" ht="19.5">
      <c r="A277" s="158">
        <v>1</v>
      </c>
      <c r="B277" s="3" t="s">
        <v>2219</v>
      </c>
      <c r="C277" s="1" t="s">
        <v>2220</v>
      </c>
      <c r="D277" s="4">
        <v>45480</v>
      </c>
      <c r="E277" s="1108">
        <v>1600</v>
      </c>
      <c r="F277" s="1177" t="s">
        <v>3173</v>
      </c>
      <c r="G277" s="1" t="s">
        <v>45</v>
      </c>
      <c r="H277" s="1"/>
      <c r="I277" s="1"/>
      <c r="J277" s="1"/>
      <c r="K277" s="1"/>
      <c r="L277" s="1"/>
      <c r="M277" s="211" t="s">
        <v>3219</v>
      </c>
    </row>
    <row r="278" spans="1:13" ht="19.5">
      <c r="A278" s="158">
        <v>2</v>
      </c>
      <c r="B278" s="3" t="s">
        <v>191</v>
      </c>
      <c r="C278" s="1" t="s">
        <v>2234</v>
      </c>
      <c r="D278" s="4">
        <v>46273</v>
      </c>
      <c r="E278" s="185">
        <v>296</v>
      </c>
      <c r="F278" s="1127" t="s">
        <v>2433</v>
      </c>
      <c r="G278" s="1" t="s">
        <v>45</v>
      </c>
      <c r="H278" s="1"/>
      <c r="I278" s="1"/>
      <c r="J278" s="1"/>
      <c r="K278" s="1"/>
      <c r="L278" s="1"/>
      <c r="M278" s="211"/>
    </row>
    <row r="279" spans="1:13" ht="19.5">
      <c r="A279" s="158">
        <v>3</v>
      </c>
      <c r="B279" s="3" t="s">
        <v>191</v>
      </c>
      <c r="C279" s="1" t="s">
        <v>2235</v>
      </c>
      <c r="D279" s="4">
        <v>46273</v>
      </c>
      <c r="E279" s="185">
        <v>296</v>
      </c>
      <c r="F279" s="1127" t="s">
        <v>2433</v>
      </c>
      <c r="G279" s="1" t="s">
        <v>45</v>
      </c>
      <c r="H279" s="1"/>
      <c r="I279" s="1"/>
      <c r="J279" s="1"/>
      <c r="K279" s="1"/>
      <c r="L279" s="1"/>
      <c r="M279" s="211"/>
    </row>
    <row r="280" spans="1:13" ht="19.5">
      <c r="A280" s="158">
        <v>4</v>
      </c>
      <c r="B280" s="3" t="s">
        <v>191</v>
      </c>
      <c r="C280" s="1" t="s">
        <v>2236</v>
      </c>
      <c r="D280" s="4">
        <v>46273</v>
      </c>
      <c r="E280" s="185">
        <v>296</v>
      </c>
      <c r="F280" s="1127" t="s">
        <v>2433</v>
      </c>
      <c r="G280" s="1" t="s">
        <v>45</v>
      </c>
      <c r="H280" s="1"/>
      <c r="I280" s="1"/>
      <c r="J280" s="1"/>
      <c r="K280" s="1"/>
      <c r="L280" s="1"/>
      <c r="M280" s="211"/>
    </row>
    <row r="281" spans="1:13" ht="19.5">
      <c r="A281" s="158">
        <v>5</v>
      </c>
      <c r="B281" s="3" t="s">
        <v>191</v>
      </c>
      <c r="C281" s="1" t="s">
        <v>2237</v>
      </c>
      <c r="D281" s="4">
        <v>46273</v>
      </c>
      <c r="E281" s="185">
        <v>296</v>
      </c>
      <c r="F281" s="1127" t="s">
        <v>2433</v>
      </c>
      <c r="G281" s="1" t="s">
        <v>45</v>
      </c>
      <c r="H281" s="1"/>
      <c r="I281" s="1"/>
      <c r="J281" s="1"/>
      <c r="K281" s="1"/>
      <c r="L281" s="1"/>
      <c r="M281" s="211"/>
    </row>
    <row r="282" spans="1:13" s="44" customFormat="1" ht="19.5">
      <c r="A282" s="158">
        <v>6</v>
      </c>
      <c r="B282" s="3" t="s">
        <v>1305</v>
      </c>
      <c r="C282" s="158" t="s">
        <v>1313</v>
      </c>
      <c r="D282" s="4">
        <v>11194</v>
      </c>
      <c r="E282" s="58">
        <v>3000</v>
      </c>
      <c r="F282" s="1131" t="s">
        <v>1265</v>
      </c>
      <c r="G282" s="1" t="s">
        <v>45</v>
      </c>
      <c r="H282" s="1"/>
      <c r="I282" s="1"/>
      <c r="J282" s="1"/>
      <c r="K282" s="1"/>
      <c r="L282" s="1"/>
      <c r="M282" s="211" t="s">
        <v>3180</v>
      </c>
    </row>
    <row r="283" spans="1:13" ht="19.5">
      <c r="A283" s="158">
        <v>7</v>
      </c>
      <c r="B283" s="3" t="s">
        <v>2239</v>
      </c>
      <c r="C283" s="158" t="s">
        <v>2238</v>
      </c>
      <c r="D283" s="4">
        <v>11194</v>
      </c>
      <c r="E283" s="58">
        <v>2600</v>
      </c>
      <c r="F283" s="1127" t="s">
        <v>2433</v>
      </c>
      <c r="G283" s="1" t="s">
        <v>45</v>
      </c>
      <c r="H283" s="1"/>
      <c r="I283" s="1"/>
      <c r="J283" s="1"/>
      <c r="K283" s="1"/>
      <c r="L283" s="1"/>
      <c r="M283" s="211"/>
    </row>
    <row r="284" spans="1:13" ht="19.5">
      <c r="A284" s="158">
        <v>8</v>
      </c>
      <c r="B284" s="3" t="s">
        <v>2239</v>
      </c>
      <c r="C284" s="158" t="s">
        <v>2240</v>
      </c>
      <c r="D284" s="4">
        <v>11194</v>
      </c>
      <c r="E284" s="58">
        <v>2600</v>
      </c>
      <c r="F284" s="1127" t="s">
        <v>2433</v>
      </c>
      <c r="G284" s="1" t="s">
        <v>45</v>
      </c>
      <c r="H284" s="1"/>
      <c r="I284" s="1"/>
      <c r="J284" s="1"/>
      <c r="K284" s="1"/>
      <c r="L284" s="1"/>
      <c r="M284" s="211"/>
    </row>
    <row r="285" spans="1:13" ht="19.5">
      <c r="A285" s="158">
        <v>9</v>
      </c>
      <c r="B285" s="3" t="s">
        <v>2239</v>
      </c>
      <c r="C285" s="158" t="s">
        <v>2241</v>
      </c>
      <c r="D285" s="4">
        <v>11194</v>
      </c>
      <c r="E285" s="58">
        <v>2600</v>
      </c>
      <c r="F285" s="1127" t="s">
        <v>2433</v>
      </c>
      <c r="G285" s="1" t="s">
        <v>45</v>
      </c>
      <c r="H285" s="1"/>
      <c r="I285" s="1"/>
      <c r="J285" s="1"/>
      <c r="K285" s="1"/>
      <c r="L285" s="1"/>
      <c r="M285" s="211"/>
    </row>
    <row r="286" spans="1:13" ht="19.5">
      <c r="A286" s="158">
        <v>10</v>
      </c>
      <c r="B286" s="245" t="s">
        <v>2243</v>
      </c>
      <c r="C286" s="158" t="s">
        <v>2242</v>
      </c>
      <c r="D286" s="4">
        <v>11194</v>
      </c>
      <c r="E286" s="1078">
        <v>1400</v>
      </c>
      <c r="F286" s="1173" t="s">
        <v>999</v>
      </c>
      <c r="G286" s="1" t="s">
        <v>45</v>
      </c>
      <c r="H286" s="1"/>
      <c r="I286" s="1"/>
      <c r="J286" s="1"/>
      <c r="K286" s="1"/>
      <c r="L286" s="1"/>
      <c r="M286" s="211"/>
    </row>
    <row r="287" spans="1:13" ht="19.5">
      <c r="A287" s="158">
        <v>11</v>
      </c>
      <c r="B287" s="245" t="s">
        <v>1315</v>
      </c>
      <c r="C287" s="158" t="s">
        <v>1317</v>
      </c>
      <c r="D287" s="4">
        <v>11194</v>
      </c>
      <c r="E287" s="58">
        <v>1400</v>
      </c>
      <c r="F287" s="1131" t="s">
        <v>1265</v>
      </c>
      <c r="G287" s="1" t="s">
        <v>45</v>
      </c>
      <c r="H287" s="1"/>
      <c r="I287" s="1"/>
      <c r="J287" s="1"/>
      <c r="K287" s="1"/>
      <c r="L287" s="1"/>
      <c r="M287" s="211" t="s">
        <v>3182</v>
      </c>
    </row>
    <row r="288" spans="1:13" ht="19.5">
      <c r="A288" s="158">
        <v>12</v>
      </c>
      <c r="B288" s="245" t="s">
        <v>1315</v>
      </c>
      <c r="C288" s="158" t="s">
        <v>2244</v>
      </c>
      <c r="D288" s="4">
        <v>11194</v>
      </c>
      <c r="E288" s="1078">
        <v>1400</v>
      </c>
      <c r="F288" s="1173" t="s">
        <v>999</v>
      </c>
      <c r="G288" s="1" t="s">
        <v>45</v>
      </c>
      <c r="H288" s="192"/>
      <c r="I288" s="192"/>
      <c r="J288" s="192"/>
      <c r="K288" s="192"/>
      <c r="L288" s="192"/>
      <c r="M288" s="518" t="s">
        <v>3453</v>
      </c>
    </row>
    <row r="289" spans="1:13" ht="19.5">
      <c r="A289" s="158">
        <v>13</v>
      </c>
      <c r="B289" s="245" t="s">
        <v>1315</v>
      </c>
      <c r="C289" s="158" t="s">
        <v>2245</v>
      </c>
      <c r="D289" s="4">
        <v>11194</v>
      </c>
      <c r="E289" s="1078">
        <v>1400</v>
      </c>
      <c r="F289" s="1173" t="s">
        <v>999</v>
      </c>
      <c r="G289" s="1" t="s">
        <v>45</v>
      </c>
      <c r="H289" s="192"/>
      <c r="I289" s="192"/>
      <c r="J289" s="192"/>
      <c r="K289" s="192"/>
      <c r="L289" s="192"/>
      <c r="M289" s="518"/>
    </row>
    <row r="290" spans="1:13" ht="19.5">
      <c r="A290" s="158">
        <v>14</v>
      </c>
      <c r="B290" s="245" t="s">
        <v>1315</v>
      </c>
      <c r="C290" s="158" t="s">
        <v>2246</v>
      </c>
      <c r="D290" s="4">
        <v>11194</v>
      </c>
      <c r="E290" s="1078">
        <v>1400</v>
      </c>
      <c r="F290" s="1173" t="s">
        <v>999</v>
      </c>
      <c r="G290" s="1" t="s">
        <v>45</v>
      </c>
      <c r="H290" s="192"/>
      <c r="I290" s="192"/>
      <c r="J290" s="192"/>
      <c r="K290" s="192"/>
      <c r="L290" s="192"/>
      <c r="M290" s="518"/>
    </row>
    <row r="291" spans="1:13" ht="19.5">
      <c r="A291" s="158">
        <v>15</v>
      </c>
      <c r="B291" s="259" t="s">
        <v>1717</v>
      </c>
      <c r="C291" s="260" t="s">
        <v>1671</v>
      </c>
      <c r="D291" s="243">
        <v>13913</v>
      </c>
      <c r="E291" s="253">
        <v>600</v>
      </c>
      <c r="F291" s="1011" t="s">
        <v>1649</v>
      </c>
      <c r="G291" s="1" t="s">
        <v>45</v>
      </c>
      <c r="H291" s="1"/>
      <c r="I291" s="1"/>
      <c r="J291" s="1"/>
      <c r="K291" s="1"/>
      <c r="L291" s="1"/>
      <c r="M291" s="518" t="s">
        <v>3205</v>
      </c>
    </row>
    <row r="292" spans="1:13" ht="19.5">
      <c r="A292" s="158">
        <v>16</v>
      </c>
      <c r="B292" s="259" t="s">
        <v>1717</v>
      </c>
      <c r="C292" s="260" t="s">
        <v>1672</v>
      </c>
      <c r="D292" s="243">
        <v>13913</v>
      </c>
      <c r="E292" s="253">
        <v>600</v>
      </c>
      <c r="F292" s="1011" t="s">
        <v>1649</v>
      </c>
      <c r="G292" s="1" t="s">
        <v>45</v>
      </c>
      <c r="H292" s="1"/>
      <c r="I292" s="1"/>
      <c r="J292" s="1"/>
      <c r="K292" s="1"/>
      <c r="L292" s="1"/>
      <c r="M292" s="518" t="s">
        <v>3205</v>
      </c>
    </row>
    <row r="293" spans="1:13" ht="19.5">
      <c r="A293" s="158">
        <v>17</v>
      </c>
      <c r="B293" s="259" t="s">
        <v>2222</v>
      </c>
      <c r="C293" s="260" t="s">
        <v>2221</v>
      </c>
      <c r="D293" s="243">
        <v>14158</v>
      </c>
      <c r="E293" s="253">
        <v>4490</v>
      </c>
      <c r="F293" s="1127" t="s">
        <v>2433</v>
      </c>
      <c r="G293" s="1" t="s">
        <v>45</v>
      </c>
      <c r="H293" s="1"/>
      <c r="I293" s="1"/>
      <c r="J293" s="1"/>
      <c r="K293" s="1"/>
      <c r="L293" s="1"/>
      <c r="M293" s="211"/>
    </row>
    <row r="294" spans="1:13" ht="19.5">
      <c r="A294" s="158">
        <v>18</v>
      </c>
      <c r="B294" s="259" t="s">
        <v>2222</v>
      </c>
      <c r="C294" s="260" t="s">
        <v>2223</v>
      </c>
      <c r="D294" s="243">
        <v>14158</v>
      </c>
      <c r="E294" s="253">
        <v>4490</v>
      </c>
      <c r="F294" s="1127" t="s">
        <v>2433</v>
      </c>
      <c r="G294" s="1" t="s">
        <v>45</v>
      </c>
      <c r="H294" s="1"/>
      <c r="I294" s="1"/>
      <c r="J294" s="1"/>
      <c r="K294" s="1"/>
      <c r="L294" s="1"/>
      <c r="M294" s="211"/>
    </row>
    <row r="295" spans="1:13" ht="19.5">
      <c r="A295" s="158">
        <v>19</v>
      </c>
      <c r="B295" s="259" t="s">
        <v>2222</v>
      </c>
      <c r="C295" s="260" t="s">
        <v>2224</v>
      </c>
      <c r="D295" s="243">
        <v>14158</v>
      </c>
      <c r="E295" s="253">
        <v>4490</v>
      </c>
      <c r="F295" s="1127" t="s">
        <v>2433</v>
      </c>
      <c r="G295" s="1" t="s">
        <v>45</v>
      </c>
      <c r="H295" s="1"/>
      <c r="I295" s="1"/>
      <c r="J295" s="1"/>
      <c r="K295" s="1"/>
      <c r="L295" s="1"/>
      <c r="M295" s="211"/>
    </row>
    <row r="296" spans="1:13" ht="19.5">
      <c r="A296" s="158">
        <v>20</v>
      </c>
      <c r="B296" s="2" t="s">
        <v>191</v>
      </c>
      <c r="C296" s="1" t="s">
        <v>192</v>
      </c>
      <c r="D296" s="4">
        <v>14659</v>
      </c>
      <c r="E296" s="63">
        <v>1300</v>
      </c>
      <c r="F296" s="1127" t="s">
        <v>2433</v>
      </c>
      <c r="G296" s="1" t="s">
        <v>45</v>
      </c>
      <c r="H296" s="1"/>
      <c r="I296" s="1"/>
      <c r="J296" s="1"/>
      <c r="K296" s="1"/>
      <c r="L296" s="1"/>
      <c r="M296" s="211"/>
    </row>
    <row r="297" spans="1:13" ht="19.5">
      <c r="A297" s="158">
        <v>21</v>
      </c>
      <c r="B297" s="245" t="s">
        <v>1319</v>
      </c>
      <c r="C297" s="158" t="s">
        <v>1320</v>
      </c>
      <c r="D297" s="4">
        <v>14852</v>
      </c>
      <c r="E297" s="58">
        <v>2580</v>
      </c>
      <c r="F297" s="1131" t="s">
        <v>1265</v>
      </c>
      <c r="G297" s="1" t="s">
        <v>45</v>
      </c>
      <c r="H297" s="1"/>
      <c r="I297" s="1"/>
      <c r="J297" s="1"/>
      <c r="K297" s="1"/>
      <c r="L297" s="1"/>
      <c r="M297" s="211" t="s">
        <v>3164</v>
      </c>
    </row>
    <row r="298" spans="1:13" ht="19.5">
      <c r="A298" s="158">
        <v>22</v>
      </c>
      <c r="B298" s="245" t="s">
        <v>1319</v>
      </c>
      <c r="C298" s="158" t="s">
        <v>1321</v>
      </c>
      <c r="D298" s="4">
        <v>14852</v>
      </c>
      <c r="E298" s="58">
        <v>2580</v>
      </c>
      <c r="F298" s="1131" t="s">
        <v>1265</v>
      </c>
      <c r="G298" s="1" t="s">
        <v>45</v>
      </c>
      <c r="H298" s="1"/>
      <c r="I298" s="1"/>
      <c r="J298" s="1"/>
      <c r="K298" s="1"/>
      <c r="L298" s="1"/>
      <c r="M298" s="211" t="s">
        <v>3164</v>
      </c>
    </row>
    <row r="299" spans="1:13" ht="19.5">
      <c r="A299" s="158">
        <v>23</v>
      </c>
      <c r="B299" s="245" t="s">
        <v>1319</v>
      </c>
      <c r="C299" s="158" t="s">
        <v>1322</v>
      </c>
      <c r="D299" s="4">
        <v>14852</v>
      </c>
      <c r="E299" s="58">
        <v>2580</v>
      </c>
      <c r="F299" s="1131" t="s">
        <v>1265</v>
      </c>
      <c r="G299" s="1" t="s">
        <v>45</v>
      </c>
      <c r="H299" s="1"/>
      <c r="I299" s="1"/>
      <c r="J299" s="1"/>
      <c r="K299" s="1"/>
      <c r="L299" s="1"/>
      <c r="M299" s="211" t="s">
        <v>3164</v>
      </c>
    </row>
    <row r="300" spans="1:13" ht="19.5">
      <c r="A300" s="158">
        <v>24</v>
      </c>
      <c r="B300" s="245" t="s">
        <v>1319</v>
      </c>
      <c r="C300" s="158" t="s">
        <v>1323</v>
      </c>
      <c r="D300" s="4">
        <v>14852</v>
      </c>
      <c r="E300" s="58">
        <v>2580</v>
      </c>
      <c r="F300" s="1131" t="s">
        <v>1265</v>
      </c>
      <c r="G300" s="1" t="s">
        <v>45</v>
      </c>
      <c r="H300" s="1"/>
      <c r="I300" s="1"/>
      <c r="J300" s="1"/>
      <c r="K300" s="1"/>
      <c r="L300" s="1"/>
      <c r="M300" s="211" t="s">
        <v>3164</v>
      </c>
    </row>
    <row r="301" spans="1:13" ht="19.5">
      <c r="A301" s="158">
        <v>25</v>
      </c>
      <c r="B301" s="245" t="s">
        <v>1319</v>
      </c>
      <c r="C301" s="158" t="s">
        <v>1325</v>
      </c>
      <c r="D301" s="4">
        <v>14852</v>
      </c>
      <c r="E301" s="58">
        <v>2580</v>
      </c>
      <c r="F301" s="1131" t="s">
        <v>1265</v>
      </c>
      <c r="G301" s="1" t="s">
        <v>45</v>
      </c>
      <c r="H301" s="1"/>
      <c r="I301" s="1"/>
      <c r="J301" s="1"/>
      <c r="K301" s="1"/>
      <c r="L301" s="1"/>
      <c r="M301" s="211" t="s">
        <v>3178</v>
      </c>
    </row>
    <row r="302" spans="1:13" ht="19.5">
      <c r="A302" s="158">
        <v>26</v>
      </c>
      <c r="B302" s="245" t="s">
        <v>1319</v>
      </c>
      <c r="C302" s="158" t="s">
        <v>1326</v>
      </c>
      <c r="D302" s="4">
        <v>14852</v>
      </c>
      <c r="E302" s="58">
        <v>2580</v>
      </c>
      <c r="F302" s="1131" t="s">
        <v>1265</v>
      </c>
      <c r="G302" s="1" t="s">
        <v>45</v>
      </c>
      <c r="H302" s="1"/>
      <c r="I302" s="1"/>
      <c r="J302" s="1"/>
      <c r="K302" s="1"/>
      <c r="L302" s="1"/>
      <c r="M302" s="211" t="s">
        <v>3164</v>
      </c>
    </row>
    <row r="303" spans="1:13" ht="19.5">
      <c r="A303" s="158">
        <v>27</v>
      </c>
      <c r="B303" s="245" t="s">
        <v>1319</v>
      </c>
      <c r="C303" s="158" t="s">
        <v>1327</v>
      </c>
      <c r="D303" s="4">
        <v>14852</v>
      </c>
      <c r="E303" s="58">
        <v>2580</v>
      </c>
      <c r="F303" s="1131" t="s">
        <v>1265</v>
      </c>
      <c r="G303" s="1" t="s">
        <v>45</v>
      </c>
      <c r="H303" s="1"/>
      <c r="I303" s="1"/>
      <c r="J303" s="1"/>
      <c r="K303" s="1"/>
      <c r="L303" s="1"/>
      <c r="M303" s="211" t="s">
        <v>3164</v>
      </c>
    </row>
    <row r="304" spans="1:13" ht="19.5">
      <c r="A304" s="158">
        <v>28</v>
      </c>
      <c r="B304" s="245" t="s">
        <v>1319</v>
      </c>
      <c r="C304" s="158" t="s">
        <v>1328</v>
      </c>
      <c r="D304" s="4">
        <v>14852</v>
      </c>
      <c r="E304" s="58">
        <v>2580</v>
      </c>
      <c r="F304" s="1131" t="s">
        <v>1265</v>
      </c>
      <c r="G304" s="1" t="s">
        <v>45</v>
      </c>
      <c r="H304" s="1"/>
      <c r="I304" s="1"/>
      <c r="J304" s="1"/>
      <c r="K304" s="1"/>
      <c r="L304" s="1"/>
      <c r="M304" s="211" t="s">
        <v>3181</v>
      </c>
    </row>
    <row r="305" spans="1:13" ht="19.5">
      <c r="A305" s="158">
        <v>29</v>
      </c>
      <c r="B305" s="245" t="s">
        <v>1319</v>
      </c>
      <c r="C305" s="158" t="s">
        <v>1330</v>
      </c>
      <c r="D305" s="4">
        <v>14852</v>
      </c>
      <c r="E305" s="58">
        <v>2580</v>
      </c>
      <c r="F305" s="1131" t="s">
        <v>1265</v>
      </c>
      <c r="G305" s="1" t="s">
        <v>45</v>
      </c>
      <c r="H305" s="1"/>
      <c r="I305" s="1"/>
      <c r="J305" s="1"/>
      <c r="K305" s="1"/>
      <c r="L305" s="1"/>
      <c r="M305" s="211" t="s">
        <v>3164</v>
      </c>
    </row>
    <row r="306" spans="1:13" ht="19.5">
      <c r="A306" s="158">
        <v>30</v>
      </c>
      <c r="B306" s="245" t="s">
        <v>1319</v>
      </c>
      <c r="C306" s="158" t="s">
        <v>1331</v>
      </c>
      <c r="D306" s="4">
        <v>14852</v>
      </c>
      <c r="E306" s="58">
        <v>2580</v>
      </c>
      <c r="F306" s="1131" t="s">
        <v>1265</v>
      </c>
      <c r="G306" s="1" t="s">
        <v>45</v>
      </c>
      <c r="H306" s="1"/>
      <c r="I306" s="1"/>
      <c r="J306" s="1"/>
      <c r="K306" s="1"/>
      <c r="L306" s="1"/>
      <c r="M306" s="211" t="s">
        <v>3164</v>
      </c>
    </row>
    <row r="307" spans="1:13" ht="19.5">
      <c r="A307" s="158">
        <v>31</v>
      </c>
      <c r="B307" s="245" t="s">
        <v>1319</v>
      </c>
      <c r="C307" s="158" t="s">
        <v>1332</v>
      </c>
      <c r="D307" s="4">
        <v>14852</v>
      </c>
      <c r="E307" s="58">
        <v>2580</v>
      </c>
      <c r="F307" s="1131" t="s">
        <v>1265</v>
      </c>
      <c r="G307" s="1" t="s">
        <v>45</v>
      </c>
      <c r="H307" s="1"/>
      <c r="I307" s="1"/>
      <c r="J307" s="1"/>
      <c r="K307" s="1"/>
      <c r="L307" s="1"/>
      <c r="M307" s="211" t="s">
        <v>3164</v>
      </c>
    </row>
    <row r="308" spans="1:13" ht="19.5">
      <c r="A308" s="158">
        <v>32</v>
      </c>
      <c r="B308" s="245" t="s">
        <v>1319</v>
      </c>
      <c r="C308" s="158" t="s">
        <v>1333</v>
      </c>
      <c r="D308" s="4">
        <v>14852</v>
      </c>
      <c r="E308" s="58">
        <v>2580</v>
      </c>
      <c r="F308" s="1131" t="s">
        <v>1265</v>
      </c>
      <c r="G308" s="1" t="s">
        <v>45</v>
      </c>
      <c r="H308" s="1"/>
      <c r="I308" s="1"/>
      <c r="J308" s="1"/>
      <c r="K308" s="1"/>
      <c r="L308" s="1"/>
      <c r="M308" s="211" t="s">
        <v>3272</v>
      </c>
    </row>
    <row r="309" spans="1:13" ht="19.5">
      <c r="A309" s="158">
        <v>33</v>
      </c>
      <c r="B309" s="245" t="s">
        <v>1319</v>
      </c>
      <c r="C309" s="158" t="s">
        <v>1334</v>
      </c>
      <c r="D309" s="4">
        <v>14852</v>
      </c>
      <c r="E309" s="58">
        <v>2580</v>
      </c>
      <c r="F309" s="1131" t="s">
        <v>1265</v>
      </c>
      <c r="G309" s="1" t="s">
        <v>45</v>
      </c>
      <c r="H309" s="1"/>
      <c r="I309" s="1"/>
      <c r="J309" s="1"/>
      <c r="K309" s="1"/>
      <c r="L309" s="1"/>
      <c r="M309" s="211" t="s">
        <v>3164</v>
      </c>
    </row>
    <row r="310" spans="1:13" ht="19.5">
      <c r="A310" s="158">
        <v>34</v>
      </c>
      <c r="B310" s="245" t="s">
        <v>1319</v>
      </c>
      <c r="C310" s="158" t="s">
        <v>1335</v>
      </c>
      <c r="D310" s="4">
        <v>14852</v>
      </c>
      <c r="E310" s="58">
        <v>2580</v>
      </c>
      <c r="F310" s="1131" t="s">
        <v>1265</v>
      </c>
      <c r="G310" s="1" t="s">
        <v>45</v>
      </c>
      <c r="H310" s="1"/>
      <c r="I310" s="1"/>
      <c r="J310" s="1"/>
      <c r="K310" s="1"/>
      <c r="L310" s="1"/>
      <c r="M310" s="211" t="s">
        <v>3164</v>
      </c>
    </row>
    <row r="311" spans="1:13" ht="19.5">
      <c r="A311" s="158">
        <v>35</v>
      </c>
      <c r="B311" s="245" t="s">
        <v>1319</v>
      </c>
      <c r="C311" s="158" t="s">
        <v>1337</v>
      </c>
      <c r="D311" s="4">
        <v>14852</v>
      </c>
      <c r="E311" s="58">
        <v>2580</v>
      </c>
      <c r="F311" s="1131" t="s">
        <v>1265</v>
      </c>
      <c r="G311" s="1" t="s">
        <v>45</v>
      </c>
      <c r="H311" s="1"/>
      <c r="I311" s="1"/>
      <c r="J311" s="1"/>
      <c r="K311" s="1"/>
      <c r="L311" s="1"/>
      <c r="M311" s="211" t="s">
        <v>3164</v>
      </c>
    </row>
    <row r="312" spans="1:13" ht="19.5">
      <c r="A312" s="158">
        <v>36</v>
      </c>
      <c r="B312" s="245" t="s">
        <v>1319</v>
      </c>
      <c r="C312" s="158" t="s">
        <v>1338</v>
      </c>
      <c r="D312" s="4">
        <v>14852</v>
      </c>
      <c r="E312" s="58">
        <v>2580</v>
      </c>
      <c r="F312" s="1131" t="s">
        <v>1265</v>
      </c>
      <c r="G312" s="1" t="s">
        <v>45</v>
      </c>
      <c r="H312" s="1"/>
      <c r="I312" s="1"/>
      <c r="J312" s="1"/>
      <c r="K312" s="1"/>
      <c r="L312" s="1"/>
      <c r="M312" s="211" t="s">
        <v>3164</v>
      </c>
    </row>
    <row r="313" spans="1:13" ht="19.5">
      <c r="A313" s="158">
        <v>37</v>
      </c>
      <c r="B313" s="245" t="s">
        <v>1319</v>
      </c>
      <c r="C313" s="158" t="s">
        <v>1339</v>
      </c>
      <c r="D313" s="4">
        <v>14852</v>
      </c>
      <c r="E313" s="58">
        <v>2580</v>
      </c>
      <c r="F313" s="1131" t="s">
        <v>1265</v>
      </c>
      <c r="G313" s="1" t="s">
        <v>45</v>
      </c>
      <c r="H313" s="1"/>
      <c r="I313" s="1"/>
      <c r="J313" s="1"/>
      <c r="K313" s="1"/>
      <c r="L313" s="1"/>
      <c r="M313" s="211" t="s">
        <v>3164</v>
      </c>
    </row>
    <row r="314" spans="1:13" ht="19.5">
      <c r="A314" s="158">
        <v>38</v>
      </c>
      <c r="B314" s="245" t="s">
        <v>1319</v>
      </c>
      <c r="C314" s="158" t="s">
        <v>1341</v>
      </c>
      <c r="D314" s="4">
        <v>14852</v>
      </c>
      <c r="E314" s="58">
        <v>2580</v>
      </c>
      <c r="F314" s="1131" t="s">
        <v>1265</v>
      </c>
      <c r="G314" s="1" t="s">
        <v>45</v>
      </c>
      <c r="H314" s="1"/>
      <c r="I314" s="1"/>
      <c r="J314" s="1"/>
      <c r="K314" s="1"/>
      <c r="L314" s="1"/>
      <c r="M314" s="211" t="s">
        <v>3164</v>
      </c>
    </row>
    <row r="315" spans="1:13" ht="19.5">
      <c r="A315" s="158">
        <v>39</v>
      </c>
      <c r="B315" s="245" t="s">
        <v>1319</v>
      </c>
      <c r="C315" s="158" t="s">
        <v>1342</v>
      </c>
      <c r="D315" s="4">
        <v>14852</v>
      </c>
      <c r="E315" s="58">
        <v>2580</v>
      </c>
      <c r="F315" s="1127" t="s">
        <v>2433</v>
      </c>
      <c r="G315" s="1" t="s">
        <v>45</v>
      </c>
      <c r="H315" s="1"/>
      <c r="I315" s="1"/>
      <c r="J315" s="1"/>
      <c r="K315" s="1"/>
      <c r="L315" s="1"/>
      <c r="M315" s="211" t="s">
        <v>3501</v>
      </c>
    </row>
    <row r="316" spans="1:13" ht="19.5">
      <c r="A316" s="158">
        <v>40</v>
      </c>
      <c r="B316" s="245" t="s">
        <v>1319</v>
      </c>
      <c r="C316" s="158" t="s">
        <v>1343</v>
      </c>
      <c r="D316" s="4">
        <v>14852</v>
      </c>
      <c r="E316" s="58">
        <v>2580</v>
      </c>
      <c r="F316" s="1131" t="s">
        <v>1572</v>
      </c>
      <c r="G316" s="1" t="s">
        <v>45</v>
      </c>
      <c r="H316" s="1"/>
      <c r="I316" s="1"/>
      <c r="J316" s="1"/>
      <c r="K316" s="1"/>
      <c r="L316" s="1"/>
      <c r="M316" s="211"/>
    </row>
    <row r="317" spans="1:13" ht="19.5">
      <c r="A317" s="158">
        <v>41</v>
      </c>
      <c r="B317" s="245" t="s">
        <v>1319</v>
      </c>
      <c r="C317" s="158" t="s">
        <v>1344</v>
      </c>
      <c r="D317" s="4">
        <v>14852</v>
      </c>
      <c r="E317" s="58">
        <v>2580</v>
      </c>
      <c r="F317" s="1131" t="s">
        <v>1265</v>
      </c>
      <c r="G317" s="1" t="s">
        <v>45</v>
      </c>
      <c r="H317" s="1"/>
      <c r="I317" s="1"/>
      <c r="J317" s="1"/>
      <c r="K317" s="1"/>
      <c r="L317" s="1"/>
      <c r="M317" s="211" t="s">
        <v>3164</v>
      </c>
    </row>
    <row r="318" spans="1:13" ht="19.5">
      <c r="A318" s="158">
        <v>42</v>
      </c>
      <c r="B318" s="2" t="s">
        <v>193</v>
      </c>
      <c r="C318" s="1" t="s">
        <v>194</v>
      </c>
      <c r="D318" s="4">
        <v>14964</v>
      </c>
      <c r="E318" s="63">
        <v>700</v>
      </c>
      <c r="F318" s="1127" t="s">
        <v>2433</v>
      </c>
      <c r="G318" s="1" t="s">
        <v>45</v>
      </c>
      <c r="H318" s="1"/>
      <c r="I318" s="1"/>
      <c r="J318" s="1"/>
      <c r="K318" s="1"/>
      <c r="L318" s="1"/>
      <c r="M318" s="211"/>
    </row>
    <row r="319" spans="1:13" ht="19.5">
      <c r="A319" s="158">
        <v>43</v>
      </c>
      <c r="B319" s="2" t="s">
        <v>193</v>
      </c>
      <c r="C319" s="1" t="s">
        <v>195</v>
      </c>
      <c r="D319" s="4">
        <v>14964</v>
      </c>
      <c r="E319" s="63">
        <v>700</v>
      </c>
      <c r="F319" s="1127" t="s">
        <v>2433</v>
      </c>
      <c r="G319" s="1" t="s">
        <v>45</v>
      </c>
      <c r="H319" s="1"/>
      <c r="I319" s="1"/>
      <c r="J319" s="1"/>
      <c r="K319" s="1"/>
      <c r="L319" s="1"/>
      <c r="M319" s="211"/>
    </row>
    <row r="320" spans="1:13" ht="19.5">
      <c r="A320" s="158">
        <v>44</v>
      </c>
      <c r="B320" s="2" t="s">
        <v>193</v>
      </c>
      <c r="C320" s="1" t="s">
        <v>196</v>
      </c>
      <c r="D320" s="4">
        <v>14964</v>
      </c>
      <c r="E320" s="63">
        <v>700</v>
      </c>
      <c r="F320" s="1127" t="s">
        <v>2433</v>
      </c>
      <c r="G320" s="1" t="s">
        <v>45</v>
      </c>
      <c r="H320" s="1"/>
      <c r="I320" s="1"/>
      <c r="J320" s="1"/>
      <c r="K320" s="1"/>
      <c r="L320" s="1"/>
      <c r="M320" s="211"/>
    </row>
    <row r="321" spans="1:13" ht="19.5">
      <c r="A321" s="158">
        <v>45</v>
      </c>
      <c r="B321" s="2" t="s">
        <v>193</v>
      </c>
      <c r="C321" s="1" t="s">
        <v>197</v>
      </c>
      <c r="D321" s="4">
        <v>14964</v>
      </c>
      <c r="E321" s="63">
        <v>700</v>
      </c>
      <c r="F321" s="1127" t="s">
        <v>2433</v>
      </c>
      <c r="G321" s="1" t="s">
        <v>45</v>
      </c>
      <c r="H321" s="1"/>
      <c r="I321" s="1"/>
      <c r="J321" s="1"/>
      <c r="K321" s="1"/>
      <c r="L321" s="1"/>
      <c r="M321" s="211"/>
    </row>
    <row r="322" spans="1:13" ht="19.5">
      <c r="A322" s="158">
        <v>46</v>
      </c>
      <c r="B322" s="2" t="s">
        <v>193</v>
      </c>
      <c r="C322" s="1" t="s">
        <v>198</v>
      </c>
      <c r="D322" s="4">
        <v>14964</v>
      </c>
      <c r="E322" s="63">
        <v>700</v>
      </c>
      <c r="F322" s="1127" t="s">
        <v>2433</v>
      </c>
      <c r="G322" s="1" t="s">
        <v>45</v>
      </c>
      <c r="H322" s="1"/>
      <c r="I322" s="1"/>
      <c r="J322" s="1"/>
      <c r="K322" s="1"/>
      <c r="L322" s="1"/>
      <c r="M322" s="211"/>
    </row>
    <row r="323" spans="1:13" ht="19.5">
      <c r="A323" s="158">
        <v>47</v>
      </c>
      <c r="B323" s="2" t="s">
        <v>193</v>
      </c>
      <c r="C323" s="1" t="s">
        <v>199</v>
      </c>
      <c r="D323" s="4">
        <v>14964</v>
      </c>
      <c r="E323" s="63">
        <v>700</v>
      </c>
      <c r="F323" s="1127" t="s">
        <v>2433</v>
      </c>
      <c r="G323" s="1" t="s">
        <v>45</v>
      </c>
      <c r="H323" s="1"/>
      <c r="I323" s="1"/>
      <c r="J323" s="1"/>
      <c r="K323" s="1"/>
      <c r="L323" s="1"/>
      <c r="M323" s="211"/>
    </row>
    <row r="324" spans="1:13" ht="19.5">
      <c r="A324" s="158">
        <v>48</v>
      </c>
      <c r="B324" s="2" t="s">
        <v>193</v>
      </c>
      <c r="C324" s="1" t="s">
        <v>200</v>
      </c>
      <c r="D324" s="4">
        <v>14964</v>
      </c>
      <c r="E324" s="63">
        <v>700</v>
      </c>
      <c r="F324" s="1127" t="s">
        <v>2433</v>
      </c>
      <c r="G324" s="1" t="s">
        <v>45</v>
      </c>
      <c r="H324" s="1"/>
      <c r="I324" s="1"/>
      <c r="J324" s="1"/>
      <c r="K324" s="1"/>
      <c r="L324" s="1"/>
      <c r="M324" s="211"/>
    </row>
    <row r="325" spans="1:13" ht="19.5">
      <c r="A325" s="158">
        <v>49</v>
      </c>
      <c r="B325" s="2" t="s">
        <v>193</v>
      </c>
      <c r="C325" s="1" t="s">
        <v>201</v>
      </c>
      <c r="D325" s="4">
        <v>14964</v>
      </c>
      <c r="E325" s="63">
        <v>700</v>
      </c>
      <c r="F325" s="1127" t="s">
        <v>2433</v>
      </c>
      <c r="G325" s="1" t="s">
        <v>45</v>
      </c>
      <c r="H325" s="1"/>
      <c r="I325" s="1"/>
      <c r="J325" s="1"/>
      <c r="K325" s="1"/>
      <c r="L325" s="1"/>
      <c r="M325" s="211"/>
    </row>
    <row r="326" spans="1:13" ht="19.5">
      <c r="A326" s="158">
        <v>50</v>
      </c>
      <c r="B326" s="2" t="s">
        <v>193</v>
      </c>
      <c r="C326" s="1" t="s">
        <v>202</v>
      </c>
      <c r="D326" s="4">
        <v>14964</v>
      </c>
      <c r="E326" s="63">
        <v>700</v>
      </c>
      <c r="F326" s="1127" t="s">
        <v>2433</v>
      </c>
      <c r="G326" s="1" t="s">
        <v>45</v>
      </c>
      <c r="H326" s="1"/>
      <c r="I326" s="1"/>
      <c r="J326" s="1"/>
      <c r="K326" s="1"/>
      <c r="L326" s="1"/>
      <c r="M326" s="211"/>
    </row>
    <row r="327" spans="1:13" ht="19.5">
      <c r="A327" s="158">
        <v>51</v>
      </c>
      <c r="B327" s="2" t="s">
        <v>193</v>
      </c>
      <c r="C327" s="1" t="s">
        <v>203</v>
      </c>
      <c r="D327" s="4">
        <v>14964</v>
      </c>
      <c r="E327" s="63">
        <v>700</v>
      </c>
      <c r="F327" s="1127" t="s">
        <v>2433</v>
      </c>
      <c r="G327" s="1" t="s">
        <v>45</v>
      </c>
      <c r="H327" s="1"/>
      <c r="I327" s="1"/>
      <c r="J327" s="1"/>
      <c r="K327" s="1"/>
      <c r="L327" s="1"/>
      <c r="M327" s="211"/>
    </row>
    <row r="328" spans="1:13" ht="19.5">
      <c r="A328" s="158">
        <v>52</v>
      </c>
      <c r="B328" s="2" t="s">
        <v>193</v>
      </c>
      <c r="C328" s="1" t="s">
        <v>204</v>
      </c>
      <c r="D328" s="4">
        <v>14964</v>
      </c>
      <c r="E328" s="63">
        <v>700</v>
      </c>
      <c r="F328" s="1127" t="s">
        <v>2433</v>
      </c>
      <c r="G328" s="1" t="s">
        <v>45</v>
      </c>
      <c r="H328" s="1"/>
      <c r="I328" s="1"/>
      <c r="J328" s="1"/>
      <c r="K328" s="1"/>
      <c r="L328" s="1"/>
      <c r="M328" s="211"/>
    </row>
    <row r="329" spans="1:13" ht="19.5">
      <c r="A329" s="158">
        <v>53</v>
      </c>
      <c r="B329" s="2" t="s">
        <v>193</v>
      </c>
      <c r="C329" s="1" t="s">
        <v>205</v>
      </c>
      <c r="D329" s="4">
        <v>14964</v>
      </c>
      <c r="E329" s="63">
        <v>700</v>
      </c>
      <c r="F329" s="1127" t="s">
        <v>2433</v>
      </c>
      <c r="G329" s="1" t="s">
        <v>45</v>
      </c>
      <c r="H329" s="1"/>
      <c r="I329" s="1"/>
      <c r="J329" s="1"/>
      <c r="K329" s="1"/>
      <c r="L329" s="1"/>
      <c r="M329" s="211"/>
    </row>
    <row r="330" spans="1:13" ht="19.5">
      <c r="A330" s="158">
        <v>54</v>
      </c>
      <c r="B330" s="2" t="s">
        <v>193</v>
      </c>
      <c r="C330" s="1" t="s">
        <v>206</v>
      </c>
      <c r="D330" s="4">
        <v>14964</v>
      </c>
      <c r="E330" s="63">
        <v>700</v>
      </c>
      <c r="F330" s="1127" t="s">
        <v>2433</v>
      </c>
      <c r="G330" s="1" t="s">
        <v>45</v>
      </c>
      <c r="H330" s="1"/>
      <c r="I330" s="1"/>
      <c r="J330" s="1"/>
      <c r="K330" s="1"/>
      <c r="L330" s="1"/>
      <c r="M330" s="211"/>
    </row>
    <row r="331" spans="1:13" ht="19.5">
      <c r="A331" s="158">
        <v>55</v>
      </c>
      <c r="B331" s="2" t="s">
        <v>193</v>
      </c>
      <c r="C331" s="1" t="s">
        <v>207</v>
      </c>
      <c r="D331" s="4">
        <v>14964</v>
      </c>
      <c r="E331" s="63">
        <v>700</v>
      </c>
      <c r="F331" s="1127" t="s">
        <v>2433</v>
      </c>
      <c r="G331" s="1" t="s">
        <v>45</v>
      </c>
      <c r="H331" s="1"/>
      <c r="I331" s="1"/>
      <c r="J331" s="1"/>
      <c r="K331" s="1"/>
      <c r="L331" s="1"/>
      <c r="M331" s="211"/>
    </row>
    <row r="332" spans="1:13" ht="19.5">
      <c r="A332" s="158">
        <v>56</v>
      </c>
      <c r="B332" s="2" t="s">
        <v>193</v>
      </c>
      <c r="C332" s="1" t="s">
        <v>208</v>
      </c>
      <c r="D332" s="4">
        <v>14964</v>
      </c>
      <c r="E332" s="63">
        <v>700</v>
      </c>
      <c r="F332" s="1127" t="s">
        <v>2433</v>
      </c>
      <c r="G332" s="1" t="s">
        <v>45</v>
      </c>
      <c r="H332" s="1"/>
      <c r="I332" s="1"/>
      <c r="J332" s="1"/>
      <c r="K332" s="1"/>
      <c r="L332" s="1"/>
      <c r="M332" s="211"/>
    </row>
    <row r="333" spans="1:13" ht="19.5">
      <c r="A333" s="158">
        <v>57</v>
      </c>
      <c r="B333" s="2" t="s">
        <v>193</v>
      </c>
      <c r="C333" s="1" t="s">
        <v>209</v>
      </c>
      <c r="D333" s="4">
        <v>14964</v>
      </c>
      <c r="E333" s="63">
        <v>700</v>
      </c>
      <c r="F333" s="1127" t="s">
        <v>2433</v>
      </c>
      <c r="G333" s="1" t="s">
        <v>45</v>
      </c>
      <c r="H333" s="1"/>
      <c r="I333" s="1"/>
      <c r="J333" s="1"/>
      <c r="K333" s="1"/>
      <c r="L333" s="1"/>
      <c r="M333" s="211"/>
    </row>
    <row r="334" spans="1:13" ht="19.5">
      <c r="A334" s="158">
        <v>58</v>
      </c>
      <c r="B334" s="2" t="s">
        <v>193</v>
      </c>
      <c r="C334" s="1" t="s">
        <v>210</v>
      </c>
      <c r="D334" s="4">
        <v>14964</v>
      </c>
      <c r="E334" s="63">
        <v>700</v>
      </c>
      <c r="F334" s="1127" t="s">
        <v>2433</v>
      </c>
      <c r="G334" s="1" t="s">
        <v>45</v>
      </c>
      <c r="H334" s="1"/>
      <c r="I334" s="1"/>
      <c r="J334" s="1"/>
      <c r="K334" s="1"/>
      <c r="L334" s="1"/>
      <c r="M334" s="211"/>
    </row>
    <row r="335" spans="1:13" ht="19.5">
      <c r="A335" s="158">
        <v>59</v>
      </c>
      <c r="B335" s="2" t="s">
        <v>193</v>
      </c>
      <c r="C335" s="1" t="s">
        <v>211</v>
      </c>
      <c r="D335" s="4">
        <v>14964</v>
      </c>
      <c r="E335" s="63">
        <v>700</v>
      </c>
      <c r="F335" s="1127" t="s">
        <v>2433</v>
      </c>
      <c r="G335" s="1" t="s">
        <v>45</v>
      </c>
      <c r="H335" s="1"/>
      <c r="I335" s="1"/>
      <c r="J335" s="1"/>
      <c r="K335" s="1"/>
      <c r="L335" s="1"/>
      <c r="M335" s="211"/>
    </row>
    <row r="336" spans="1:13" ht="19.5">
      <c r="A336" s="158">
        <v>60</v>
      </c>
      <c r="B336" s="2" t="s">
        <v>193</v>
      </c>
      <c r="C336" s="1" t="s">
        <v>212</v>
      </c>
      <c r="D336" s="4">
        <v>14964</v>
      </c>
      <c r="E336" s="63">
        <v>700</v>
      </c>
      <c r="F336" s="1127" t="s">
        <v>2433</v>
      </c>
      <c r="G336" s="1" t="s">
        <v>45</v>
      </c>
      <c r="H336" s="1"/>
      <c r="I336" s="1"/>
      <c r="J336" s="1"/>
      <c r="K336" s="1"/>
      <c r="L336" s="1"/>
      <c r="M336" s="211"/>
    </row>
    <row r="337" spans="1:13" ht="19.5">
      <c r="A337" s="158">
        <v>61</v>
      </c>
      <c r="B337" s="2" t="s">
        <v>193</v>
      </c>
      <c r="C337" s="1" t="s">
        <v>213</v>
      </c>
      <c r="D337" s="4">
        <v>14964</v>
      </c>
      <c r="E337" s="63">
        <v>700</v>
      </c>
      <c r="F337" s="1127" t="s">
        <v>2433</v>
      </c>
      <c r="G337" s="1" t="s">
        <v>45</v>
      </c>
      <c r="H337" s="1"/>
      <c r="I337" s="1"/>
      <c r="J337" s="1"/>
      <c r="K337" s="1"/>
      <c r="L337" s="1"/>
      <c r="M337" s="211"/>
    </row>
    <row r="338" spans="1:13" ht="19.5">
      <c r="A338" s="158">
        <v>62</v>
      </c>
      <c r="B338" s="2" t="s">
        <v>193</v>
      </c>
      <c r="C338" s="1" t="s">
        <v>214</v>
      </c>
      <c r="D338" s="4">
        <v>14964</v>
      </c>
      <c r="E338" s="63">
        <v>700</v>
      </c>
      <c r="F338" s="1127" t="s">
        <v>2433</v>
      </c>
      <c r="G338" s="1" t="s">
        <v>45</v>
      </c>
      <c r="H338" s="1"/>
      <c r="I338" s="1"/>
      <c r="J338" s="1"/>
      <c r="K338" s="1"/>
      <c r="L338" s="1"/>
      <c r="M338" s="211"/>
    </row>
    <row r="339" spans="1:13" ht="19.5">
      <c r="A339" s="158">
        <v>63</v>
      </c>
      <c r="B339" s="2" t="s">
        <v>193</v>
      </c>
      <c r="C339" s="1" t="s">
        <v>215</v>
      </c>
      <c r="D339" s="4">
        <v>14964</v>
      </c>
      <c r="E339" s="63">
        <v>700</v>
      </c>
      <c r="F339" s="1127" t="s">
        <v>2433</v>
      </c>
      <c r="G339" s="1" t="s">
        <v>45</v>
      </c>
      <c r="H339" s="1"/>
      <c r="I339" s="1"/>
      <c r="J339" s="1"/>
      <c r="K339" s="1"/>
      <c r="L339" s="1"/>
      <c r="M339" s="211"/>
    </row>
    <row r="340" spans="1:13" ht="19.5">
      <c r="A340" s="158">
        <v>64</v>
      </c>
      <c r="B340" s="2" t="s">
        <v>193</v>
      </c>
      <c r="C340" s="1" t="s">
        <v>216</v>
      </c>
      <c r="D340" s="4">
        <v>14964</v>
      </c>
      <c r="E340" s="63">
        <v>700</v>
      </c>
      <c r="F340" s="1127" t="s">
        <v>2433</v>
      </c>
      <c r="G340" s="1" t="s">
        <v>45</v>
      </c>
      <c r="H340" s="1"/>
      <c r="I340" s="1"/>
      <c r="J340" s="1"/>
      <c r="K340" s="1"/>
      <c r="L340" s="1"/>
      <c r="M340" s="211"/>
    </row>
    <row r="341" spans="1:13" ht="19.5">
      <c r="A341" s="158">
        <v>65</v>
      </c>
      <c r="B341" s="2" t="s">
        <v>193</v>
      </c>
      <c r="C341" s="1" t="s">
        <v>217</v>
      </c>
      <c r="D341" s="4">
        <v>14964</v>
      </c>
      <c r="E341" s="63">
        <v>700</v>
      </c>
      <c r="F341" s="1127" t="s">
        <v>2433</v>
      </c>
      <c r="G341" s="1" t="s">
        <v>45</v>
      </c>
      <c r="H341" s="1"/>
      <c r="I341" s="1"/>
      <c r="J341" s="1"/>
      <c r="K341" s="1"/>
      <c r="L341" s="1"/>
      <c r="M341" s="211"/>
    </row>
    <row r="342" spans="1:13" ht="19.5">
      <c r="A342" s="158">
        <v>66</v>
      </c>
      <c r="B342" s="2" t="s">
        <v>193</v>
      </c>
      <c r="C342" s="1" t="s">
        <v>218</v>
      </c>
      <c r="D342" s="4">
        <v>14964</v>
      </c>
      <c r="E342" s="63">
        <v>700</v>
      </c>
      <c r="F342" s="1127" t="s">
        <v>2433</v>
      </c>
      <c r="G342" s="1" t="s">
        <v>45</v>
      </c>
      <c r="H342" s="1"/>
      <c r="I342" s="1"/>
      <c r="J342" s="1"/>
      <c r="K342" s="1"/>
      <c r="L342" s="1"/>
      <c r="M342" s="211"/>
    </row>
    <row r="343" spans="1:13" ht="19.5">
      <c r="A343" s="158">
        <v>67</v>
      </c>
      <c r="B343" s="2" t="s">
        <v>193</v>
      </c>
      <c r="C343" s="1" t="s">
        <v>219</v>
      </c>
      <c r="D343" s="4">
        <v>14964</v>
      </c>
      <c r="E343" s="63">
        <v>700</v>
      </c>
      <c r="F343" s="1127" t="s">
        <v>2433</v>
      </c>
      <c r="G343" s="1" t="s">
        <v>45</v>
      </c>
      <c r="H343" s="1"/>
      <c r="I343" s="1"/>
      <c r="J343" s="1"/>
      <c r="K343" s="1"/>
      <c r="L343" s="1"/>
      <c r="M343" s="211"/>
    </row>
    <row r="344" spans="1:13" ht="19.5">
      <c r="A344" s="158">
        <v>68</v>
      </c>
      <c r="B344" s="2" t="s">
        <v>193</v>
      </c>
      <c r="C344" s="1" t="s">
        <v>220</v>
      </c>
      <c r="D344" s="4">
        <v>14964</v>
      </c>
      <c r="E344" s="63">
        <v>700</v>
      </c>
      <c r="F344" s="1127" t="s">
        <v>2433</v>
      </c>
      <c r="G344" s="1" t="s">
        <v>45</v>
      </c>
      <c r="H344" s="1"/>
      <c r="I344" s="1"/>
      <c r="J344" s="1"/>
      <c r="K344" s="1"/>
      <c r="L344" s="1"/>
      <c r="M344" s="211"/>
    </row>
    <row r="345" spans="1:13" ht="19.5">
      <c r="A345" s="158">
        <v>69</v>
      </c>
      <c r="B345" s="2" t="s">
        <v>193</v>
      </c>
      <c r="C345" s="1" t="s">
        <v>221</v>
      </c>
      <c r="D345" s="4">
        <v>14964</v>
      </c>
      <c r="E345" s="63">
        <v>700</v>
      </c>
      <c r="F345" s="1127" t="s">
        <v>2433</v>
      </c>
      <c r="G345" s="1" t="s">
        <v>45</v>
      </c>
      <c r="H345" s="1"/>
      <c r="I345" s="1"/>
      <c r="J345" s="1"/>
      <c r="K345" s="1"/>
      <c r="L345" s="1"/>
      <c r="M345" s="211"/>
    </row>
    <row r="346" spans="1:13" ht="19.5">
      <c r="A346" s="158">
        <v>70</v>
      </c>
      <c r="B346" s="2" t="s">
        <v>193</v>
      </c>
      <c r="C346" s="1" t="s">
        <v>222</v>
      </c>
      <c r="D346" s="4">
        <v>14964</v>
      </c>
      <c r="E346" s="63">
        <v>700</v>
      </c>
      <c r="F346" s="1127" t="s">
        <v>2433</v>
      </c>
      <c r="G346" s="1" t="s">
        <v>45</v>
      </c>
      <c r="H346" s="1"/>
      <c r="I346" s="1"/>
      <c r="J346" s="1"/>
      <c r="K346" s="1"/>
      <c r="L346" s="1"/>
      <c r="M346" s="211"/>
    </row>
    <row r="347" spans="1:13" ht="19.5">
      <c r="A347" s="158">
        <v>71</v>
      </c>
      <c r="B347" s="2" t="s">
        <v>193</v>
      </c>
      <c r="C347" s="1" t="s">
        <v>223</v>
      </c>
      <c r="D347" s="4">
        <v>14964</v>
      </c>
      <c r="E347" s="63">
        <v>700</v>
      </c>
      <c r="F347" s="1127" t="s">
        <v>2433</v>
      </c>
      <c r="G347" s="1" t="s">
        <v>45</v>
      </c>
      <c r="H347" s="1"/>
      <c r="I347" s="1"/>
      <c r="J347" s="1"/>
      <c r="K347" s="1"/>
      <c r="L347" s="1"/>
      <c r="M347" s="211"/>
    </row>
    <row r="348" spans="1:13" ht="19.5">
      <c r="A348" s="158">
        <v>72</v>
      </c>
      <c r="B348" s="2" t="s">
        <v>193</v>
      </c>
      <c r="C348" s="1" t="s">
        <v>224</v>
      </c>
      <c r="D348" s="4">
        <v>14964</v>
      </c>
      <c r="E348" s="63">
        <v>700</v>
      </c>
      <c r="F348" s="1127" t="s">
        <v>2433</v>
      </c>
      <c r="G348" s="1" t="s">
        <v>45</v>
      </c>
      <c r="H348" s="1"/>
      <c r="I348" s="1"/>
      <c r="J348" s="1"/>
      <c r="K348" s="1"/>
      <c r="L348" s="1"/>
      <c r="M348" s="211"/>
    </row>
    <row r="349" spans="1:13" ht="19.5">
      <c r="A349" s="158">
        <v>73</v>
      </c>
      <c r="B349" s="2" t="s">
        <v>193</v>
      </c>
      <c r="C349" s="1" t="s">
        <v>225</v>
      </c>
      <c r="D349" s="4">
        <v>14964</v>
      </c>
      <c r="E349" s="63">
        <v>700</v>
      </c>
      <c r="F349" s="1127" t="s">
        <v>2433</v>
      </c>
      <c r="G349" s="1" t="s">
        <v>45</v>
      </c>
      <c r="H349" s="1"/>
      <c r="I349" s="1"/>
      <c r="J349" s="1"/>
      <c r="K349" s="1"/>
      <c r="L349" s="1"/>
      <c r="M349" s="211"/>
    </row>
    <row r="350" spans="1:13" ht="19.5">
      <c r="A350" s="158">
        <v>74</v>
      </c>
      <c r="B350" s="2" t="s">
        <v>193</v>
      </c>
      <c r="C350" s="1" t="s">
        <v>226</v>
      </c>
      <c r="D350" s="4">
        <v>14964</v>
      </c>
      <c r="E350" s="63">
        <v>700</v>
      </c>
      <c r="F350" s="1127" t="s">
        <v>2433</v>
      </c>
      <c r="G350" s="1" t="s">
        <v>45</v>
      </c>
      <c r="H350" s="1"/>
      <c r="I350" s="1"/>
      <c r="J350" s="1"/>
      <c r="K350" s="1"/>
      <c r="L350" s="1"/>
      <c r="M350" s="211"/>
    </row>
    <row r="351" spans="1:13" ht="19.5">
      <c r="A351" s="158">
        <v>75</v>
      </c>
      <c r="B351" s="2" t="s">
        <v>193</v>
      </c>
      <c r="C351" s="1" t="s">
        <v>227</v>
      </c>
      <c r="D351" s="4">
        <v>14964</v>
      </c>
      <c r="E351" s="63">
        <v>700</v>
      </c>
      <c r="F351" s="1127" t="s">
        <v>2433</v>
      </c>
      <c r="G351" s="1" t="s">
        <v>45</v>
      </c>
      <c r="H351" s="1"/>
      <c r="I351" s="1"/>
      <c r="J351" s="1"/>
      <c r="K351" s="1"/>
      <c r="L351" s="1"/>
      <c r="M351" s="211"/>
    </row>
    <row r="352" spans="1:13" ht="19.5">
      <c r="A352" s="158">
        <v>76</v>
      </c>
      <c r="B352" s="2" t="s">
        <v>193</v>
      </c>
      <c r="C352" s="1" t="s">
        <v>228</v>
      </c>
      <c r="D352" s="4">
        <v>14964</v>
      </c>
      <c r="E352" s="63">
        <v>700</v>
      </c>
      <c r="F352" s="1127" t="s">
        <v>2433</v>
      </c>
      <c r="G352" s="1" t="s">
        <v>45</v>
      </c>
      <c r="H352" s="1"/>
      <c r="I352" s="1"/>
      <c r="J352" s="1"/>
      <c r="K352" s="1"/>
      <c r="L352" s="1"/>
      <c r="M352" s="211"/>
    </row>
    <row r="353" spans="1:13" ht="19.5">
      <c r="A353" s="158">
        <v>77</v>
      </c>
      <c r="B353" s="2" t="s">
        <v>193</v>
      </c>
      <c r="C353" s="1" t="s">
        <v>229</v>
      </c>
      <c r="D353" s="4">
        <v>14964</v>
      </c>
      <c r="E353" s="63">
        <v>700</v>
      </c>
      <c r="F353" s="1127" t="s">
        <v>2433</v>
      </c>
      <c r="G353" s="1" t="s">
        <v>45</v>
      </c>
      <c r="H353" s="1"/>
      <c r="I353" s="1"/>
      <c r="J353" s="1"/>
      <c r="K353" s="1"/>
      <c r="L353" s="1"/>
      <c r="M353" s="211"/>
    </row>
    <row r="354" spans="1:13" ht="19.5">
      <c r="A354" s="158">
        <v>78</v>
      </c>
      <c r="B354" s="2" t="s">
        <v>193</v>
      </c>
      <c r="C354" s="1" t="s">
        <v>230</v>
      </c>
      <c r="D354" s="4">
        <v>14964</v>
      </c>
      <c r="E354" s="63">
        <v>700</v>
      </c>
      <c r="F354" s="1127" t="s">
        <v>2433</v>
      </c>
      <c r="G354" s="1" t="s">
        <v>45</v>
      </c>
      <c r="H354" s="1"/>
      <c r="I354" s="1"/>
      <c r="J354" s="1"/>
      <c r="K354" s="1"/>
      <c r="L354" s="1"/>
      <c r="M354" s="211"/>
    </row>
    <row r="355" spans="1:13" ht="19.5">
      <c r="A355" s="158">
        <v>79</v>
      </c>
      <c r="B355" s="2" t="s">
        <v>193</v>
      </c>
      <c r="C355" s="1" t="s">
        <v>231</v>
      </c>
      <c r="D355" s="4">
        <v>14964</v>
      </c>
      <c r="E355" s="63">
        <v>700</v>
      </c>
      <c r="F355" s="1127" t="s">
        <v>2433</v>
      </c>
      <c r="G355" s="1" t="s">
        <v>45</v>
      </c>
      <c r="H355" s="1"/>
      <c r="I355" s="1"/>
      <c r="J355" s="1"/>
      <c r="K355" s="1"/>
      <c r="L355" s="1"/>
      <c r="M355" s="211"/>
    </row>
    <row r="356" spans="1:13" ht="19.5">
      <c r="A356" s="158">
        <v>80</v>
      </c>
      <c r="B356" s="2" t="s">
        <v>193</v>
      </c>
      <c r="C356" s="1" t="s">
        <v>232</v>
      </c>
      <c r="D356" s="4">
        <v>14964</v>
      </c>
      <c r="E356" s="63">
        <v>700</v>
      </c>
      <c r="F356" s="1127" t="s">
        <v>2433</v>
      </c>
      <c r="G356" s="1" t="s">
        <v>45</v>
      </c>
      <c r="H356" s="1"/>
      <c r="I356" s="1"/>
      <c r="J356" s="1"/>
      <c r="K356" s="1"/>
      <c r="L356" s="1"/>
      <c r="M356" s="211"/>
    </row>
    <row r="357" spans="1:13" ht="19.5">
      <c r="A357" s="158">
        <v>81</v>
      </c>
      <c r="B357" s="2" t="s">
        <v>193</v>
      </c>
      <c r="C357" s="1" t="s">
        <v>233</v>
      </c>
      <c r="D357" s="4">
        <v>14964</v>
      </c>
      <c r="E357" s="63">
        <v>700</v>
      </c>
      <c r="F357" s="1127" t="s">
        <v>2433</v>
      </c>
      <c r="G357" s="1" t="s">
        <v>45</v>
      </c>
      <c r="H357" s="1"/>
      <c r="I357" s="1"/>
      <c r="J357" s="1"/>
      <c r="K357" s="1"/>
      <c r="L357" s="1"/>
      <c r="M357" s="211"/>
    </row>
    <row r="358" spans="1:13" ht="19.5">
      <c r="A358" s="158">
        <v>82</v>
      </c>
      <c r="B358" s="2" t="s">
        <v>193</v>
      </c>
      <c r="C358" s="1" t="s">
        <v>234</v>
      </c>
      <c r="D358" s="4">
        <v>14964</v>
      </c>
      <c r="E358" s="63">
        <v>700</v>
      </c>
      <c r="F358" s="1127" t="s">
        <v>2433</v>
      </c>
      <c r="G358" s="1" t="s">
        <v>45</v>
      </c>
      <c r="H358" s="1"/>
      <c r="I358" s="1"/>
      <c r="J358" s="1"/>
      <c r="K358" s="1"/>
      <c r="L358" s="1"/>
      <c r="M358" s="211"/>
    </row>
    <row r="359" spans="1:13" ht="19.5">
      <c r="A359" s="158">
        <v>83</v>
      </c>
      <c r="B359" s="2" t="s">
        <v>193</v>
      </c>
      <c r="C359" s="1" t="s">
        <v>235</v>
      </c>
      <c r="D359" s="4">
        <v>14964</v>
      </c>
      <c r="E359" s="63">
        <v>700</v>
      </c>
      <c r="F359" s="1127" t="s">
        <v>2433</v>
      </c>
      <c r="G359" s="1" t="s">
        <v>45</v>
      </c>
      <c r="H359" s="1"/>
      <c r="I359" s="1"/>
      <c r="J359" s="1"/>
      <c r="K359" s="1"/>
      <c r="L359" s="1"/>
      <c r="M359" s="211"/>
    </row>
    <row r="360" spans="1:13" ht="19.5">
      <c r="A360" s="158">
        <v>84</v>
      </c>
      <c r="B360" s="2" t="s">
        <v>193</v>
      </c>
      <c r="C360" s="1" t="s">
        <v>236</v>
      </c>
      <c r="D360" s="4">
        <v>14964</v>
      </c>
      <c r="E360" s="63">
        <v>700</v>
      </c>
      <c r="F360" s="1127" t="s">
        <v>2433</v>
      </c>
      <c r="G360" s="1" t="s">
        <v>45</v>
      </c>
      <c r="H360" s="1"/>
      <c r="I360" s="1"/>
      <c r="J360" s="1"/>
      <c r="K360" s="1"/>
      <c r="L360" s="1"/>
      <c r="M360" s="211"/>
    </row>
    <row r="361" spans="1:13" ht="19.5">
      <c r="A361" s="158">
        <v>85</v>
      </c>
      <c r="B361" s="2" t="s">
        <v>193</v>
      </c>
      <c r="C361" s="1" t="s">
        <v>237</v>
      </c>
      <c r="D361" s="4">
        <v>14964</v>
      </c>
      <c r="E361" s="63">
        <v>700</v>
      </c>
      <c r="F361" s="1127" t="s">
        <v>2433</v>
      </c>
      <c r="G361" s="1" t="s">
        <v>45</v>
      </c>
      <c r="H361" s="1"/>
      <c r="I361" s="1"/>
      <c r="J361" s="1"/>
      <c r="K361" s="1"/>
      <c r="L361" s="1"/>
      <c r="M361" s="211"/>
    </row>
    <row r="362" spans="1:13" ht="19.5">
      <c r="A362" s="158">
        <v>86</v>
      </c>
      <c r="B362" s="2" t="s">
        <v>193</v>
      </c>
      <c r="C362" s="1" t="s">
        <v>238</v>
      </c>
      <c r="D362" s="4">
        <v>14964</v>
      </c>
      <c r="E362" s="63">
        <v>700</v>
      </c>
      <c r="F362" s="1127" t="s">
        <v>2433</v>
      </c>
      <c r="G362" s="1" t="s">
        <v>45</v>
      </c>
      <c r="H362" s="1"/>
      <c r="I362" s="1"/>
      <c r="J362" s="1"/>
      <c r="K362" s="1"/>
      <c r="L362" s="1"/>
      <c r="M362" s="211"/>
    </row>
    <row r="363" spans="1:13" ht="19.5">
      <c r="A363" s="158">
        <v>87</v>
      </c>
      <c r="B363" s="2" t="s">
        <v>193</v>
      </c>
      <c r="C363" s="1" t="s">
        <v>239</v>
      </c>
      <c r="D363" s="4">
        <v>14964</v>
      </c>
      <c r="E363" s="63">
        <v>700</v>
      </c>
      <c r="F363" s="1127" t="s">
        <v>2433</v>
      </c>
      <c r="G363" s="1" t="s">
        <v>45</v>
      </c>
      <c r="H363" s="1"/>
      <c r="I363" s="1"/>
      <c r="J363" s="1"/>
      <c r="K363" s="1"/>
      <c r="L363" s="1"/>
      <c r="M363" s="211"/>
    </row>
    <row r="364" spans="1:13" ht="19.5">
      <c r="A364" s="158">
        <v>88</v>
      </c>
      <c r="B364" s="2" t="s">
        <v>193</v>
      </c>
      <c r="C364" s="1" t="s">
        <v>240</v>
      </c>
      <c r="D364" s="4">
        <v>14964</v>
      </c>
      <c r="E364" s="63">
        <v>700</v>
      </c>
      <c r="F364" s="1127" t="s">
        <v>2433</v>
      </c>
      <c r="G364" s="1" t="s">
        <v>45</v>
      </c>
      <c r="H364" s="1"/>
      <c r="I364" s="1"/>
      <c r="J364" s="1"/>
      <c r="K364" s="1"/>
      <c r="L364" s="1"/>
      <c r="M364" s="211"/>
    </row>
    <row r="365" spans="1:13" ht="19.5">
      <c r="A365" s="158">
        <v>89</v>
      </c>
      <c r="B365" s="2" t="s">
        <v>193</v>
      </c>
      <c r="C365" s="1" t="s">
        <v>241</v>
      </c>
      <c r="D365" s="4">
        <v>14964</v>
      </c>
      <c r="E365" s="63">
        <v>700</v>
      </c>
      <c r="F365" s="1127" t="s">
        <v>2433</v>
      </c>
      <c r="G365" s="1" t="s">
        <v>45</v>
      </c>
      <c r="H365" s="1"/>
      <c r="I365" s="1"/>
      <c r="J365" s="1"/>
      <c r="K365" s="1"/>
      <c r="L365" s="1"/>
      <c r="M365" s="211"/>
    </row>
    <row r="366" spans="1:13" ht="19.5">
      <c r="A366" s="158">
        <v>90</v>
      </c>
      <c r="B366" s="2" t="s">
        <v>193</v>
      </c>
      <c r="C366" s="1" t="s">
        <v>242</v>
      </c>
      <c r="D366" s="4">
        <v>14964</v>
      </c>
      <c r="E366" s="63">
        <v>700</v>
      </c>
      <c r="F366" s="1127" t="s">
        <v>2433</v>
      </c>
      <c r="G366" s="1" t="s">
        <v>45</v>
      </c>
      <c r="H366" s="1"/>
      <c r="I366" s="1"/>
      <c r="J366" s="1"/>
      <c r="K366" s="1"/>
      <c r="L366" s="1"/>
      <c r="M366" s="211"/>
    </row>
    <row r="367" spans="1:13" ht="19.5">
      <c r="A367" s="158">
        <v>91</v>
      </c>
      <c r="B367" s="2" t="s">
        <v>193</v>
      </c>
      <c r="C367" s="1" t="s">
        <v>243</v>
      </c>
      <c r="D367" s="4">
        <v>14964</v>
      </c>
      <c r="E367" s="63">
        <v>700</v>
      </c>
      <c r="F367" s="1127" t="s">
        <v>2433</v>
      </c>
      <c r="G367" s="1" t="s">
        <v>45</v>
      </c>
      <c r="H367" s="1"/>
      <c r="I367" s="1"/>
      <c r="J367" s="1"/>
      <c r="K367" s="1"/>
      <c r="L367" s="1"/>
      <c r="M367" s="211"/>
    </row>
    <row r="368" spans="1:13" ht="19.5">
      <c r="A368" s="158">
        <v>92</v>
      </c>
      <c r="B368" s="2" t="s">
        <v>193</v>
      </c>
      <c r="C368" s="1" t="s">
        <v>244</v>
      </c>
      <c r="D368" s="4">
        <v>14964</v>
      </c>
      <c r="E368" s="63">
        <v>700</v>
      </c>
      <c r="F368" s="1127" t="s">
        <v>2433</v>
      </c>
      <c r="G368" s="1" t="s">
        <v>45</v>
      </c>
      <c r="H368" s="1"/>
      <c r="I368" s="1"/>
      <c r="J368" s="1"/>
      <c r="K368" s="1"/>
      <c r="L368" s="1"/>
      <c r="M368" s="211"/>
    </row>
    <row r="369" spans="1:13" ht="19.5">
      <c r="A369" s="158">
        <v>93</v>
      </c>
      <c r="B369" s="2" t="s">
        <v>193</v>
      </c>
      <c r="C369" s="1" t="s">
        <v>245</v>
      </c>
      <c r="D369" s="4">
        <v>14964</v>
      </c>
      <c r="E369" s="63">
        <v>700</v>
      </c>
      <c r="F369" s="1127" t="s">
        <v>2433</v>
      </c>
      <c r="G369" s="1" t="s">
        <v>45</v>
      </c>
      <c r="H369" s="1"/>
      <c r="I369" s="1"/>
      <c r="J369" s="1"/>
      <c r="K369" s="1"/>
      <c r="L369" s="1"/>
      <c r="M369" s="211"/>
    </row>
    <row r="370" spans="1:13" ht="19.5">
      <c r="A370" s="158">
        <v>94</v>
      </c>
      <c r="B370" s="2" t="s">
        <v>193</v>
      </c>
      <c r="C370" s="1" t="s">
        <v>246</v>
      </c>
      <c r="D370" s="4">
        <v>14964</v>
      </c>
      <c r="E370" s="63">
        <v>700</v>
      </c>
      <c r="F370" s="1127" t="s">
        <v>2433</v>
      </c>
      <c r="G370" s="1" t="s">
        <v>45</v>
      </c>
      <c r="H370" s="1"/>
      <c r="I370" s="1"/>
      <c r="J370" s="1"/>
      <c r="K370" s="1"/>
      <c r="L370" s="1"/>
      <c r="M370" s="211"/>
    </row>
    <row r="371" spans="1:13" ht="19.5">
      <c r="A371" s="158">
        <v>95</v>
      </c>
      <c r="B371" s="2" t="s">
        <v>193</v>
      </c>
      <c r="C371" s="1" t="s">
        <v>247</v>
      </c>
      <c r="D371" s="4">
        <v>14964</v>
      </c>
      <c r="E371" s="63">
        <v>700</v>
      </c>
      <c r="F371" s="1127" t="s">
        <v>2433</v>
      </c>
      <c r="G371" s="1" t="s">
        <v>45</v>
      </c>
      <c r="H371" s="1"/>
      <c r="I371" s="1"/>
      <c r="J371" s="1"/>
      <c r="K371" s="1"/>
      <c r="L371" s="1"/>
      <c r="M371" s="211"/>
    </row>
    <row r="372" spans="1:13" ht="19.5">
      <c r="A372" s="158">
        <v>96</v>
      </c>
      <c r="B372" s="2" t="s">
        <v>193</v>
      </c>
      <c r="C372" s="1" t="s">
        <v>248</v>
      </c>
      <c r="D372" s="4">
        <v>14964</v>
      </c>
      <c r="E372" s="63">
        <v>700</v>
      </c>
      <c r="F372" s="1127" t="s">
        <v>2433</v>
      </c>
      <c r="G372" s="1" t="s">
        <v>45</v>
      </c>
      <c r="H372" s="1"/>
      <c r="I372" s="1"/>
      <c r="J372" s="1"/>
      <c r="K372" s="1"/>
      <c r="L372" s="1"/>
      <c r="M372" s="211"/>
    </row>
    <row r="373" spans="1:13" ht="19.5">
      <c r="A373" s="158">
        <v>97</v>
      </c>
      <c r="B373" s="2" t="s">
        <v>193</v>
      </c>
      <c r="C373" s="1" t="s">
        <v>249</v>
      </c>
      <c r="D373" s="4">
        <v>14964</v>
      </c>
      <c r="E373" s="63">
        <v>700</v>
      </c>
      <c r="F373" s="1127" t="s">
        <v>2433</v>
      </c>
      <c r="G373" s="1" t="s">
        <v>45</v>
      </c>
      <c r="H373" s="1"/>
      <c r="I373" s="1"/>
      <c r="J373" s="1"/>
      <c r="K373" s="1"/>
      <c r="L373" s="1"/>
      <c r="M373" s="211"/>
    </row>
    <row r="374" spans="1:13" ht="19.5">
      <c r="A374" s="158">
        <v>98</v>
      </c>
      <c r="B374" s="2" t="s">
        <v>193</v>
      </c>
      <c r="C374" s="1" t="s">
        <v>250</v>
      </c>
      <c r="D374" s="4">
        <v>14964</v>
      </c>
      <c r="E374" s="63">
        <v>700</v>
      </c>
      <c r="F374" s="1127" t="s">
        <v>2433</v>
      </c>
      <c r="G374" s="1" t="s">
        <v>45</v>
      </c>
      <c r="H374" s="1"/>
      <c r="I374" s="1"/>
      <c r="J374" s="1"/>
      <c r="K374" s="1"/>
      <c r="L374" s="1"/>
      <c r="M374" s="211"/>
    </row>
    <row r="375" spans="1:13" ht="19.5">
      <c r="A375" s="158">
        <v>99</v>
      </c>
      <c r="B375" s="2" t="s">
        <v>193</v>
      </c>
      <c r="C375" s="1" t="s">
        <v>251</v>
      </c>
      <c r="D375" s="4">
        <v>14964</v>
      </c>
      <c r="E375" s="63">
        <v>700</v>
      </c>
      <c r="F375" s="1127" t="s">
        <v>2433</v>
      </c>
      <c r="G375" s="1" t="s">
        <v>45</v>
      </c>
      <c r="H375" s="1"/>
      <c r="I375" s="1"/>
      <c r="J375" s="1"/>
      <c r="K375" s="1"/>
      <c r="L375" s="1"/>
      <c r="M375" s="211"/>
    </row>
    <row r="376" spans="1:13" ht="19.5">
      <c r="A376" s="158">
        <v>100</v>
      </c>
      <c r="B376" s="2" t="s">
        <v>193</v>
      </c>
      <c r="C376" s="1" t="s">
        <v>252</v>
      </c>
      <c r="D376" s="4">
        <v>14964</v>
      </c>
      <c r="E376" s="63">
        <v>700</v>
      </c>
      <c r="F376" s="1127" t="s">
        <v>2433</v>
      </c>
      <c r="G376" s="1" t="s">
        <v>45</v>
      </c>
      <c r="H376" s="1"/>
      <c r="I376" s="1"/>
      <c r="J376" s="1"/>
      <c r="K376" s="1"/>
      <c r="L376" s="1"/>
      <c r="M376" s="211"/>
    </row>
    <row r="377" spans="1:13" ht="19.5">
      <c r="A377" s="158">
        <v>101</v>
      </c>
      <c r="B377" s="2" t="s">
        <v>193</v>
      </c>
      <c r="C377" s="1" t="s">
        <v>253</v>
      </c>
      <c r="D377" s="4">
        <v>14964</v>
      </c>
      <c r="E377" s="63">
        <v>700</v>
      </c>
      <c r="F377" s="1127" t="s">
        <v>2433</v>
      </c>
      <c r="G377" s="1" t="s">
        <v>45</v>
      </c>
      <c r="H377" s="1"/>
      <c r="I377" s="1"/>
      <c r="J377" s="1"/>
      <c r="K377" s="1"/>
      <c r="L377" s="1"/>
      <c r="M377" s="211"/>
    </row>
    <row r="378" spans="1:13" ht="19.5">
      <c r="A378" s="158">
        <v>102</v>
      </c>
      <c r="B378" s="2" t="s">
        <v>193</v>
      </c>
      <c r="C378" s="1" t="s">
        <v>254</v>
      </c>
      <c r="D378" s="4">
        <v>14964</v>
      </c>
      <c r="E378" s="63">
        <v>700</v>
      </c>
      <c r="F378" s="1127" t="s">
        <v>2433</v>
      </c>
      <c r="G378" s="1" t="s">
        <v>45</v>
      </c>
      <c r="H378" s="1"/>
      <c r="I378" s="1"/>
      <c r="J378" s="1"/>
      <c r="K378" s="1"/>
      <c r="L378" s="1"/>
      <c r="M378" s="211"/>
    </row>
    <row r="379" spans="1:13" ht="19.5">
      <c r="A379" s="158">
        <v>103</v>
      </c>
      <c r="B379" s="2" t="s">
        <v>193</v>
      </c>
      <c r="C379" s="1" t="s">
        <v>255</v>
      </c>
      <c r="D379" s="4">
        <v>14964</v>
      </c>
      <c r="E379" s="63">
        <v>700</v>
      </c>
      <c r="F379" s="1127" t="s">
        <v>2433</v>
      </c>
      <c r="G379" s="1" t="s">
        <v>45</v>
      </c>
      <c r="H379" s="1"/>
      <c r="I379" s="1"/>
      <c r="J379" s="1"/>
      <c r="K379" s="1"/>
      <c r="L379" s="1"/>
      <c r="M379" s="211"/>
    </row>
    <row r="380" spans="1:13" ht="19.5">
      <c r="A380" s="158">
        <v>104</v>
      </c>
      <c r="B380" s="2" t="s">
        <v>193</v>
      </c>
      <c r="C380" s="1" t="s">
        <v>256</v>
      </c>
      <c r="D380" s="4">
        <v>14964</v>
      </c>
      <c r="E380" s="63">
        <v>700</v>
      </c>
      <c r="F380" s="1127" t="s">
        <v>2433</v>
      </c>
      <c r="G380" s="1" t="s">
        <v>45</v>
      </c>
      <c r="H380" s="1"/>
      <c r="I380" s="1"/>
      <c r="J380" s="1"/>
      <c r="K380" s="1"/>
      <c r="L380" s="1"/>
      <c r="M380" s="211"/>
    </row>
    <row r="381" spans="1:13" ht="19.5">
      <c r="A381" s="158">
        <v>105</v>
      </c>
      <c r="B381" s="2" t="s">
        <v>193</v>
      </c>
      <c r="C381" s="1" t="s">
        <v>257</v>
      </c>
      <c r="D381" s="4">
        <v>14964</v>
      </c>
      <c r="E381" s="63">
        <v>700</v>
      </c>
      <c r="F381" s="1127" t="s">
        <v>2433</v>
      </c>
      <c r="G381" s="1" t="s">
        <v>45</v>
      </c>
      <c r="H381" s="1"/>
      <c r="I381" s="1"/>
      <c r="J381" s="1"/>
      <c r="K381" s="1"/>
      <c r="L381" s="1"/>
      <c r="M381" s="211"/>
    </row>
    <row r="382" spans="1:13" ht="19.5">
      <c r="A382" s="158">
        <v>106</v>
      </c>
      <c r="B382" s="2" t="s">
        <v>193</v>
      </c>
      <c r="C382" s="1" t="s">
        <v>258</v>
      </c>
      <c r="D382" s="4">
        <v>14964</v>
      </c>
      <c r="E382" s="63">
        <v>700</v>
      </c>
      <c r="F382" s="1127" t="s">
        <v>2433</v>
      </c>
      <c r="G382" s="1" t="s">
        <v>45</v>
      </c>
      <c r="H382" s="1"/>
      <c r="I382" s="1"/>
      <c r="J382" s="1"/>
      <c r="K382" s="1"/>
      <c r="L382" s="1"/>
      <c r="M382" s="211"/>
    </row>
    <row r="383" spans="1:13" ht="19.5">
      <c r="A383" s="158">
        <v>107</v>
      </c>
      <c r="B383" s="2" t="s">
        <v>193</v>
      </c>
      <c r="C383" s="1" t="s">
        <v>259</v>
      </c>
      <c r="D383" s="4">
        <v>14964</v>
      </c>
      <c r="E383" s="63">
        <v>700</v>
      </c>
      <c r="F383" s="1127" t="s">
        <v>2433</v>
      </c>
      <c r="G383" s="1" t="s">
        <v>45</v>
      </c>
      <c r="H383" s="1"/>
      <c r="I383" s="1"/>
      <c r="J383" s="1"/>
      <c r="K383" s="1"/>
      <c r="L383" s="1"/>
      <c r="M383" s="211"/>
    </row>
    <row r="384" spans="1:13" ht="19.5">
      <c r="A384" s="158">
        <v>108</v>
      </c>
      <c r="B384" s="2" t="s">
        <v>193</v>
      </c>
      <c r="C384" s="1" t="s">
        <v>260</v>
      </c>
      <c r="D384" s="4">
        <v>14964</v>
      </c>
      <c r="E384" s="63">
        <v>700</v>
      </c>
      <c r="F384" s="1127" t="s">
        <v>2433</v>
      </c>
      <c r="G384" s="1" t="s">
        <v>45</v>
      </c>
      <c r="H384" s="1"/>
      <c r="I384" s="1"/>
      <c r="J384" s="1"/>
      <c r="K384" s="1"/>
      <c r="L384" s="1"/>
      <c r="M384" s="211"/>
    </row>
    <row r="385" spans="1:13" ht="19.5">
      <c r="A385" s="158">
        <v>109</v>
      </c>
      <c r="B385" s="2" t="s">
        <v>193</v>
      </c>
      <c r="C385" s="1" t="s">
        <v>261</v>
      </c>
      <c r="D385" s="4">
        <v>14964</v>
      </c>
      <c r="E385" s="63">
        <v>700</v>
      </c>
      <c r="F385" s="1127" t="s">
        <v>2433</v>
      </c>
      <c r="G385" s="1" t="s">
        <v>45</v>
      </c>
      <c r="H385" s="1"/>
      <c r="I385" s="1"/>
      <c r="J385" s="1"/>
      <c r="K385" s="1"/>
      <c r="L385" s="1"/>
      <c r="M385" s="211"/>
    </row>
    <row r="386" spans="1:13" ht="19.5">
      <c r="A386" s="158">
        <v>110</v>
      </c>
      <c r="B386" s="2" t="s">
        <v>193</v>
      </c>
      <c r="C386" s="1" t="s">
        <v>262</v>
      </c>
      <c r="D386" s="4">
        <v>14964</v>
      </c>
      <c r="E386" s="63">
        <v>700</v>
      </c>
      <c r="F386" s="1127" t="s">
        <v>2433</v>
      </c>
      <c r="G386" s="1" t="s">
        <v>45</v>
      </c>
      <c r="H386" s="1"/>
      <c r="I386" s="1"/>
      <c r="J386" s="1"/>
      <c r="K386" s="1"/>
      <c r="L386" s="1"/>
      <c r="M386" s="211"/>
    </row>
    <row r="387" spans="1:13" ht="19.5">
      <c r="A387" s="158">
        <v>111</v>
      </c>
      <c r="B387" s="2" t="s">
        <v>193</v>
      </c>
      <c r="C387" s="1" t="s">
        <v>263</v>
      </c>
      <c r="D387" s="4">
        <v>14964</v>
      </c>
      <c r="E387" s="63">
        <v>700</v>
      </c>
      <c r="F387" s="1127" t="s">
        <v>2433</v>
      </c>
      <c r="G387" s="1" t="s">
        <v>45</v>
      </c>
      <c r="H387" s="1"/>
      <c r="I387" s="1"/>
      <c r="J387" s="1"/>
      <c r="K387" s="1"/>
      <c r="L387" s="1"/>
      <c r="M387" s="211"/>
    </row>
    <row r="388" spans="1:13" ht="19.5">
      <c r="A388" s="158">
        <v>112</v>
      </c>
      <c r="B388" s="2" t="s">
        <v>193</v>
      </c>
      <c r="C388" s="1" t="s">
        <v>264</v>
      </c>
      <c r="D388" s="4">
        <v>14964</v>
      </c>
      <c r="E388" s="63">
        <v>700</v>
      </c>
      <c r="F388" s="1127" t="s">
        <v>2433</v>
      </c>
      <c r="G388" s="1" t="s">
        <v>45</v>
      </c>
      <c r="H388" s="1"/>
      <c r="I388" s="1"/>
      <c r="J388" s="1"/>
      <c r="K388" s="1"/>
      <c r="L388" s="1"/>
      <c r="M388" s="211"/>
    </row>
    <row r="389" spans="1:13" ht="19.5">
      <c r="A389" s="158">
        <v>113</v>
      </c>
      <c r="B389" s="2" t="s">
        <v>193</v>
      </c>
      <c r="C389" s="1" t="s">
        <v>265</v>
      </c>
      <c r="D389" s="4">
        <v>14964</v>
      </c>
      <c r="E389" s="63">
        <v>700</v>
      </c>
      <c r="F389" s="1127" t="s">
        <v>2433</v>
      </c>
      <c r="G389" s="1" t="s">
        <v>45</v>
      </c>
      <c r="H389" s="1"/>
      <c r="I389" s="1"/>
      <c r="J389" s="1"/>
      <c r="K389" s="1"/>
      <c r="L389" s="1"/>
      <c r="M389" s="211"/>
    </row>
    <row r="390" spans="1:13" ht="19.5">
      <c r="A390" s="158">
        <v>114</v>
      </c>
      <c r="B390" s="2" t="s">
        <v>193</v>
      </c>
      <c r="C390" s="1" t="s">
        <v>266</v>
      </c>
      <c r="D390" s="4">
        <v>14964</v>
      </c>
      <c r="E390" s="63">
        <v>700</v>
      </c>
      <c r="F390" s="1127" t="s">
        <v>2433</v>
      </c>
      <c r="G390" s="1" t="s">
        <v>45</v>
      </c>
      <c r="H390" s="1"/>
      <c r="I390" s="1"/>
      <c r="J390" s="1"/>
      <c r="K390" s="1"/>
      <c r="L390" s="1"/>
      <c r="M390" s="211"/>
    </row>
    <row r="391" spans="1:13" ht="19.5">
      <c r="A391" s="158">
        <v>115</v>
      </c>
      <c r="B391" s="2" t="s">
        <v>193</v>
      </c>
      <c r="C391" s="1" t="s">
        <v>267</v>
      </c>
      <c r="D391" s="4">
        <v>14964</v>
      </c>
      <c r="E391" s="63">
        <v>700</v>
      </c>
      <c r="F391" s="1127" t="s">
        <v>2433</v>
      </c>
      <c r="G391" s="1" t="s">
        <v>45</v>
      </c>
      <c r="H391" s="1"/>
      <c r="I391" s="1"/>
      <c r="J391" s="1"/>
      <c r="K391" s="1"/>
      <c r="L391" s="1"/>
      <c r="M391" s="211"/>
    </row>
    <row r="392" spans="1:13" ht="19.5">
      <c r="A392" s="158">
        <v>116</v>
      </c>
      <c r="B392" s="2" t="s">
        <v>193</v>
      </c>
      <c r="C392" s="1" t="s">
        <v>268</v>
      </c>
      <c r="D392" s="4">
        <v>14964</v>
      </c>
      <c r="E392" s="63">
        <v>700</v>
      </c>
      <c r="F392" s="1127" t="s">
        <v>2433</v>
      </c>
      <c r="G392" s="1" t="s">
        <v>45</v>
      </c>
      <c r="H392" s="1"/>
      <c r="I392" s="1"/>
      <c r="J392" s="1"/>
      <c r="K392" s="1"/>
      <c r="L392" s="1"/>
      <c r="M392" s="211"/>
    </row>
    <row r="393" spans="1:13" ht="19.5">
      <c r="A393" s="158">
        <v>117</v>
      </c>
      <c r="B393" s="2" t="s">
        <v>193</v>
      </c>
      <c r="C393" s="1" t="s">
        <v>269</v>
      </c>
      <c r="D393" s="4">
        <v>14964</v>
      </c>
      <c r="E393" s="63">
        <v>700</v>
      </c>
      <c r="F393" s="1127" t="s">
        <v>2433</v>
      </c>
      <c r="G393" s="1" t="s">
        <v>45</v>
      </c>
      <c r="H393" s="1"/>
      <c r="I393" s="1"/>
      <c r="J393" s="1"/>
      <c r="K393" s="1"/>
      <c r="L393" s="1"/>
      <c r="M393" s="211"/>
    </row>
    <row r="394" spans="1:13" ht="19.5">
      <c r="A394" s="158">
        <v>118</v>
      </c>
      <c r="B394" s="2" t="s">
        <v>193</v>
      </c>
      <c r="C394" s="1" t="s">
        <v>270</v>
      </c>
      <c r="D394" s="4">
        <v>14964</v>
      </c>
      <c r="E394" s="63">
        <v>700</v>
      </c>
      <c r="F394" s="1127" t="s">
        <v>2433</v>
      </c>
      <c r="G394" s="1" t="s">
        <v>45</v>
      </c>
      <c r="H394" s="1"/>
      <c r="I394" s="1"/>
      <c r="J394" s="1"/>
      <c r="K394" s="1"/>
      <c r="L394" s="1"/>
      <c r="M394" s="211"/>
    </row>
    <row r="395" spans="1:13" ht="19.5">
      <c r="A395" s="158">
        <v>119</v>
      </c>
      <c r="B395" s="2" t="s">
        <v>193</v>
      </c>
      <c r="C395" s="1" t="s">
        <v>271</v>
      </c>
      <c r="D395" s="4">
        <v>14964</v>
      </c>
      <c r="E395" s="63">
        <v>700</v>
      </c>
      <c r="F395" s="1127" t="s">
        <v>2433</v>
      </c>
      <c r="G395" s="1" t="s">
        <v>45</v>
      </c>
      <c r="H395" s="1"/>
      <c r="I395" s="1"/>
      <c r="J395" s="1"/>
      <c r="K395" s="1"/>
      <c r="L395" s="1"/>
      <c r="M395" s="211"/>
    </row>
    <row r="396" spans="1:13" ht="19.5">
      <c r="A396" s="158">
        <v>120</v>
      </c>
      <c r="B396" s="2" t="s">
        <v>193</v>
      </c>
      <c r="C396" s="1" t="s">
        <v>272</v>
      </c>
      <c r="D396" s="4">
        <v>14964</v>
      </c>
      <c r="E396" s="63">
        <v>700</v>
      </c>
      <c r="F396" s="1127" t="s">
        <v>2433</v>
      </c>
      <c r="G396" s="1" t="s">
        <v>45</v>
      </c>
      <c r="H396" s="1"/>
      <c r="I396" s="1"/>
      <c r="J396" s="1"/>
      <c r="K396" s="1"/>
      <c r="L396" s="1"/>
      <c r="M396" s="211"/>
    </row>
    <row r="397" spans="1:13" ht="19.5">
      <c r="A397" s="158">
        <v>121</v>
      </c>
      <c r="B397" s="2" t="s">
        <v>193</v>
      </c>
      <c r="C397" s="1" t="s">
        <v>273</v>
      </c>
      <c r="D397" s="4">
        <v>14964</v>
      </c>
      <c r="E397" s="63">
        <v>700</v>
      </c>
      <c r="F397" s="1127" t="s">
        <v>2433</v>
      </c>
      <c r="G397" s="1" t="s">
        <v>45</v>
      </c>
      <c r="H397" s="1"/>
      <c r="I397" s="1"/>
      <c r="J397" s="1"/>
      <c r="K397" s="1"/>
      <c r="L397" s="1"/>
      <c r="M397" s="211"/>
    </row>
    <row r="398" spans="1:13" ht="19.5">
      <c r="A398" s="158">
        <v>122</v>
      </c>
      <c r="B398" s="2" t="s">
        <v>193</v>
      </c>
      <c r="C398" s="1" t="s">
        <v>274</v>
      </c>
      <c r="D398" s="4">
        <v>14964</v>
      </c>
      <c r="E398" s="63">
        <v>700</v>
      </c>
      <c r="F398" s="1127" t="s">
        <v>2433</v>
      </c>
      <c r="G398" s="1" t="s">
        <v>45</v>
      </c>
      <c r="H398" s="1"/>
      <c r="I398" s="1"/>
      <c r="J398" s="1"/>
      <c r="K398" s="1"/>
      <c r="L398" s="1"/>
      <c r="M398" s="211"/>
    </row>
    <row r="399" spans="1:13" ht="19.5">
      <c r="A399" s="158">
        <v>123</v>
      </c>
      <c r="B399" s="2" t="s">
        <v>193</v>
      </c>
      <c r="C399" s="1" t="s">
        <v>275</v>
      </c>
      <c r="D399" s="4">
        <v>14964</v>
      </c>
      <c r="E399" s="63">
        <v>700</v>
      </c>
      <c r="F399" s="1127" t="s">
        <v>2433</v>
      </c>
      <c r="G399" s="1" t="s">
        <v>45</v>
      </c>
      <c r="H399" s="1"/>
      <c r="I399" s="1"/>
      <c r="J399" s="1"/>
      <c r="K399" s="1"/>
      <c r="L399" s="1"/>
      <c r="M399" s="211"/>
    </row>
    <row r="400" spans="1:13" ht="19.5">
      <c r="A400" s="158">
        <v>124</v>
      </c>
      <c r="B400" s="2" t="s">
        <v>193</v>
      </c>
      <c r="C400" s="1" t="s">
        <v>276</v>
      </c>
      <c r="D400" s="4">
        <v>14964</v>
      </c>
      <c r="E400" s="63">
        <v>700</v>
      </c>
      <c r="F400" s="1127" t="s">
        <v>2433</v>
      </c>
      <c r="G400" s="1" t="s">
        <v>45</v>
      </c>
      <c r="H400" s="1"/>
      <c r="I400" s="1"/>
      <c r="J400" s="1"/>
      <c r="K400" s="1"/>
      <c r="L400" s="1"/>
      <c r="M400" s="211"/>
    </row>
    <row r="401" spans="1:13" ht="19.5">
      <c r="A401" s="158">
        <v>125</v>
      </c>
      <c r="B401" s="2" t="s">
        <v>193</v>
      </c>
      <c r="C401" s="1" t="s">
        <v>277</v>
      </c>
      <c r="D401" s="4">
        <v>14964</v>
      </c>
      <c r="E401" s="63">
        <v>700</v>
      </c>
      <c r="F401" s="1127" t="s">
        <v>2433</v>
      </c>
      <c r="G401" s="1" t="s">
        <v>45</v>
      </c>
      <c r="H401" s="1"/>
      <c r="I401" s="1"/>
      <c r="J401" s="1"/>
      <c r="K401" s="1"/>
      <c r="L401" s="1"/>
      <c r="M401" s="211"/>
    </row>
    <row r="402" spans="1:13" ht="19.5">
      <c r="A402" s="158">
        <v>126</v>
      </c>
      <c r="B402" s="2" t="s">
        <v>193</v>
      </c>
      <c r="C402" s="1" t="s">
        <v>278</v>
      </c>
      <c r="D402" s="4">
        <v>14964</v>
      </c>
      <c r="E402" s="63">
        <v>700</v>
      </c>
      <c r="F402" s="1127" t="s">
        <v>2433</v>
      </c>
      <c r="G402" s="1" t="s">
        <v>45</v>
      </c>
      <c r="H402" s="1"/>
      <c r="I402" s="1"/>
      <c r="J402" s="1"/>
      <c r="K402" s="1"/>
      <c r="L402" s="1"/>
      <c r="M402" s="211"/>
    </row>
    <row r="403" spans="1:13" ht="19.5">
      <c r="A403" s="158">
        <v>127</v>
      </c>
      <c r="B403" s="2" t="s">
        <v>193</v>
      </c>
      <c r="C403" s="1" t="s">
        <v>279</v>
      </c>
      <c r="D403" s="4">
        <v>14964</v>
      </c>
      <c r="E403" s="63">
        <v>700</v>
      </c>
      <c r="F403" s="1127" t="s">
        <v>2433</v>
      </c>
      <c r="G403" s="1" t="s">
        <v>45</v>
      </c>
      <c r="H403" s="1"/>
      <c r="I403" s="1"/>
      <c r="J403" s="1"/>
      <c r="K403" s="1"/>
      <c r="L403" s="1"/>
      <c r="M403" s="211"/>
    </row>
    <row r="404" spans="1:13" ht="19.5">
      <c r="A404" s="158">
        <v>128</v>
      </c>
      <c r="B404" s="2" t="s">
        <v>193</v>
      </c>
      <c r="C404" s="1" t="s">
        <v>280</v>
      </c>
      <c r="D404" s="4">
        <v>14964</v>
      </c>
      <c r="E404" s="63">
        <v>700</v>
      </c>
      <c r="F404" s="1127" t="s">
        <v>2433</v>
      </c>
      <c r="G404" s="1" t="s">
        <v>45</v>
      </c>
      <c r="H404" s="1"/>
      <c r="I404" s="1"/>
      <c r="J404" s="1"/>
      <c r="K404" s="1"/>
      <c r="L404" s="1"/>
      <c r="M404" s="211"/>
    </row>
    <row r="405" spans="1:13" ht="19.5">
      <c r="A405" s="158">
        <v>129</v>
      </c>
      <c r="B405" s="2" t="s">
        <v>193</v>
      </c>
      <c r="C405" s="1" t="s">
        <v>281</v>
      </c>
      <c r="D405" s="4">
        <v>14964</v>
      </c>
      <c r="E405" s="63">
        <v>700</v>
      </c>
      <c r="F405" s="1127" t="s">
        <v>2433</v>
      </c>
      <c r="G405" s="1" t="s">
        <v>45</v>
      </c>
      <c r="H405" s="1"/>
      <c r="I405" s="1"/>
      <c r="J405" s="1"/>
      <c r="K405" s="1"/>
      <c r="L405" s="1"/>
      <c r="M405" s="211"/>
    </row>
    <row r="406" spans="1:13" ht="19.5">
      <c r="A406" s="158">
        <v>130</v>
      </c>
      <c r="B406" s="2" t="s">
        <v>193</v>
      </c>
      <c r="C406" s="1" t="s">
        <v>282</v>
      </c>
      <c r="D406" s="4">
        <v>14964</v>
      </c>
      <c r="E406" s="63">
        <v>700</v>
      </c>
      <c r="F406" s="1127" t="s">
        <v>2433</v>
      </c>
      <c r="G406" s="1" t="s">
        <v>45</v>
      </c>
      <c r="H406" s="1"/>
      <c r="I406" s="1"/>
      <c r="J406" s="1"/>
      <c r="K406" s="1"/>
      <c r="L406" s="1"/>
      <c r="M406" s="211"/>
    </row>
    <row r="407" spans="1:13" ht="19.5">
      <c r="A407" s="158">
        <v>131</v>
      </c>
      <c r="B407" s="2" t="s">
        <v>193</v>
      </c>
      <c r="C407" s="1" t="s">
        <v>283</v>
      </c>
      <c r="D407" s="4">
        <v>14964</v>
      </c>
      <c r="E407" s="63">
        <v>700</v>
      </c>
      <c r="F407" s="1127" t="s">
        <v>2433</v>
      </c>
      <c r="G407" s="1" t="s">
        <v>45</v>
      </c>
      <c r="H407" s="1"/>
      <c r="I407" s="1"/>
      <c r="J407" s="1"/>
      <c r="K407" s="1"/>
      <c r="L407" s="1"/>
      <c r="M407" s="211"/>
    </row>
    <row r="408" spans="1:13" ht="19.5">
      <c r="A408" s="158">
        <v>132</v>
      </c>
      <c r="B408" s="2" t="s">
        <v>193</v>
      </c>
      <c r="C408" s="1" t="s">
        <v>284</v>
      </c>
      <c r="D408" s="4">
        <v>14964</v>
      </c>
      <c r="E408" s="63">
        <v>700</v>
      </c>
      <c r="F408" s="1127" t="s">
        <v>2433</v>
      </c>
      <c r="G408" s="1" t="s">
        <v>45</v>
      </c>
      <c r="H408" s="1"/>
      <c r="I408" s="1"/>
      <c r="J408" s="1"/>
      <c r="K408" s="1"/>
      <c r="L408" s="1"/>
      <c r="M408" s="211"/>
    </row>
    <row r="409" spans="1:13" ht="19.5">
      <c r="A409" s="158">
        <v>133</v>
      </c>
      <c r="B409" s="2" t="s">
        <v>193</v>
      </c>
      <c r="C409" s="1" t="s">
        <v>285</v>
      </c>
      <c r="D409" s="4">
        <v>14964</v>
      </c>
      <c r="E409" s="63">
        <v>700</v>
      </c>
      <c r="F409" s="1127" t="s">
        <v>2433</v>
      </c>
      <c r="G409" s="1" t="s">
        <v>45</v>
      </c>
      <c r="H409" s="1"/>
      <c r="I409" s="1"/>
      <c r="J409" s="1"/>
      <c r="K409" s="1"/>
      <c r="L409" s="1"/>
      <c r="M409" s="211"/>
    </row>
    <row r="410" spans="1:13" ht="19.5">
      <c r="A410" s="158">
        <v>134</v>
      </c>
      <c r="B410" s="2" t="s">
        <v>193</v>
      </c>
      <c r="C410" s="1" t="s">
        <v>286</v>
      </c>
      <c r="D410" s="4">
        <v>14964</v>
      </c>
      <c r="E410" s="63">
        <v>700</v>
      </c>
      <c r="F410" s="1127" t="s">
        <v>2433</v>
      </c>
      <c r="G410" s="1" t="s">
        <v>45</v>
      </c>
      <c r="H410" s="1"/>
      <c r="I410" s="1"/>
      <c r="J410" s="1"/>
      <c r="K410" s="1"/>
      <c r="L410" s="1"/>
      <c r="M410" s="211"/>
    </row>
    <row r="411" spans="1:13" ht="19.5">
      <c r="A411" s="158">
        <v>135</v>
      </c>
      <c r="B411" s="2" t="s">
        <v>193</v>
      </c>
      <c r="C411" s="1" t="s">
        <v>287</v>
      </c>
      <c r="D411" s="4">
        <v>14964</v>
      </c>
      <c r="E411" s="63">
        <v>700</v>
      </c>
      <c r="F411" s="1127" t="s">
        <v>2433</v>
      </c>
      <c r="G411" s="1" t="s">
        <v>45</v>
      </c>
      <c r="H411" s="1"/>
      <c r="I411" s="1"/>
      <c r="J411" s="1"/>
      <c r="K411" s="1"/>
      <c r="L411" s="1"/>
      <c r="M411" s="211"/>
    </row>
    <row r="412" spans="1:13" ht="19.5">
      <c r="A412" s="158">
        <v>136</v>
      </c>
      <c r="B412" s="2" t="s">
        <v>193</v>
      </c>
      <c r="C412" s="1" t="s">
        <v>288</v>
      </c>
      <c r="D412" s="4">
        <v>14964</v>
      </c>
      <c r="E412" s="63">
        <v>700</v>
      </c>
      <c r="F412" s="1127" t="s">
        <v>2433</v>
      </c>
      <c r="G412" s="1" t="s">
        <v>45</v>
      </c>
      <c r="H412" s="1"/>
      <c r="I412" s="1"/>
      <c r="J412" s="1"/>
      <c r="K412" s="1"/>
      <c r="L412" s="1"/>
      <c r="M412" s="211"/>
    </row>
    <row r="413" spans="1:13" ht="19.5">
      <c r="A413" s="158">
        <v>137</v>
      </c>
      <c r="B413" s="2" t="s">
        <v>193</v>
      </c>
      <c r="C413" s="1" t="s">
        <v>289</v>
      </c>
      <c r="D413" s="4">
        <v>14964</v>
      </c>
      <c r="E413" s="63">
        <v>700</v>
      </c>
      <c r="F413" s="1127" t="s">
        <v>2433</v>
      </c>
      <c r="G413" s="1" t="s">
        <v>45</v>
      </c>
      <c r="H413" s="1"/>
      <c r="I413" s="1"/>
      <c r="J413" s="1"/>
      <c r="K413" s="1"/>
      <c r="L413" s="1"/>
      <c r="M413" s="211"/>
    </row>
    <row r="414" spans="1:13" ht="19.5">
      <c r="A414" s="158">
        <v>138</v>
      </c>
      <c r="B414" s="2" t="s">
        <v>193</v>
      </c>
      <c r="C414" s="1" t="s">
        <v>290</v>
      </c>
      <c r="D414" s="4">
        <v>14964</v>
      </c>
      <c r="E414" s="63">
        <v>700</v>
      </c>
      <c r="F414" s="1127" t="s">
        <v>2433</v>
      </c>
      <c r="G414" s="1" t="s">
        <v>45</v>
      </c>
      <c r="H414" s="1"/>
      <c r="I414" s="1"/>
      <c r="J414" s="1"/>
      <c r="K414" s="1"/>
      <c r="L414" s="1"/>
      <c r="M414" s="211"/>
    </row>
    <row r="415" spans="1:13" ht="19.5">
      <c r="A415" s="158">
        <v>139</v>
      </c>
      <c r="B415" s="2" t="s">
        <v>193</v>
      </c>
      <c r="C415" s="1" t="s">
        <v>291</v>
      </c>
      <c r="D415" s="4">
        <v>14964</v>
      </c>
      <c r="E415" s="63">
        <v>700</v>
      </c>
      <c r="F415" s="1127" t="s">
        <v>2433</v>
      </c>
      <c r="G415" s="1" t="s">
        <v>45</v>
      </c>
      <c r="H415" s="1"/>
      <c r="I415" s="1"/>
      <c r="J415" s="1"/>
      <c r="K415" s="1"/>
      <c r="L415" s="1"/>
      <c r="M415" s="211"/>
    </row>
    <row r="416" spans="1:13" ht="19.5">
      <c r="A416" s="158">
        <v>140</v>
      </c>
      <c r="B416" s="2" t="s">
        <v>193</v>
      </c>
      <c r="C416" s="1" t="s">
        <v>292</v>
      </c>
      <c r="D416" s="4">
        <v>14964</v>
      </c>
      <c r="E416" s="63">
        <v>700</v>
      </c>
      <c r="F416" s="1127" t="s">
        <v>2433</v>
      </c>
      <c r="G416" s="1" t="s">
        <v>45</v>
      </c>
      <c r="H416" s="1"/>
      <c r="I416" s="1"/>
      <c r="J416" s="1"/>
      <c r="K416" s="1"/>
      <c r="L416" s="1"/>
      <c r="M416" s="211"/>
    </row>
    <row r="417" spans="1:13" ht="19.5">
      <c r="A417" s="158">
        <v>141</v>
      </c>
      <c r="B417" s="2" t="s">
        <v>193</v>
      </c>
      <c r="C417" s="1" t="s">
        <v>293</v>
      </c>
      <c r="D417" s="4">
        <v>14964</v>
      </c>
      <c r="E417" s="63">
        <v>700</v>
      </c>
      <c r="F417" s="1127" t="s">
        <v>2433</v>
      </c>
      <c r="G417" s="1" t="s">
        <v>45</v>
      </c>
      <c r="H417" s="1"/>
      <c r="I417" s="1"/>
      <c r="J417" s="1"/>
      <c r="K417" s="1"/>
      <c r="L417" s="1"/>
      <c r="M417" s="211"/>
    </row>
    <row r="418" spans="1:13" ht="19.5">
      <c r="A418" s="158">
        <v>142</v>
      </c>
      <c r="B418" s="2" t="s">
        <v>193</v>
      </c>
      <c r="C418" s="1" t="s">
        <v>294</v>
      </c>
      <c r="D418" s="4">
        <v>14964</v>
      </c>
      <c r="E418" s="63">
        <v>700</v>
      </c>
      <c r="F418" s="1127" t="s">
        <v>2433</v>
      </c>
      <c r="G418" s="1" t="s">
        <v>45</v>
      </c>
      <c r="H418" s="1"/>
      <c r="I418" s="1"/>
      <c r="J418" s="1"/>
      <c r="K418" s="1"/>
      <c r="L418" s="1"/>
      <c r="M418" s="211"/>
    </row>
    <row r="419" spans="1:13" ht="19.5">
      <c r="A419" s="158">
        <v>143</v>
      </c>
      <c r="B419" s="2" t="s">
        <v>193</v>
      </c>
      <c r="C419" s="1" t="s">
        <v>295</v>
      </c>
      <c r="D419" s="4">
        <v>14964</v>
      </c>
      <c r="E419" s="63">
        <v>700</v>
      </c>
      <c r="F419" s="1127" t="s">
        <v>2433</v>
      </c>
      <c r="G419" s="1" t="s">
        <v>45</v>
      </c>
      <c r="H419" s="1"/>
      <c r="I419" s="1"/>
      <c r="J419" s="1"/>
      <c r="K419" s="1"/>
      <c r="L419" s="1"/>
      <c r="M419" s="211"/>
    </row>
    <row r="420" spans="1:13" ht="19.5">
      <c r="A420" s="158">
        <v>144</v>
      </c>
      <c r="B420" s="2" t="s">
        <v>193</v>
      </c>
      <c r="C420" s="1" t="s">
        <v>296</v>
      </c>
      <c r="D420" s="4">
        <v>14964</v>
      </c>
      <c r="E420" s="63">
        <v>700</v>
      </c>
      <c r="F420" s="1127" t="s">
        <v>2433</v>
      </c>
      <c r="G420" s="1" t="s">
        <v>45</v>
      </c>
      <c r="H420" s="1"/>
      <c r="I420" s="1"/>
      <c r="J420" s="1"/>
      <c r="K420" s="1"/>
      <c r="L420" s="1"/>
      <c r="M420" s="211"/>
    </row>
    <row r="421" spans="1:13" ht="19.5">
      <c r="A421" s="158">
        <v>145</v>
      </c>
      <c r="B421" s="2" t="s">
        <v>193</v>
      </c>
      <c r="C421" s="1" t="s">
        <v>297</v>
      </c>
      <c r="D421" s="4">
        <v>14964</v>
      </c>
      <c r="E421" s="63">
        <v>700</v>
      </c>
      <c r="F421" s="1127" t="s">
        <v>2433</v>
      </c>
      <c r="G421" s="1" t="s">
        <v>45</v>
      </c>
      <c r="H421" s="1"/>
      <c r="I421" s="1"/>
      <c r="J421" s="1"/>
      <c r="K421" s="1"/>
      <c r="L421" s="1"/>
      <c r="M421" s="211"/>
    </row>
    <row r="422" spans="1:13" ht="19.5">
      <c r="A422" s="158">
        <v>146</v>
      </c>
      <c r="B422" s="2" t="s">
        <v>193</v>
      </c>
      <c r="C422" s="1" t="s">
        <v>298</v>
      </c>
      <c r="D422" s="4">
        <v>14964</v>
      </c>
      <c r="E422" s="63">
        <v>700</v>
      </c>
      <c r="F422" s="1127" t="s">
        <v>2433</v>
      </c>
      <c r="G422" s="1" t="s">
        <v>45</v>
      </c>
      <c r="H422" s="1"/>
      <c r="I422" s="1"/>
      <c r="J422" s="1"/>
      <c r="K422" s="1"/>
      <c r="L422" s="1"/>
      <c r="M422" s="211"/>
    </row>
    <row r="423" spans="1:13" ht="19.5">
      <c r="A423" s="158">
        <v>147</v>
      </c>
      <c r="B423" s="2" t="s">
        <v>193</v>
      </c>
      <c r="C423" s="1" t="s">
        <v>299</v>
      </c>
      <c r="D423" s="4">
        <v>14964</v>
      </c>
      <c r="E423" s="63">
        <v>700</v>
      </c>
      <c r="F423" s="1127" t="s">
        <v>2433</v>
      </c>
      <c r="G423" s="1" t="s">
        <v>45</v>
      </c>
      <c r="H423" s="1"/>
      <c r="I423" s="1"/>
      <c r="J423" s="1"/>
      <c r="K423" s="1"/>
      <c r="L423" s="1"/>
      <c r="M423" s="211"/>
    </row>
    <row r="424" spans="1:13" ht="19.5">
      <c r="A424" s="158">
        <v>148</v>
      </c>
      <c r="B424" s="2" t="s">
        <v>193</v>
      </c>
      <c r="C424" s="1" t="s">
        <v>300</v>
      </c>
      <c r="D424" s="4">
        <v>14964</v>
      </c>
      <c r="E424" s="63">
        <v>700</v>
      </c>
      <c r="F424" s="1127" t="s">
        <v>2433</v>
      </c>
      <c r="G424" s="1" t="s">
        <v>45</v>
      </c>
      <c r="H424" s="1"/>
      <c r="I424" s="1"/>
      <c r="J424" s="1"/>
      <c r="K424" s="1"/>
      <c r="L424" s="1"/>
      <c r="M424" s="211"/>
    </row>
    <row r="425" spans="1:13" ht="19.5">
      <c r="A425" s="158">
        <v>149</v>
      </c>
      <c r="B425" s="2" t="s">
        <v>193</v>
      </c>
      <c r="C425" s="1" t="s">
        <v>301</v>
      </c>
      <c r="D425" s="4">
        <v>14964</v>
      </c>
      <c r="E425" s="63">
        <v>700</v>
      </c>
      <c r="F425" s="1127" t="s">
        <v>2433</v>
      </c>
      <c r="G425" s="1" t="s">
        <v>45</v>
      </c>
      <c r="H425" s="1"/>
      <c r="I425" s="1"/>
      <c r="J425" s="1"/>
      <c r="K425" s="1"/>
      <c r="L425" s="1"/>
      <c r="M425" s="211"/>
    </row>
    <row r="426" spans="1:13" ht="19.5">
      <c r="A426" s="158">
        <v>150</v>
      </c>
      <c r="B426" s="2" t="s">
        <v>193</v>
      </c>
      <c r="C426" s="1" t="s">
        <v>302</v>
      </c>
      <c r="D426" s="4">
        <v>14964</v>
      </c>
      <c r="E426" s="63">
        <v>700</v>
      </c>
      <c r="F426" s="1127" t="s">
        <v>2433</v>
      </c>
      <c r="G426" s="1" t="s">
        <v>45</v>
      </c>
      <c r="H426" s="1"/>
      <c r="I426" s="1"/>
      <c r="J426" s="1"/>
      <c r="K426" s="1"/>
      <c r="L426" s="1"/>
      <c r="M426" s="211"/>
    </row>
    <row r="427" spans="1:13" ht="19.5">
      <c r="A427" s="158">
        <v>151</v>
      </c>
      <c r="B427" s="2" t="s">
        <v>193</v>
      </c>
      <c r="C427" s="1" t="s">
        <v>303</v>
      </c>
      <c r="D427" s="4">
        <v>14964</v>
      </c>
      <c r="E427" s="63">
        <v>700</v>
      </c>
      <c r="F427" s="1127" t="s">
        <v>2433</v>
      </c>
      <c r="G427" s="1" t="s">
        <v>45</v>
      </c>
      <c r="H427" s="1"/>
      <c r="I427" s="1"/>
      <c r="J427" s="1"/>
      <c r="K427" s="1"/>
      <c r="L427" s="1"/>
      <c r="M427" s="211"/>
    </row>
    <row r="428" spans="1:13" ht="19.5">
      <c r="A428" s="158">
        <v>152</v>
      </c>
      <c r="B428" s="2" t="s">
        <v>193</v>
      </c>
      <c r="C428" s="1" t="s">
        <v>304</v>
      </c>
      <c r="D428" s="4">
        <v>14964</v>
      </c>
      <c r="E428" s="63">
        <v>700</v>
      </c>
      <c r="F428" s="1127" t="s">
        <v>2433</v>
      </c>
      <c r="G428" s="1" t="s">
        <v>45</v>
      </c>
      <c r="H428" s="1"/>
      <c r="I428" s="1"/>
      <c r="J428" s="1"/>
      <c r="K428" s="1"/>
      <c r="L428" s="1"/>
      <c r="M428" s="211"/>
    </row>
    <row r="429" spans="1:13" ht="19.5">
      <c r="A429" s="158">
        <v>153</v>
      </c>
      <c r="B429" s="2" t="s">
        <v>193</v>
      </c>
      <c r="C429" s="1" t="s">
        <v>305</v>
      </c>
      <c r="D429" s="4">
        <v>14964</v>
      </c>
      <c r="E429" s="63">
        <v>700</v>
      </c>
      <c r="F429" s="1127" t="s">
        <v>2433</v>
      </c>
      <c r="G429" s="1" t="s">
        <v>45</v>
      </c>
      <c r="H429" s="1"/>
      <c r="I429" s="1"/>
      <c r="J429" s="1"/>
      <c r="K429" s="1"/>
      <c r="L429" s="1"/>
      <c r="M429" s="211"/>
    </row>
    <row r="430" spans="1:13" ht="19.5">
      <c r="A430" s="158">
        <v>154</v>
      </c>
      <c r="B430" s="2" t="s">
        <v>193</v>
      </c>
      <c r="C430" s="1" t="s">
        <v>306</v>
      </c>
      <c r="D430" s="4">
        <v>14964</v>
      </c>
      <c r="E430" s="63">
        <v>700</v>
      </c>
      <c r="F430" s="1127" t="s">
        <v>2433</v>
      </c>
      <c r="G430" s="1" t="s">
        <v>45</v>
      </c>
      <c r="H430" s="1"/>
      <c r="I430" s="1"/>
      <c r="J430" s="1"/>
      <c r="K430" s="1"/>
      <c r="L430" s="1"/>
      <c r="M430" s="211"/>
    </row>
    <row r="431" spans="1:13" ht="19.5">
      <c r="A431" s="158">
        <v>155</v>
      </c>
      <c r="B431" s="2" t="s">
        <v>193</v>
      </c>
      <c r="C431" s="1" t="s">
        <v>307</v>
      </c>
      <c r="D431" s="4">
        <v>14964</v>
      </c>
      <c r="E431" s="63">
        <v>700</v>
      </c>
      <c r="F431" s="1127" t="s">
        <v>2433</v>
      </c>
      <c r="G431" s="1" t="s">
        <v>45</v>
      </c>
      <c r="H431" s="1"/>
      <c r="I431" s="1"/>
      <c r="J431" s="1"/>
      <c r="K431" s="1"/>
      <c r="L431" s="1"/>
      <c r="M431" s="211"/>
    </row>
    <row r="432" spans="1:13" ht="19.5">
      <c r="A432" s="158">
        <v>156</v>
      </c>
      <c r="B432" s="2" t="s">
        <v>193</v>
      </c>
      <c r="C432" s="1" t="s">
        <v>308</v>
      </c>
      <c r="D432" s="4">
        <v>14964</v>
      </c>
      <c r="E432" s="63">
        <v>700</v>
      </c>
      <c r="F432" s="1127" t="s">
        <v>2433</v>
      </c>
      <c r="G432" s="1" t="s">
        <v>45</v>
      </c>
      <c r="H432" s="1"/>
      <c r="I432" s="1"/>
      <c r="J432" s="1"/>
      <c r="K432" s="1"/>
      <c r="L432" s="1"/>
      <c r="M432" s="211"/>
    </row>
    <row r="433" spans="1:13" ht="19.5">
      <c r="A433" s="158">
        <v>157</v>
      </c>
      <c r="B433" s="2" t="s">
        <v>193</v>
      </c>
      <c r="C433" s="1" t="s">
        <v>309</v>
      </c>
      <c r="D433" s="4">
        <v>14964</v>
      </c>
      <c r="E433" s="63">
        <v>700</v>
      </c>
      <c r="F433" s="1127" t="s">
        <v>2433</v>
      </c>
      <c r="G433" s="1" t="s">
        <v>45</v>
      </c>
      <c r="H433" s="1"/>
      <c r="I433" s="1"/>
      <c r="J433" s="1"/>
      <c r="K433" s="1"/>
      <c r="L433" s="1"/>
      <c r="M433" s="211"/>
    </row>
    <row r="434" spans="1:13" ht="19.5">
      <c r="A434" s="158">
        <v>158</v>
      </c>
      <c r="B434" s="2" t="s">
        <v>193</v>
      </c>
      <c r="C434" s="1" t="s">
        <v>310</v>
      </c>
      <c r="D434" s="4">
        <v>14964</v>
      </c>
      <c r="E434" s="63">
        <v>700</v>
      </c>
      <c r="F434" s="1127" t="s">
        <v>2433</v>
      </c>
      <c r="G434" s="1" t="s">
        <v>45</v>
      </c>
      <c r="H434" s="1"/>
      <c r="I434" s="1"/>
      <c r="J434" s="1"/>
      <c r="K434" s="1"/>
      <c r="L434" s="1"/>
      <c r="M434" s="211"/>
    </row>
    <row r="435" spans="1:13" ht="19.5">
      <c r="A435" s="158">
        <v>159</v>
      </c>
      <c r="B435" s="2" t="s">
        <v>193</v>
      </c>
      <c r="C435" s="1" t="s">
        <v>311</v>
      </c>
      <c r="D435" s="4">
        <v>14964</v>
      </c>
      <c r="E435" s="63">
        <v>700</v>
      </c>
      <c r="F435" s="1127" t="s">
        <v>2433</v>
      </c>
      <c r="G435" s="1" t="s">
        <v>45</v>
      </c>
      <c r="H435" s="1"/>
      <c r="I435" s="1"/>
      <c r="J435" s="1"/>
      <c r="K435" s="1"/>
      <c r="L435" s="1"/>
      <c r="M435" s="211"/>
    </row>
    <row r="436" spans="1:13" ht="19.5">
      <c r="A436" s="158">
        <v>160</v>
      </c>
      <c r="B436" s="2" t="s">
        <v>193</v>
      </c>
      <c r="C436" s="1" t="s">
        <v>312</v>
      </c>
      <c r="D436" s="4">
        <v>14964</v>
      </c>
      <c r="E436" s="63">
        <v>700</v>
      </c>
      <c r="F436" s="1127" t="s">
        <v>2433</v>
      </c>
      <c r="G436" s="1" t="s">
        <v>45</v>
      </c>
      <c r="H436" s="1"/>
      <c r="I436" s="1"/>
      <c r="J436" s="1"/>
      <c r="K436" s="1"/>
      <c r="L436" s="1"/>
      <c r="M436" s="211"/>
    </row>
    <row r="437" spans="1:13" ht="19.5">
      <c r="A437" s="158">
        <v>161</v>
      </c>
      <c r="B437" s="2" t="s">
        <v>193</v>
      </c>
      <c r="C437" s="1" t="s">
        <v>313</v>
      </c>
      <c r="D437" s="4">
        <v>14964</v>
      </c>
      <c r="E437" s="63">
        <v>700</v>
      </c>
      <c r="F437" s="1127" t="s">
        <v>2433</v>
      </c>
      <c r="G437" s="1" t="s">
        <v>45</v>
      </c>
      <c r="H437" s="1"/>
      <c r="I437" s="1"/>
      <c r="J437" s="1"/>
      <c r="K437" s="1"/>
      <c r="L437" s="1"/>
      <c r="M437" s="211"/>
    </row>
    <row r="438" spans="1:13" ht="19.5">
      <c r="A438" s="158">
        <v>162</v>
      </c>
      <c r="B438" s="2" t="s">
        <v>193</v>
      </c>
      <c r="C438" s="1" t="s">
        <v>314</v>
      </c>
      <c r="D438" s="4">
        <v>14964</v>
      </c>
      <c r="E438" s="63">
        <v>700</v>
      </c>
      <c r="F438" s="1127" t="s">
        <v>2433</v>
      </c>
      <c r="G438" s="1" t="s">
        <v>45</v>
      </c>
      <c r="H438" s="1"/>
      <c r="I438" s="1"/>
      <c r="J438" s="1"/>
      <c r="K438" s="1"/>
      <c r="L438" s="1"/>
      <c r="M438" s="211"/>
    </row>
    <row r="439" spans="1:13" ht="19.5">
      <c r="A439" s="158">
        <v>163</v>
      </c>
      <c r="B439" s="2" t="s">
        <v>193</v>
      </c>
      <c r="C439" s="1" t="s">
        <v>315</v>
      </c>
      <c r="D439" s="4">
        <v>14964</v>
      </c>
      <c r="E439" s="63">
        <v>700</v>
      </c>
      <c r="F439" s="1127" t="s">
        <v>2433</v>
      </c>
      <c r="G439" s="1" t="s">
        <v>45</v>
      </c>
      <c r="H439" s="1"/>
      <c r="I439" s="1"/>
      <c r="J439" s="1"/>
      <c r="K439" s="1"/>
      <c r="L439" s="1"/>
      <c r="M439" s="211"/>
    </row>
    <row r="440" spans="1:13" ht="19.5">
      <c r="A440" s="158">
        <v>164</v>
      </c>
      <c r="B440" s="2" t="s">
        <v>193</v>
      </c>
      <c r="C440" s="1" t="s">
        <v>316</v>
      </c>
      <c r="D440" s="4">
        <v>14964</v>
      </c>
      <c r="E440" s="63">
        <v>700</v>
      </c>
      <c r="F440" s="1127" t="s">
        <v>2433</v>
      </c>
      <c r="G440" s="1" t="s">
        <v>45</v>
      </c>
      <c r="H440" s="1"/>
      <c r="I440" s="1"/>
      <c r="J440" s="1"/>
      <c r="K440" s="1"/>
      <c r="L440" s="1"/>
      <c r="M440" s="211"/>
    </row>
    <row r="441" spans="1:13" ht="19.5">
      <c r="A441" s="158">
        <v>165</v>
      </c>
      <c r="B441" s="2" t="s">
        <v>193</v>
      </c>
      <c r="C441" s="1" t="s">
        <v>317</v>
      </c>
      <c r="D441" s="4">
        <v>14964</v>
      </c>
      <c r="E441" s="63">
        <v>700</v>
      </c>
      <c r="F441" s="1127" t="s">
        <v>2433</v>
      </c>
      <c r="G441" s="1" t="s">
        <v>45</v>
      </c>
      <c r="H441" s="1"/>
      <c r="I441" s="1"/>
      <c r="J441" s="1"/>
      <c r="K441" s="1"/>
      <c r="L441" s="1"/>
      <c r="M441" s="211"/>
    </row>
    <row r="442" spans="1:13" ht="19.5">
      <c r="A442" s="158">
        <v>166</v>
      </c>
      <c r="B442" s="2" t="s">
        <v>193</v>
      </c>
      <c r="C442" s="1" t="s">
        <v>318</v>
      </c>
      <c r="D442" s="4">
        <v>14964</v>
      </c>
      <c r="E442" s="63">
        <v>700</v>
      </c>
      <c r="F442" s="1127" t="s">
        <v>2433</v>
      </c>
      <c r="G442" s="1" t="s">
        <v>45</v>
      </c>
      <c r="H442" s="1"/>
      <c r="I442" s="1"/>
      <c r="J442" s="1"/>
      <c r="K442" s="1"/>
      <c r="L442" s="1"/>
      <c r="M442" s="211"/>
    </row>
    <row r="443" spans="1:13" ht="19.5">
      <c r="A443" s="158">
        <v>167</v>
      </c>
      <c r="B443" s="2" t="s">
        <v>193</v>
      </c>
      <c r="C443" s="1" t="s">
        <v>319</v>
      </c>
      <c r="D443" s="4">
        <v>14964</v>
      </c>
      <c r="E443" s="63">
        <v>700</v>
      </c>
      <c r="F443" s="1127" t="s">
        <v>2433</v>
      </c>
      <c r="G443" s="1" t="s">
        <v>45</v>
      </c>
      <c r="H443" s="1"/>
      <c r="I443" s="1"/>
      <c r="J443" s="1"/>
      <c r="K443" s="1"/>
      <c r="L443" s="1"/>
      <c r="M443" s="211"/>
    </row>
    <row r="444" spans="1:13" ht="19.5">
      <c r="A444" s="158">
        <v>168</v>
      </c>
      <c r="B444" s="2" t="s">
        <v>193</v>
      </c>
      <c r="C444" s="1" t="s">
        <v>320</v>
      </c>
      <c r="D444" s="4">
        <v>14964</v>
      </c>
      <c r="E444" s="63">
        <v>700</v>
      </c>
      <c r="F444" s="1127" t="s">
        <v>2433</v>
      </c>
      <c r="G444" s="1" t="s">
        <v>45</v>
      </c>
      <c r="H444" s="1"/>
      <c r="I444" s="1"/>
      <c r="J444" s="1"/>
      <c r="K444" s="1"/>
      <c r="L444" s="1"/>
      <c r="M444" s="211"/>
    </row>
    <row r="445" spans="1:13" ht="19.5">
      <c r="A445" s="158">
        <v>169</v>
      </c>
      <c r="B445" s="2" t="s">
        <v>193</v>
      </c>
      <c r="C445" s="1" t="s">
        <v>321</v>
      </c>
      <c r="D445" s="4">
        <v>14964</v>
      </c>
      <c r="E445" s="63">
        <v>700</v>
      </c>
      <c r="F445" s="1127" t="s">
        <v>2433</v>
      </c>
      <c r="G445" s="1" t="s">
        <v>45</v>
      </c>
      <c r="H445" s="1"/>
      <c r="I445" s="1"/>
      <c r="J445" s="1"/>
      <c r="K445" s="1"/>
      <c r="L445" s="1"/>
      <c r="M445" s="211"/>
    </row>
    <row r="446" spans="1:13" ht="19.5">
      <c r="A446" s="158">
        <v>170</v>
      </c>
      <c r="B446" s="2" t="s">
        <v>193</v>
      </c>
      <c r="C446" s="1" t="s">
        <v>322</v>
      </c>
      <c r="D446" s="4">
        <v>14964</v>
      </c>
      <c r="E446" s="63">
        <v>700</v>
      </c>
      <c r="F446" s="1127" t="s">
        <v>2433</v>
      </c>
      <c r="G446" s="1" t="s">
        <v>45</v>
      </c>
      <c r="H446" s="1"/>
      <c r="I446" s="1"/>
      <c r="J446" s="1"/>
      <c r="K446" s="1"/>
      <c r="L446" s="1"/>
      <c r="M446" s="211"/>
    </row>
    <row r="447" spans="1:13" ht="19.5">
      <c r="A447" s="158">
        <v>171</v>
      </c>
      <c r="B447" s="2" t="s">
        <v>193</v>
      </c>
      <c r="C447" s="1" t="s">
        <v>323</v>
      </c>
      <c r="D447" s="4">
        <v>14964</v>
      </c>
      <c r="E447" s="63">
        <v>700</v>
      </c>
      <c r="F447" s="1127" t="s">
        <v>2433</v>
      </c>
      <c r="G447" s="1" t="s">
        <v>45</v>
      </c>
      <c r="H447" s="1"/>
      <c r="I447" s="1"/>
      <c r="J447" s="1"/>
      <c r="K447" s="1"/>
      <c r="L447" s="1"/>
      <c r="M447" s="211"/>
    </row>
    <row r="448" spans="1:13" ht="19.5">
      <c r="A448" s="158">
        <v>172</v>
      </c>
      <c r="B448" s="2" t="s">
        <v>193</v>
      </c>
      <c r="C448" s="1" t="s">
        <v>324</v>
      </c>
      <c r="D448" s="4">
        <v>14964</v>
      </c>
      <c r="E448" s="63">
        <v>700</v>
      </c>
      <c r="F448" s="1127" t="s">
        <v>2433</v>
      </c>
      <c r="G448" s="1" t="s">
        <v>45</v>
      </c>
      <c r="H448" s="1"/>
      <c r="I448" s="1"/>
      <c r="J448" s="1"/>
      <c r="K448" s="1"/>
      <c r="L448" s="1"/>
      <c r="M448" s="211"/>
    </row>
    <row r="449" spans="1:13" ht="19.5">
      <c r="A449" s="158">
        <v>173</v>
      </c>
      <c r="B449" s="2" t="s">
        <v>193</v>
      </c>
      <c r="C449" s="1" t="s">
        <v>325</v>
      </c>
      <c r="D449" s="4">
        <v>14964</v>
      </c>
      <c r="E449" s="63">
        <v>700</v>
      </c>
      <c r="F449" s="1127" t="s">
        <v>2433</v>
      </c>
      <c r="G449" s="1" t="s">
        <v>45</v>
      </c>
      <c r="H449" s="1"/>
      <c r="I449" s="1"/>
      <c r="J449" s="1"/>
      <c r="K449" s="1"/>
      <c r="L449" s="1"/>
      <c r="M449" s="211"/>
    </row>
    <row r="450" spans="1:13" ht="19.5">
      <c r="A450" s="158">
        <v>174</v>
      </c>
      <c r="B450" s="2" t="s">
        <v>193</v>
      </c>
      <c r="C450" s="1" t="s">
        <v>326</v>
      </c>
      <c r="D450" s="4">
        <v>14964</v>
      </c>
      <c r="E450" s="63">
        <v>700</v>
      </c>
      <c r="F450" s="1127" t="s">
        <v>2433</v>
      </c>
      <c r="G450" s="1" t="s">
        <v>45</v>
      </c>
      <c r="H450" s="1"/>
      <c r="I450" s="1"/>
      <c r="J450" s="1"/>
      <c r="K450" s="1"/>
      <c r="L450" s="1"/>
      <c r="M450" s="211"/>
    </row>
    <row r="451" spans="1:13" ht="19.5">
      <c r="A451" s="158">
        <v>175</v>
      </c>
      <c r="B451" s="2" t="s">
        <v>193</v>
      </c>
      <c r="C451" s="1" t="s">
        <v>327</v>
      </c>
      <c r="D451" s="4">
        <v>14964</v>
      </c>
      <c r="E451" s="63">
        <v>700</v>
      </c>
      <c r="F451" s="1127" t="s">
        <v>2433</v>
      </c>
      <c r="G451" s="1" t="s">
        <v>45</v>
      </c>
      <c r="H451" s="1"/>
      <c r="I451" s="1"/>
      <c r="J451" s="1"/>
      <c r="K451" s="1"/>
      <c r="L451" s="1"/>
      <c r="M451" s="211"/>
    </row>
    <row r="452" spans="1:13" ht="19.5">
      <c r="A452" s="158">
        <v>176</v>
      </c>
      <c r="B452" s="2" t="s">
        <v>193</v>
      </c>
      <c r="C452" s="1" t="s">
        <v>328</v>
      </c>
      <c r="D452" s="4">
        <v>14964</v>
      </c>
      <c r="E452" s="63">
        <v>700</v>
      </c>
      <c r="F452" s="1127" t="s">
        <v>2433</v>
      </c>
      <c r="G452" s="1" t="s">
        <v>45</v>
      </c>
      <c r="H452" s="1"/>
      <c r="I452" s="1"/>
      <c r="J452" s="1"/>
      <c r="K452" s="1"/>
      <c r="L452" s="1"/>
      <c r="M452" s="211"/>
    </row>
    <row r="453" spans="1:13" ht="19.5">
      <c r="A453" s="158">
        <v>177</v>
      </c>
      <c r="B453" s="2" t="s">
        <v>193</v>
      </c>
      <c r="C453" s="1" t="s">
        <v>329</v>
      </c>
      <c r="D453" s="4">
        <v>14964</v>
      </c>
      <c r="E453" s="63">
        <v>700</v>
      </c>
      <c r="F453" s="1127" t="s">
        <v>2433</v>
      </c>
      <c r="G453" s="1" t="s">
        <v>45</v>
      </c>
      <c r="H453" s="1"/>
      <c r="I453" s="1"/>
      <c r="J453" s="1"/>
      <c r="K453" s="1"/>
      <c r="L453" s="1"/>
      <c r="M453" s="211"/>
    </row>
    <row r="454" spans="1:13" ht="19.5">
      <c r="A454" s="158">
        <v>178</v>
      </c>
      <c r="B454" s="2" t="s">
        <v>193</v>
      </c>
      <c r="C454" s="1" t="s">
        <v>330</v>
      </c>
      <c r="D454" s="4">
        <v>14964</v>
      </c>
      <c r="E454" s="63">
        <v>700</v>
      </c>
      <c r="F454" s="1127" t="s">
        <v>2433</v>
      </c>
      <c r="G454" s="1" t="s">
        <v>45</v>
      </c>
      <c r="H454" s="1"/>
      <c r="I454" s="1"/>
      <c r="J454" s="1"/>
      <c r="K454" s="1"/>
      <c r="L454" s="1"/>
      <c r="M454" s="211"/>
    </row>
    <row r="455" spans="1:13" ht="19.5">
      <c r="A455" s="158">
        <v>179</v>
      </c>
      <c r="B455" s="2" t="s">
        <v>193</v>
      </c>
      <c r="C455" s="1" t="s">
        <v>331</v>
      </c>
      <c r="D455" s="4">
        <v>14964</v>
      </c>
      <c r="E455" s="63">
        <v>700</v>
      </c>
      <c r="F455" s="1127" t="s">
        <v>2433</v>
      </c>
      <c r="G455" s="1" t="s">
        <v>45</v>
      </c>
      <c r="H455" s="1"/>
      <c r="I455" s="1"/>
      <c r="J455" s="1"/>
      <c r="K455" s="1"/>
      <c r="L455" s="1"/>
      <c r="M455" s="211"/>
    </row>
    <row r="456" spans="1:13" ht="19.5">
      <c r="A456" s="158">
        <v>180</v>
      </c>
      <c r="B456" s="2" t="s">
        <v>193</v>
      </c>
      <c r="C456" s="1" t="s">
        <v>332</v>
      </c>
      <c r="D456" s="4">
        <v>14964</v>
      </c>
      <c r="E456" s="63">
        <v>700</v>
      </c>
      <c r="F456" s="1127" t="s">
        <v>2433</v>
      </c>
      <c r="G456" s="1" t="s">
        <v>45</v>
      </c>
      <c r="H456" s="1"/>
      <c r="I456" s="1"/>
      <c r="J456" s="1"/>
      <c r="K456" s="1"/>
      <c r="L456" s="1"/>
      <c r="M456" s="211"/>
    </row>
    <row r="457" spans="1:13" ht="19.5">
      <c r="A457" s="158">
        <v>181</v>
      </c>
      <c r="B457" s="2" t="s">
        <v>193</v>
      </c>
      <c r="C457" s="1" t="s">
        <v>333</v>
      </c>
      <c r="D457" s="4">
        <v>14964</v>
      </c>
      <c r="E457" s="63">
        <v>700</v>
      </c>
      <c r="F457" s="1127" t="s">
        <v>2433</v>
      </c>
      <c r="G457" s="1" t="s">
        <v>45</v>
      </c>
      <c r="H457" s="1"/>
      <c r="I457" s="1"/>
      <c r="J457" s="1"/>
      <c r="K457" s="1"/>
      <c r="L457" s="1"/>
      <c r="M457" s="211"/>
    </row>
    <row r="458" spans="1:13" ht="19.5">
      <c r="A458" s="158">
        <v>182</v>
      </c>
      <c r="B458" s="2" t="s">
        <v>193</v>
      </c>
      <c r="C458" s="1" t="s">
        <v>334</v>
      </c>
      <c r="D458" s="4">
        <v>14964</v>
      </c>
      <c r="E458" s="63">
        <v>700</v>
      </c>
      <c r="F458" s="1127" t="s">
        <v>2433</v>
      </c>
      <c r="G458" s="1" t="s">
        <v>45</v>
      </c>
      <c r="H458" s="1"/>
      <c r="I458" s="1"/>
      <c r="J458" s="1"/>
      <c r="K458" s="1"/>
      <c r="L458" s="1"/>
      <c r="M458" s="211"/>
    </row>
    <row r="459" spans="1:13" ht="19.5">
      <c r="A459" s="158">
        <v>183</v>
      </c>
      <c r="B459" s="2" t="s">
        <v>193</v>
      </c>
      <c r="C459" s="1" t="s">
        <v>335</v>
      </c>
      <c r="D459" s="4">
        <v>14964</v>
      </c>
      <c r="E459" s="63">
        <v>700</v>
      </c>
      <c r="F459" s="1127" t="s">
        <v>2433</v>
      </c>
      <c r="G459" s="1" t="s">
        <v>45</v>
      </c>
      <c r="H459" s="1"/>
      <c r="I459" s="1"/>
      <c r="J459" s="1"/>
      <c r="K459" s="1"/>
      <c r="L459" s="1"/>
      <c r="M459" s="211"/>
    </row>
    <row r="460" spans="1:13" ht="19.5">
      <c r="A460" s="158">
        <v>184</v>
      </c>
      <c r="B460" s="2" t="s">
        <v>193</v>
      </c>
      <c r="C460" s="1" t="s">
        <v>336</v>
      </c>
      <c r="D460" s="4">
        <v>14964</v>
      </c>
      <c r="E460" s="63">
        <v>700</v>
      </c>
      <c r="F460" s="1127" t="s">
        <v>2433</v>
      </c>
      <c r="G460" s="1" t="s">
        <v>45</v>
      </c>
      <c r="H460" s="1"/>
      <c r="I460" s="1"/>
      <c r="J460" s="1"/>
      <c r="K460" s="1"/>
      <c r="L460" s="1"/>
      <c r="M460" s="211"/>
    </row>
    <row r="461" spans="1:13" ht="19.5">
      <c r="A461" s="158">
        <v>185</v>
      </c>
      <c r="B461" s="2" t="s">
        <v>193</v>
      </c>
      <c r="C461" s="1" t="s">
        <v>337</v>
      </c>
      <c r="D461" s="4">
        <v>14964</v>
      </c>
      <c r="E461" s="63">
        <v>700</v>
      </c>
      <c r="F461" s="1127" t="s">
        <v>2433</v>
      </c>
      <c r="G461" s="1" t="s">
        <v>45</v>
      </c>
      <c r="H461" s="1"/>
      <c r="I461" s="1"/>
      <c r="J461" s="1"/>
      <c r="K461" s="1"/>
      <c r="L461" s="1"/>
      <c r="M461" s="211"/>
    </row>
    <row r="462" spans="1:13" ht="19.5">
      <c r="A462" s="158">
        <v>186</v>
      </c>
      <c r="B462" s="2" t="s">
        <v>193</v>
      </c>
      <c r="C462" s="1" t="s">
        <v>338</v>
      </c>
      <c r="D462" s="4">
        <v>14964</v>
      </c>
      <c r="E462" s="63">
        <v>700</v>
      </c>
      <c r="F462" s="1127" t="s">
        <v>2433</v>
      </c>
      <c r="G462" s="1" t="s">
        <v>45</v>
      </c>
      <c r="H462" s="1"/>
      <c r="I462" s="1"/>
      <c r="J462" s="1"/>
      <c r="K462" s="1"/>
      <c r="L462" s="1"/>
      <c r="M462" s="211"/>
    </row>
    <row r="463" spans="1:13" ht="19.5">
      <c r="A463" s="158">
        <v>187</v>
      </c>
      <c r="B463" s="3" t="s">
        <v>1345</v>
      </c>
      <c r="C463" s="158" t="s">
        <v>343</v>
      </c>
      <c r="D463" s="4">
        <v>14964</v>
      </c>
      <c r="E463" s="58">
        <v>700</v>
      </c>
      <c r="F463" s="1131" t="s">
        <v>1265</v>
      </c>
      <c r="G463" s="1" t="s">
        <v>45</v>
      </c>
      <c r="H463" s="3"/>
      <c r="I463" s="3"/>
      <c r="J463" s="3"/>
      <c r="K463" s="3"/>
      <c r="L463" s="3"/>
      <c r="M463" s="211" t="s">
        <v>3183</v>
      </c>
    </row>
    <row r="464" spans="1:13" ht="19.5">
      <c r="A464" s="158">
        <v>188</v>
      </c>
      <c r="B464" s="198" t="s">
        <v>1345</v>
      </c>
      <c r="C464" s="199" t="s">
        <v>344</v>
      </c>
      <c r="D464" s="228">
        <v>14964</v>
      </c>
      <c r="E464" s="65">
        <v>700</v>
      </c>
      <c r="F464" s="1178" t="s">
        <v>1265</v>
      </c>
      <c r="G464" s="192" t="s">
        <v>45</v>
      </c>
      <c r="H464" s="158"/>
      <c r="I464" s="158"/>
      <c r="J464" s="158"/>
      <c r="K464" s="158"/>
      <c r="L464" s="158"/>
      <c r="M464" s="211" t="s">
        <v>3183</v>
      </c>
    </row>
    <row r="465" spans="1:13" ht="19.5">
      <c r="A465" s="158">
        <v>189</v>
      </c>
      <c r="B465" s="198" t="s">
        <v>1345</v>
      </c>
      <c r="C465" s="199" t="s">
        <v>345</v>
      </c>
      <c r="D465" s="228">
        <v>14964</v>
      </c>
      <c r="E465" s="65">
        <v>700</v>
      </c>
      <c r="F465" s="1178" t="s">
        <v>1265</v>
      </c>
      <c r="G465" s="192" t="s">
        <v>45</v>
      </c>
      <c r="H465" s="158"/>
      <c r="I465" s="158"/>
      <c r="J465" s="158"/>
      <c r="K465" s="158"/>
      <c r="L465" s="158"/>
      <c r="M465" s="211" t="s">
        <v>3183</v>
      </c>
    </row>
    <row r="466" spans="1:13" ht="19.5">
      <c r="A466" s="158">
        <v>190</v>
      </c>
      <c r="B466" s="198" t="s">
        <v>1345</v>
      </c>
      <c r="C466" s="199" t="s">
        <v>1953</v>
      </c>
      <c r="D466" s="228">
        <v>14964</v>
      </c>
      <c r="E466" s="65">
        <v>700</v>
      </c>
      <c r="F466" s="1178" t="s">
        <v>1265</v>
      </c>
      <c r="G466" s="192" t="s">
        <v>45</v>
      </c>
      <c r="H466" s="158"/>
      <c r="I466" s="158"/>
      <c r="J466" s="158"/>
      <c r="K466" s="158"/>
      <c r="L466" s="158"/>
      <c r="M466" s="211" t="s">
        <v>3183</v>
      </c>
    </row>
    <row r="467" spans="1:13" ht="19.5">
      <c r="A467" s="158">
        <v>191</v>
      </c>
      <c r="B467" s="198" t="s">
        <v>1345</v>
      </c>
      <c r="C467" s="199" t="s">
        <v>1954</v>
      </c>
      <c r="D467" s="228">
        <v>14964</v>
      </c>
      <c r="E467" s="65">
        <v>700</v>
      </c>
      <c r="F467" s="1178" t="s">
        <v>1265</v>
      </c>
      <c r="G467" s="192" t="s">
        <v>45</v>
      </c>
      <c r="H467" s="158"/>
      <c r="I467" s="158"/>
      <c r="J467" s="158"/>
      <c r="K467" s="158"/>
      <c r="L467" s="158"/>
      <c r="M467" s="211" t="s">
        <v>3183</v>
      </c>
    </row>
    <row r="468" spans="1:13" ht="19.5">
      <c r="A468" s="158">
        <v>192</v>
      </c>
      <c r="B468" s="3" t="s">
        <v>1345</v>
      </c>
      <c r="C468" s="158" t="s">
        <v>1955</v>
      </c>
      <c r="D468" s="4">
        <v>14964</v>
      </c>
      <c r="E468" s="65">
        <v>700</v>
      </c>
      <c r="F468" s="1178" t="s">
        <v>1265</v>
      </c>
      <c r="G468" s="192" t="s">
        <v>45</v>
      </c>
      <c r="H468" s="158"/>
      <c r="I468" s="158"/>
      <c r="J468" s="158"/>
      <c r="K468" s="158"/>
      <c r="L468" s="158"/>
      <c r="M468" s="211" t="s">
        <v>3183</v>
      </c>
    </row>
    <row r="469" spans="1:13" ht="19.5">
      <c r="A469" s="158">
        <v>193</v>
      </c>
      <c r="B469" s="198" t="s">
        <v>1345</v>
      </c>
      <c r="C469" s="199" t="s">
        <v>1956</v>
      </c>
      <c r="D469" s="228">
        <v>14964</v>
      </c>
      <c r="E469" s="65">
        <v>700</v>
      </c>
      <c r="F469" s="1178" t="s">
        <v>1265</v>
      </c>
      <c r="G469" s="192" t="s">
        <v>45</v>
      </c>
      <c r="H469" s="158"/>
      <c r="I469" s="158"/>
      <c r="J469" s="158"/>
      <c r="K469" s="158"/>
      <c r="L469" s="158"/>
      <c r="M469" s="211" t="s">
        <v>3183</v>
      </c>
    </row>
    <row r="470" spans="1:13" ht="19.5">
      <c r="A470" s="158">
        <v>194</v>
      </c>
      <c r="B470" s="198" t="s">
        <v>1345</v>
      </c>
      <c r="C470" s="199" t="s">
        <v>1957</v>
      </c>
      <c r="D470" s="228">
        <v>14964</v>
      </c>
      <c r="E470" s="65">
        <v>700</v>
      </c>
      <c r="F470" s="1178" t="s">
        <v>1265</v>
      </c>
      <c r="G470" s="192" t="s">
        <v>45</v>
      </c>
      <c r="H470" s="158"/>
      <c r="I470" s="158"/>
      <c r="J470" s="158"/>
      <c r="K470" s="158"/>
      <c r="L470" s="158"/>
      <c r="M470" s="211" t="s">
        <v>3183</v>
      </c>
    </row>
    <row r="471" spans="1:13" ht="19.5">
      <c r="A471" s="158">
        <v>195</v>
      </c>
      <c r="B471" s="198" t="s">
        <v>1345</v>
      </c>
      <c r="C471" s="199" t="s">
        <v>1958</v>
      </c>
      <c r="D471" s="228">
        <v>14964</v>
      </c>
      <c r="E471" s="65">
        <v>700</v>
      </c>
      <c r="F471" s="1178" t="s">
        <v>1265</v>
      </c>
      <c r="G471" s="192" t="s">
        <v>45</v>
      </c>
      <c r="H471" s="158"/>
      <c r="I471" s="158"/>
      <c r="J471" s="158"/>
      <c r="K471" s="158"/>
      <c r="L471" s="158"/>
      <c r="M471" s="211" t="s">
        <v>3183</v>
      </c>
    </row>
    <row r="472" spans="1:13" ht="19.5">
      <c r="A472" s="158">
        <v>196</v>
      </c>
      <c r="B472" s="198" t="s">
        <v>1345</v>
      </c>
      <c r="C472" s="199" t="s">
        <v>1959</v>
      </c>
      <c r="D472" s="228">
        <v>14964</v>
      </c>
      <c r="E472" s="65">
        <v>700</v>
      </c>
      <c r="F472" s="1178" t="s">
        <v>1265</v>
      </c>
      <c r="G472" s="192" t="s">
        <v>45</v>
      </c>
      <c r="H472" s="158"/>
      <c r="I472" s="158"/>
      <c r="J472" s="158"/>
      <c r="K472" s="158"/>
      <c r="L472" s="158"/>
      <c r="M472" s="211" t="s">
        <v>3183</v>
      </c>
    </row>
    <row r="473" spans="1:13" ht="19.5">
      <c r="A473" s="158">
        <v>197</v>
      </c>
      <c r="B473" s="3" t="s">
        <v>1345</v>
      </c>
      <c r="C473" s="158" t="s">
        <v>1960</v>
      </c>
      <c r="D473" s="4">
        <v>14964</v>
      </c>
      <c r="E473" s="58">
        <v>700</v>
      </c>
      <c r="F473" s="1131" t="s">
        <v>1265</v>
      </c>
      <c r="G473" s="1" t="s">
        <v>45</v>
      </c>
      <c r="H473" s="158"/>
      <c r="I473" s="158"/>
      <c r="J473" s="158"/>
      <c r="K473" s="158"/>
      <c r="L473" s="158"/>
      <c r="M473" s="211" t="s">
        <v>3183</v>
      </c>
    </row>
    <row r="474" spans="1:13" ht="19.5">
      <c r="A474" s="158">
        <v>198</v>
      </c>
      <c r="B474" s="3" t="s">
        <v>1345</v>
      </c>
      <c r="C474" s="158" t="s">
        <v>1961</v>
      </c>
      <c r="D474" s="4">
        <v>14964</v>
      </c>
      <c r="E474" s="58">
        <v>700</v>
      </c>
      <c r="F474" s="1131" t="s">
        <v>1265</v>
      </c>
      <c r="G474" s="1" t="s">
        <v>45</v>
      </c>
      <c r="H474" s="158"/>
      <c r="I474" s="158"/>
      <c r="J474" s="158"/>
      <c r="K474" s="158"/>
      <c r="L474" s="158"/>
      <c r="M474" s="211" t="s">
        <v>3183</v>
      </c>
    </row>
    <row r="475" spans="1:13" ht="19.5">
      <c r="A475" s="158">
        <v>199</v>
      </c>
      <c r="B475" s="3" t="s">
        <v>1345</v>
      </c>
      <c r="C475" s="158" t="s">
        <v>1962</v>
      </c>
      <c r="D475" s="4">
        <v>14964</v>
      </c>
      <c r="E475" s="58">
        <v>700</v>
      </c>
      <c r="F475" s="1131" t="s">
        <v>1265</v>
      </c>
      <c r="G475" s="1" t="s">
        <v>45</v>
      </c>
      <c r="H475" s="158"/>
      <c r="I475" s="158"/>
      <c r="J475" s="158"/>
      <c r="K475" s="158"/>
      <c r="L475" s="158"/>
      <c r="M475" s="211" t="s">
        <v>3183</v>
      </c>
    </row>
    <row r="476" spans="1:13" ht="19.5">
      <c r="A476" s="158">
        <v>200</v>
      </c>
      <c r="B476" s="3" t="s">
        <v>1345</v>
      </c>
      <c r="C476" s="158" t="s">
        <v>1963</v>
      </c>
      <c r="D476" s="4">
        <v>14964</v>
      </c>
      <c r="E476" s="58">
        <v>700</v>
      </c>
      <c r="F476" s="1131" t="s">
        <v>1265</v>
      </c>
      <c r="G476" s="1" t="s">
        <v>45</v>
      </c>
      <c r="H476" s="158"/>
      <c r="I476" s="158"/>
      <c r="J476" s="158"/>
      <c r="K476" s="158"/>
      <c r="L476" s="158"/>
      <c r="M476" s="211" t="s">
        <v>3183</v>
      </c>
    </row>
    <row r="477" spans="1:13" ht="19.5">
      <c r="A477" s="158">
        <v>201</v>
      </c>
      <c r="B477" s="3" t="s">
        <v>1345</v>
      </c>
      <c r="C477" s="158" t="s">
        <v>1964</v>
      </c>
      <c r="D477" s="4">
        <v>14964</v>
      </c>
      <c r="E477" s="58">
        <v>700</v>
      </c>
      <c r="F477" s="1131" t="s">
        <v>1265</v>
      </c>
      <c r="G477" s="1" t="s">
        <v>45</v>
      </c>
      <c r="H477" s="158"/>
      <c r="I477" s="158"/>
      <c r="J477" s="158"/>
      <c r="K477" s="158"/>
      <c r="L477" s="158"/>
      <c r="M477" s="211" t="s">
        <v>3183</v>
      </c>
    </row>
    <row r="478" spans="1:13" ht="19.5">
      <c r="A478" s="158">
        <v>202</v>
      </c>
      <c r="B478" s="3" t="s">
        <v>1345</v>
      </c>
      <c r="C478" s="158" t="s">
        <v>1965</v>
      </c>
      <c r="D478" s="4">
        <v>14964</v>
      </c>
      <c r="E478" s="58">
        <v>700</v>
      </c>
      <c r="F478" s="1131" t="s">
        <v>1265</v>
      </c>
      <c r="G478" s="1" t="s">
        <v>45</v>
      </c>
      <c r="H478" s="158"/>
      <c r="I478" s="158"/>
      <c r="J478" s="158"/>
      <c r="K478" s="158"/>
      <c r="L478" s="158"/>
      <c r="M478" s="211" t="s">
        <v>3183</v>
      </c>
    </row>
    <row r="479" spans="1:13" ht="19.5">
      <c r="A479" s="158">
        <v>203</v>
      </c>
      <c r="B479" s="3" t="s">
        <v>1345</v>
      </c>
      <c r="C479" s="158" t="s">
        <v>1966</v>
      </c>
      <c r="D479" s="4">
        <v>14964</v>
      </c>
      <c r="E479" s="58">
        <v>700</v>
      </c>
      <c r="F479" s="1131" t="s">
        <v>1265</v>
      </c>
      <c r="G479" s="1" t="s">
        <v>45</v>
      </c>
      <c r="H479" s="158"/>
      <c r="I479" s="158"/>
      <c r="J479" s="158"/>
      <c r="K479" s="158"/>
      <c r="L479" s="158"/>
      <c r="M479" s="211" t="s">
        <v>3183</v>
      </c>
    </row>
    <row r="480" spans="1:13" ht="19.5">
      <c r="A480" s="158">
        <v>204</v>
      </c>
      <c r="B480" s="3" t="s">
        <v>1345</v>
      </c>
      <c r="C480" s="158" t="s">
        <v>1967</v>
      </c>
      <c r="D480" s="4">
        <v>14964</v>
      </c>
      <c r="E480" s="58">
        <v>700</v>
      </c>
      <c r="F480" s="1131" t="s">
        <v>1265</v>
      </c>
      <c r="G480" s="1" t="s">
        <v>45</v>
      </c>
      <c r="H480" s="158"/>
      <c r="I480" s="158"/>
      <c r="J480" s="158"/>
      <c r="K480" s="158"/>
      <c r="L480" s="158"/>
      <c r="M480" s="211" t="s">
        <v>3183</v>
      </c>
    </row>
    <row r="481" spans="1:13" ht="19.5">
      <c r="A481" s="158">
        <v>205</v>
      </c>
      <c r="B481" s="3" t="s">
        <v>1345</v>
      </c>
      <c r="C481" s="158" t="s">
        <v>1968</v>
      </c>
      <c r="D481" s="4">
        <v>14964</v>
      </c>
      <c r="E481" s="58">
        <v>700</v>
      </c>
      <c r="F481" s="1131" t="s">
        <v>1265</v>
      </c>
      <c r="G481" s="1" t="s">
        <v>45</v>
      </c>
      <c r="H481" s="158"/>
      <c r="I481" s="158"/>
      <c r="J481" s="158"/>
      <c r="K481" s="158"/>
      <c r="L481" s="158"/>
      <c r="M481" s="211" t="s">
        <v>3183</v>
      </c>
    </row>
    <row r="482" spans="1:13" ht="19.5">
      <c r="A482" s="158">
        <v>206</v>
      </c>
      <c r="B482" s="3" t="s">
        <v>1345</v>
      </c>
      <c r="C482" s="158" t="s">
        <v>1969</v>
      </c>
      <c r="D482" s="4">
        <v>14964</v>
      </c>
      <c r="E482" s="58">
        <v>700</v>
      </c>
      <c r="F482" s="1131" t="s">
        <v>1265</v>
      </c>
      <c r="G482" s="1" t="s">
        <v>45</v>
      </c>
      <c r="H482" s="158"/>
      <c r="I482" s="158"/>
      <c r="J482" s="158"/>
      <c r="K482" s="158"/>
      <c r="L482" s="158"/>
      <c r="M482" s="211" t="s">
        <v>3183</v>
      </c>
    </row>
    <row r="483" spans="1:13" ht="19.5">
      <c r="A483" s="158">
        <v>207</v>
      </c>
      <c r="B483" s="3" t="s">
        <v>1345</v>
      </c>
      <c r="C483" s="158" t="s">
        <v>1970</v>
      </c>
      <c r="D483" s="4">
        <v>14964</v>
      </c>
      <c r="E483" s="58">
        <v>700</v>
      </c>
      <c r="F483" s="1131" t="s">
        <v>1265</v>
      </c>
      <c r="G483" s="1" t="s">
        <v>45</v>
      </c>
      <c r="H483" s="158"/>
      <c r="I483" s="158"/>
      <c r="J483" s="158"/>
      <c r="K483" s="158"/>
      <c r="L483" s="158"/>
      <c r="M483" s="211" t="s">
        <v>3183</v>
      </c>
    </row>
    <row r="484" spans="1:13" s="249" customFormat="1" ht="19.5">
      <c r="A484" s="158">
        <v>208</v>
      </c>
      <c r="B484" s="3" t="s">
        <v>1345</v>
      </c>
      <c r="C484" s="158" t="s">
        <v>1971</v>
      </c>
      <c r="D484" s="4">
        <v>14964</v>
      </c>
      <c r="E484" s="58">
        <v>700</v>
      </c>
      <c r="F484" s="1131" t="s">
        <v>1265</v>
      </c>
      <c r="G484" s="1" t="s">
        <v>45</v>
      </c>
      <c r="H484" s="158"/>
      <c r="I484" s="158"/>
      <c r="J484" s="158"/>
      <c r="K484" s="158"/>
      <c r="L484" s="158"/>
      <c r="M484" s="211" t="s">
        <v>3183</v>
      </c>
    </row>
    <row r="485" spans="1:13" ht="19.5">
      <c r="A485" s="158">
        <v>209</v>
      </c>
      <c r="B485" s="3" t="s">
        <v>1345</v>
      </c>
      <c r="C485" s="158" t="s">
        <v>1972</v>
      </c>
      <c r="D485" s="4">
        <v>14964</v>
      </c>
      <c r="E485" s="58">
        <v>700</v>
      </c>
      <c r="F485" s="1131" t="s">
        <v>1265</v>
      </c>
      <c r="G485" s="1" t="s">
        <v>45</v>
      </c>
      <c r="H485" s="158"/>
      <c r="I485" s="158"/>
      <c r="J485" s="158"/>
      <c r="K485" s="158"/>
      <c r="L485" s="158"/>
      <c r="M485" s="211" t="s">
        <v>3183</v>
      </c>
    </row>
    <row r="486" spans="1:13" ht="19.5">
      <c r="A486" s="158">
        <v>210</v>
      </c>
      <c r="B486" s="3" t="s">
        <v>1345</v>
      </c>
      <c r="C486" s="158" t="s">
        <v>1973</v>
      </c>
      <c r="D486" s="4">
        <v>14964</v>
      </c>
      <c r="E486" s="58">
        <v>700</v>
      </c>
      <c r="F486" s="1131" t="s">
        <v>1265</v>
      </c>
      <c r="G486" s="1" t="s">
        <v>45</v>
      </c>
      <c r="H486" s="158"/>
      <c r="I486" s="158"/>
      <c r="J486" s="158"/>
      <c r="K486" s="158"/>
      <c r="L486" s="158"/>
      <c r="M486" s="211" t="s">
        <v>3183</v>
      </c>
    </row>
    <row r="487" spans="1:13" ht="19.5">
      <c r="A487" s="158">
        <v>211</v>
      </c>
      <c r="B487" s="3" t="s">
        <v>1345</v>
      </c>
      <c r="C487" s="158" t="s">
        <v>1975</v>
      </c>
      <c r="D487" s="4">
        <v>14964</v>
      </c>
      <c r="E487" s="58">
        <v>700</v>
      </c>
      <c r="F487" s="1131" t="s">
        <v>1265</v>
      </c>
      <c r="G487" s="1" t="s">
        <v>45</v>
      </c>
      <c r="H487" s="158"/>
      <c r="I487" s="158"/>
      <c r="J487" s="158"/>
      <c r="K487" s="158"/>
      <c r="L487" s="158"/>
      <c r="M487" s="211"/>
    </row>
    <row r="488" spans="1:13" ht="19.5">
      <c r="A488" s="158">
        <v>212</v>
      </c>
      <c r="B488" s="3" t="s">
        <v>1345</v>
      </c>
      <c r="C488" s="158" t="s">
        <v>1974</v>
      </c>
      <c r="D488" s="4">
        <v>14964</v>
      </c>
      <c r="E488" s="58">
        <v>700</v>
      </c>
      <c r="F488" s="1131" t="s">
        <v>1265</v>
      </c>
      <c r="G488" s="1" t="s">
        <v>45</v>
      </c>
      <c r="H488" s="158"/>
      <c r="I488" s="158"/>
      <c r="J488" s="158"/>
      <c r="K488" s="158"/>
      <c r="L488" s="158"/>
      <c r="M488" s="211" t="s">
        <v>3183</v>
      </c>
    </row>
    <row r="489" spans="1:13" ht="19.5">
      <c r="A489" s="158">
        <v>213</v>
      </c>
      <c r="B489" s="3" t="s">
        <v>193</v>
      </c>
      <c r="C489" s="158" t="s">
        <v>2225</v>
      </c>
      <c r="D489" s="4">
        <v>14964</v>
      </c>
      <c r="E489" s="58">
        <v>700</v>
      </c>
      <c r="F489" s="1011" t="s">
        <v>1649</v>
      </c>
      <c r="G489" s="1" t="s">
        <v>45</v>
      </c>
      <c r="H489" s="158"/>
      <c r="I489" s="158"/>
      <c r="J489" s="158"/>
      <c r="K489" s="158"/>
      <c r="L489" s="158"/>
      <c r="M489" s="211"/>
    </row>
    <row r="490" spans="1:13" ht="19.5">
      <c r="A490" s="158">
        <v>214</v>
      </c>
      <c r="B490" s="3" t="s">
        <v>193</v>
      </c>
      <c r="C490" s="158" t="s">
        <v>2226</v>
      </c>
      <c r="D490" s="4">
        <v>14964</v>
      </c>
      <c r="E490" s="58">
        <v>700</v>
      </c>
      <c r="F490" s="1011" t="s">
        <v>1649</v>
      </c>
      <c r="G490" s="1" t="s">
        <v>45</v>
      </c>
      <c r="H490" s="158"/>
      <c r="I490" s="158"/>
      <c r="J490" s="158"/>
      <c r="K490" s="158"/>
      <c r="L490" s="158"/>
      <c r="M490" s="211" t="s">
        <v>1508</v>
      </c>
    </row>
    <row r="491" spans="1:13" ht="19.5">
      <c r="A491" s="158">
        <v>215</v>
      </c>
      <c r="B491" s="3" t="s">
        <v>193</v>
      </c>
      <c r="C491" s="158" t="s">
        <v>2227</v>
      </c>
      <c r="D491" s="4">
        <v>14964</v>
      </c>
      <c r="E491" s="58">
        <v>700</v>
      </c>
      <c r="F491" s="1127" t="s">
        <v>2433</v>
      </c>
      <c r="G491" s="1" t="s">
        <v>45</v>
      </c>
      <c r="H491" s="158"/>
      <c r="I491" s="158"/>
      <c r="J491" s="158"/>
      <c r="K491" s="158"/>
      <c r="L491" s="158"/>
      <c r="M491" s="211"/>
    </row>
    <row r="492" spans="1:13" ht="19.5">
      <c r="A492" s="158">
        <v>216</v>
      </c>
      <c r="B492" s="3" t="s">
        <v>193</v>
      </c>
      <c r="C492" s="158" t="s">
        <v>2228</v>
      </c>
      <c r="D492" s="4">
        <v>14964</v>
      </c>
      <c r="E492" s="58">
        <v>700</v>
      </c>
      <c r="F492" s="1127" t="s">
        <v>2433</v>
      </c>
      <c r="G492" s="1" t="s">
        <v>45</v>
      </c>
      <c r="H492" s="158"/>
      <c r="I492" s="158"/>
      <c r="J492" s="158"/>
      <c r="K492" s="158"/>
      <c r="L492" s="158"/>
      <c r="M492" s="211"/>
    </row>
    <row r="493" spans="1:13" ht="19.5">
      <c r="A493" s="158">
        <v>217</v>
      </c>
      <c r="B493" s="3" t="s">
        <v>193</v>
      </c>
      <c r="C493" s="158" t="s">
        <v>2229</v>
      </c>
      <c r="D493" s="4">
        <v>14964</v>
      </c>
      <c r="E493" s="58">
        <v>700</v>
      </c>
      <c r="F493" s="1127" t="s">
        <v>2433</v>
      </c>
      <c r="G493" s="1" t="s">
        <v>45</v>
      </c>
      <c r="H493" s="158"/>
      <c r="I493" s="158"/>
      <c r="J493" s="158"/>
      <c r="K493" s="158"/>
      <c r="L493" s="158"/>
      <c r="M493" s="211"/>
    </row>
    <row r="494" spans="1:13" ht="19.5">
      <c r="A494" s="158">
        <v>218</v>
      </c>
      <c r="B494" s="3" t="s">
        <v>193</v>
      </c>
      <c r="C494" s="158" t="s">
        <v>2230</v>
      </c>
      <c r="D494" s="4">
        <v>14964</v>
      </c>
      <c r="E494" s="58">
        <v>700</v>
      </c>
      <c r="F494" s="1127" t="s">
        <v>2433</v>
      </c>
      <c r="G494" s="1" t="s">
        <v>45</v>
      </c>
      <c r="H494" s="158"/>
      <c r="I494" s="158"/>
      <c r="J494" s="158"/>
      <c r="K494" s="158"/>
      <c r="L494" s="158"/>
      <c r="M494" s="211"/>
    </row>
    <row r="495" spans="1:13" ht="19.5">
      <c r="A495" s="158">
        <v>219</v>
      </c>
      <c r="B495" s="3" t="s">
        <v>193</v>
      </c>
      <c r="C495" s="158" t="s">
        <v>2231</v>
      </c>
      <c r="D495" s="4">
        <v>14964</v>
      </c>
      <c r="E495" s="58">
        <v>700</v>
      </c>
      <c r="F495" s="1127" t="s">
        <v>2433</v>
      </c>
      <c r="G495" s="1" t="s">
        <v>45</v>
      </c>
      <c r="H495" s="158"/>
      <c r="I495" s="158"/>
      <c r="J495" s="158"/>
      <c r="K495" s="158"/>
      <c r="L495" s="158"/>
      <c r="M495" s="211" t="s">
        <v>3173</v>
      </c>
    </row>
    <row r="496" spans="1:13" ht="19.5">
      <c r="A496" s="158">
        <v>220</v>
      </c>
      <c r="B496" s="3" t="s">
        <v>193</v>
      </c>
      <c r="C496" s="158" t="s">
        <v>2232</v>
      </c>
      <c r="D496" s="4">
        <v>14964</v>
      </c>
      <c r="E496" s="58">
        <v>700</v>
      </c>
      <c r="F496" s="1011" t="s">
        <v>1649</v>
      </c>
      <c r="G496" s="1" t="s">
        <v>45</v>
      </c>
      <c r="H496" s="158"/>
      <c r="I496" s="158"/>
      <c r="J496" s="158"/>
      <c r="K496" s="158"/>
      <c r="L496" s="158"/>
      <c r="M496" s="211"/>
    </row>
    <row r="497" spans="1:13" ht="19.5">
      <c r="A497" s="158">
        <v>221</v>
      </c>
      <c r="B497" s="3" t="s">
        <v>193</v>
      </c>
      <c r="C497" s="158" t="s">
        <v>2233</v>
      </c>
      <c r="D497" s="4">
        <v>14964</v>
      </c>
      <c r="E497" s="58">
        <v>700</v>
      </c>
      <c r="F497" s="1127" t="s">
        <v>2433</v>
      </c>
      <c r="G497" s="1" t="s">
        <v>45</v>
      </c>
      <c r="H497" s="158"/>
      <c r="I497" s="158"/>
      <c r="J497" s="158"/>
      <c r="K497" s="158"/>
      <c r="L497" s="158"/>
      <c r="M497" s="211"/>
    </row>
    <row r="498" spans="1:13" ht="19.5">
      <c r="A498" s="158">
        <v>222</v>
      </c>
      <c r="B498" s="3" t="s">
        <v>2249</v>
      </c>
      <c r="C498" s="158" t="s">
        <v>2247</v>
      </c>
      <c r="D498" s="4">
        <v>14964</v>
      </c>
      <c r="E498" s="58">
        <v>700</v>
      </c>
      <c r="F498" s="1127" t="s">
        <v>2433</v>
      </c>
      <c r="G498" s="1" t="s">
        <v>45</v>
      </c>
      <c r="H498" s="158"/>
      <c r="I498" s="158"/>
      <c r="J498" s="158"/>
      <c r="K498" s="158"/>
      <c r="L498" s="158"/>
      <c r="M498" s="211"/>
    </row>
    <row r="499" spans="1:13" ht="19.5">
      <c r="A499" s="158">
        <v>223</v>
      </c>
      <c r="B499" s="3" t="s">
        <v>2249</v>
      </c>
      <c r="C499" s="158" t="s">
        <v>2248</v>
      </c>
      <c r="D499" s="4">
        <v>14964</v>
      </c>
      <c r="E499" s="58">
        <v>700</v>
      </c>
      <c r="F499" s="1127" t="s">
        <v>2433</v>
      </c>
      <c r="G499" s="1" t="s">
        <v>45</v>
      </c>
      <c r="H499" s="158"/>
      <c r="I499" s="158"/>
      <c r="J499" s="158"/>
      <c r="K499" s="158"/>
      <c r="L499" s="158"/>
      <c r="M499" s="211"/>
    </row>
    <row r="500" spans="1:13" ht="19.5">
      <c r="A500" s="158">
        <v>224</v>
      </c>
      <c r="B500" s="2" t="s">
        <v>346</v>
      </c>
      <c r="C500" s="1" t="s">
        <v>347</v>
      </c>
      <c r="D500" s="4">
        <v>15473</v>
      </c>
      <c r="E500" s="63">
        <v>4200</v>
      </c>
      <c r="F500" s="1127" t="s">
        <v>2433</v>
      </c>
      <c r="G500" s="1" t="s">
        <v>45</v>
      </c>
      <c r="H500" s="1"/>
      <c r="I500" s="1"/>
      <c r="J500" s="1"/>
      <c r="K500" s="1"/>
      <c r="L500" s="1"/>
      <c r="M500" s="211"/>
    </row>
    <row r="501" spans="1:13" ht="19.5">
      <c r="A501" s="158">
        <v>225</v>
      </c>
      <c r="B501" s="2" t="s">
        <v>2253</v>
      </c>
      <c r="C501" s="1" t="s">
        <v>2250</v>
      </c>
      <c r="D501" s="4">
        <v>15473</v>
      </c>
      <c r="E501" s="63">
        <v>4200</v>
      </c>
      <c r="F501" s="1127" t="s">
        <v>2433</v>
      </c>
      <c r="G501" s="1" t="s">
        <v>45</v>
      </c>
      <c r="H501" s="1"/>
      <c r="I501" s="1"/>
      <c r="J501" s="1"/>
      <c r="K501" s="1"/>
      <c r="L501" s="1"/>
      <c r="M501" s="211"/>
    </row>
    <row r="502" spans="1:13" ht="19.5">
      <c r="A502" s="158">
        <v>226</v>
      </c>
      <c r="B502" s="3" t="s">
        <v>1346</v>
      </c>
      <c r="C502" s="158" t="s">
        <v>1347</v>
      </c>
      <c r="D502" s="4">
        <v>16278</v>
      </c>
      <c r="E502" s="58">
        <v>3000</v>
      </c>
      <c r="F502" s="1156" t="s">
        <v>1265</v>
      </c>
      <c r="G502" s="1" t="s">
        <v>45</v>
      </c>
      <c r="H502" s="1"/>
      <c r="I502" s="1"/>
      <c r="J502" s="1"/>
      <c r="K502" s="1"/>
      <c r="L502" s="1"/>
      <c r="M502" s="211" t="s">
        <v>3167</v>
      </c>
    </row>
    <row r="503" spans="1:13" ht="19.5">
      <c r="A503" s="158">
        <v>227</v>
      </c>
      <c r="B503" s="3" t="s">
        <v>402</v>
      </c>
      <c r="C503" s="158" t="s">
        <v>2251</v>
      </c>
      <c r="D503" s="4">
        <v>16278</v>
      </c>
      <c r="E503" s="58">
        <v>3000</v>
      </c>
      <c r="F503" s="1156" t="s">
        <v>1265</v>
      </c>
      <c r="G503" s="1" t="s">
        <v>45</v>
      </c>
      <c r="H503" s="1"/>
      <c r="I503" s="1"/>
      <c r="J503" s="1"/>
      <c r="K503" s="1"/>
      <c r="L503" s="1"/>
      <c r="M503" s="211"/>
    </row>
    <row r="504" spans="1:13" ht="19.5">
      <c r="A504" s="158">
        <v>228</v>
      </c>
      <c r="B504" s="3" t="s">
        <v>3</v>
      </c>
      <c r="C504" s="158" t="s">
        <v>2252</v>
      </c>
      <c r="D504" s="4">
        <v>16537</v>
      </c>
      <c r="E504" s="58">
        <v>580</v>
      </c>
      <c r="F504" s="1127" t="s">
        <v>2433</v>
      </c>
      <c r="G504" s="1" t="s">
        <v>45</v>
      </c>
      <c r="H504" s="1"/>
      <c r="I504" s="1"/>
      <c r="J504" s="1"/>
      <c r="K504" s="1"/>
      <c r="L504" s="1"/>
      <c r="M504" s="211"/>
    </row>
    <row r="505" spans="1:13" ht="19.5">
      <c r="A505" s="158">
        <v>229</v>
      </c>
      <c r="B505" s="2" t="s">
        <v>348</v>
      </c>
      <c r="C505" s="158" t="s">
        <v>2373</v>
      </c>
      <c r="D505" s="4">
        <v>16948</v>
      </c>
      <c r="E505" s="58">
        <v>0</v>
      </c>
      <c r="F505" s="1123" t="s">
        <v>2360</v>
      </c>
      <c r="G505" s="1" t="s">
        <v>45</v>
      </c>
      <c r="H505" s="1"/>
      <c r="I505" s="1"/>
      <c r="J505" s="1"/>
      <c r="K505" s="1"/>
      <c r="L505" s="1"/>
      <c r="M505" s="211"/>
    </row>
    <row r="506" spans="1:13" ht="19.5">
      <c r="A506" s="158">
        <v>230</v>
      </c>
      <c r="B506" s="2" t="s">
        <v>348</v>
      </c>
      <c r="C506" s="158" t="s">
        <v>2374</v>
      </c>
      <c r="D506" s="4">
        <v>16959</v>
      </c>
      <c r="E506" s="58">
        <v>1200</v>
      </c>
      <c r="F506" s="1123" t="s">
        <v>2360</v>
      </c>
      <c r="G506" s="1" t="s">
        <v>45</v>
      </c>
      <c r="H506" s="1"/>
      <c r="I506" s="1"/>
      <c r="J506" s="1"/>
      <c r="K506" s="1"/>
      <c r="L506" s="1"/>
      <c r="M506" s="211"/>
    </row>
    <row r="507" spans="1:13" ht="19.5">
      <c r="A507" s="158">
        <v>231</v>
      </c>
      <c r="B507" s="2" t="s">
        <v>348</v>
      </c>
      <c r="C507" s="1" t="s">
        <v>349</v>
      </c>
      <c r="D507" s="4">
        <v>17123</v>
      </c>
      <c r="E507" s="63">
        <v>1200</v>
      </c>
      <c r="F507" s="1127" t="s">
        <v>2433</v>
      </c>
      <c r="G507" s="1" t="s">
        <v>45</v>
      </c>
      <c r="H507" s="1"/>
      <c r="I507" s="1"/>
      <c r="J507" s="1"/>
      <c r="K507" s="1"/>
      <c r="L507" s="1"/>
      <c r="M507" s="211"/>
    </row>
    <row r="508" spans="1:13" ht="19.5">
      <c r="A508" s="158">
        <v>232</v>
      </c>
      <c r="B508" s="2" t="s">
        <v>350</v>
      </c>
      <c r="C508" s="1" t="s">
        <v>351</v>
      </c>
      <c r="D508" s="4">
        <v>17760</v>
      </c>
      <c r="E508" s="63">
        <v>0</v>
      </c>
      <c r="F508" s="1127" t="s">
        <v>2433</v>
      </c>
      <c r="G508" s="1" t="s">
        <v>45</v>
      </c>
      <c r="H508" s="1"/>
      <c r="I508" s="1"/>
      <c r="J508" s="1"/>
      <c r="K508" s="1"/>
      <c r="L508" s="1"/>
      <c r="M508" s="211"/>
    </row>
    <row r="509" spans="1:13" ht="19.5">
      <c r="A509" s="158">
        <v>233</v>
      </c>
      <c r="B509" s="239" t="s">
        <v>2644</v>
      </c>
      <c r="C509" s="172" t="s">
        <v>1587</v>
      </c>
      <c r="D509" s="262">
        <v>38579</v>
      </c>
      <c r="E509" s="63">
        <v>0</v>
      </c>
      <c r="F509" s="1129" t="s">
        <v>1572</v>
      </c>
      <c r="G509" s="1" t="s">
        <v>45</v>
      </c>
      <c r="H509" s="1"/>
      <c r="I509" s="1"/>
      <c r="J509" s="1"/>
      <c r="K509" s="1"/>
      <c r="L509" s="1"/>
      <c r="M509" s="211"/>
    </row>
    <row r="510" spans="1:13" ht="19.5">
      <c r="A510" s="158">
        <v>234</v>
      </c>
      <c r="B510" s="2" t="s">
        <v>352</v>
      </c>
      <c r="C510" s="1" t="s">
        <v>353</v>
      </c>
      <c r="D510" s="4">
        <v>17760</v>
      </c>
      <c r="E510" s="63">
        <v>0</v>
      </c>
      <c r="F510" s="1127" t="s">
        <v>2433</v>
      </c>
      <c r="G510" s="1" t="s">
        <v>45</v>
      </c>
      <c r="H510" s="1"/>
      <c r="I510" s="1"/>
      <c r="J510" s="1"/>
      <c r="K510" s="1"/>
      <c r="L510" s="1"/>
      <c r="M510" s="211"/>
    </row>
    <row r="511" spans="1:13" ht="19.5">
      <c r="A511" s="158">
        <v>235</v>
      </c>
      <c r="B511" s="2" t="s">
        <v>354</v>
      </c>
      <c r="C511" s="1" t="s">
        <v>355</v>
      </c>
      <c r="D511" s="4">
        <v>17760</v>
      </c>
      <c r="E511" s="63">
        <v>0</v>
      </c>
      <c r="F511" s="1127" t="s">
        <v>2433</v>
      </c>
      <c r="G511" s="1" t="s">
        <v>45</v>
      </c>
      <c r="H511" s="1"/>
      <c r="I511" s="1"/>
      <c r="J511" s="1"/>
      <c r="K511" s="1"/>
      <c r="L511" s="1"/>
      <c r="M511" s="211"/>
    </row>
    <row r="512" spans="1:13" ht="19.5">
      <c r="A512" s="158">
        <v>236</v>
      </c>
      <c r="B512" s="2" t="s">
        <v>356</v>
      </c>
      <c r="C512" s="1" t="s">
        <v>357</v>
      </c>
      <c r="D512" s="4">
        <v>17760</v>
      </c>
      <c r="E512" s="63">
        <v>0</v>
      </c>
      <c r="F512" s="1127" t="s">
        <v>2433</v>
      </c>
      <c r="G512" s="1" t="s">
        <v>45</v>
      </c>
      <c r="H512" s="1"/>
      <c r="I512" s="1"/>
      <c r="J512" s="1"/>
      <c r="K512" s="1"/>
      <c r="L512" s="1"/>
      <c r="M512" s="211"/>
    </row>
    <row r="513" spans="1:13" ht="19.5">
      <c r="A513" s="158">
        <v>237</v>
      </c>
      <c r="B513" s="2" t="s">
        <v>358</v>
      </c>
      <c r="C513" s="1" t="s">
        <v>359</v>
      </c>
      <c r="D513" s="4">
        <v>17760</v>
      </c>
      <c r="E513" s="63">
        <v>0</v>
      </c>
      <c r="F513" s="1127" t="s">
        <v>2433</v>
      </c>
      <c r="G513" s="1" t="s">
        <v>45</v>
      </c>
      <c r="H513" s="1"/>
      <c r="I513" s="1"/>
      <c r="J513" s="1"/>
      <c r="K513" s="1"/>
      <c r="L513" s="1"/>
      <c r="M513" s="211"/>
    </row>
    <row r="514" spans="1:13" ht="19.5">
      <c r="A514" s="158">
        <v>238</v>
      </c>
      <c r="B514" s="2" t="s">
        <v>360</v>
      </c>
      <c r="C514" s="1" t="s">
        <v>361</v>
      </c>
      <c r="D514" s="4">
        <v>17760</v>
      </c>
      <c r="E514" s="63">
        <v>1391</v>
      </c>
      <c r="F514" s="1127" t="s">
        <v>2433</v>
      </c>
      <c r="G514" s="1" t="s">
        <v>45</v>
      </c>
      <c r="H514" s="1"/>
      <c r="I514" s="1"/>
      <c r="J514" s="1"/>
      <c r="K514" s="1"/>
      <c r="L514" s="1"/>
      <c r="M514" s="211"/>
    </row>
    <row r="515" spans="1:13" ht="19.5">
      <c r="A515" s="158">
        <v>239</v>
      </c>
      <c r="B515" s="2" t="s">
        <v>360</v>
      </c>
      <c r="C515" s="1" t="s">
        <v>362</v>
      </c>
      <c r="D515" s="4">
        <v>17760</v>
      </c>
      <c r="E515" s="63">
        <v>1391</v>
      </c>
      <c r="F515" s="1127" t="s">
        <v>2433</v>
      </c>
      <c r="G515" s="1" t="s">
        <v>45</v>
      </c>
      <c r="H515" s="1"/>
      <c r="I515" s="1"/>
      <c r="J515" s="1"/>
      <c r="K515" s="1"/>
      <c r="L515" s="1"/>
      <c r="M515" s="211"/>
    </row>
    <row r="516" spans="1:13" ht="19.5">
      <c r="A516" s="158">
        <v>240</v>
      </c>
      <c r="B516" s="2" t="s">
        <v>360</v>
      </c>
      <c r="C516" s="1" t="s">
        <v>363</v>
      </c>
      <c r="D516" s="4">
        <v>17760</v>
      </c>
      <c r="E516" s="63">
        <v>1391</v>
      </c>
      <c r="F516" s="1127" t="s">
        <v>2433</v>
      </c>
      <c r="G516" s="1" t="s">
        <v>45</v>
      </c>
      <c r="H516" s="1"/>
      <c r="I516" s="1"/>
      <c r="J516" s="1"/>
      <c r="K516" s="1"/>
      <c r="L516" s="1"/>
      <c r="M516" s="211"/>
    </row>
    <row r="517" spans="1:13" ht="19.5">
      <c r="A517" s="158">
        <v>241</v>
      </c>
      <c r="B517" s="2" t="s">
        <v>360</v>
      </c>
      <c r="C517" s="1" t="s">
        <v>364</v>
      </c>
      <c r="D517" s="4">
        <v>17760</v>
      </c>
      <c r="E517" s="63">
        <v>1391</v>
      </c>
      <c r="F517" s="1127" t="s">
        <v>2433</v>
      </c>
      <c r="G517" s="1" t="s">
        <v>45</v>
      </c>
      <c r="H517" s="1"/>
      <c r="I517" s="1"/>
      <c r="J517" s="1"/>
      <c r="K517" s="1"/>
      <c r="L517" s="1"/>
      <c r="M517" s="211"/>
    </row>
    <row r="518" spans="1:13" ht="19.5">
      <c r="A518" s="158">
        <v>242</v>
      </c>
      <c r="B518" s="2" t="s">
        <v>360</v>
      </c>
      <c r="C518" s="1" t="s">
        <v>365</v>
      </c>
      <c r="D518" s="4">
        <v>17760</v>
      </c>
      <c r="E518" s="63">
        <v>1391</v>
      </c>
      <c r="F518" s="1127" t="s">
        <v>2433</v>
      </c>
      <c r="G518" s="1" t="s">
        <v>45</v>
      </c>
      <c r="H518" s="1"/>
      <c r="I518" s="1"/>
      <c r="J518" s="1"/>
      <c r="K518" s="1"/>
      <c r="L518" s="1"/>
      <c r="M518" s="211"/>
    </row>
    <row r="519" spans="1:13" ht="19.5">
      <c r="A519" s="158">
        <v>243</v>
      </c>
      <c r="B519" s="2" t="s">
        <v>360</v>
      </c>
      <c r="C519" s="1" t="s">
        <v>366</v>
      </c>
      <c r="D519" s="4">
        <v>17760</v>
      </c>
      <c r="E519" s="63">
        <v>1391</v>
      </c>
      <c r="F519" s="1127" t="s">
        <v>2433</v>
      </c>
      <c r="G519" s="1" t="s">
        <v>45</v>
      </c>
      <c r="H519" s="1"/>
      <c r="I519" s="1"/>
      <c r="J519" s="1"/>
      <c r="K519" s="1"/>
      <c r="L519" s="1"/>
      <c r="M519" s="211"/>
    </row>
    <row r="520" spans="1:13" ht="19.5">
      <c r="A520" s="158">
        <v>244</v>
      </c>
      <c r="B520" s="2" t="s">
        <v>360</v>
      </c>
      <c r="C520" s="1" t="s">
        <v>367</v>
      </c>
      <c r="D520" s="4">
        <v>17760</v>
      </c>
      <c r="E520" s="63">
        <v>1391</v>
      </c>
      <c r="F520" s="1127" t="s">
        <v>2433</v>
      </c>
      <c r="G520" s="1" t="s">
        <v>45</v>
      </c>
      <c r="H520" s="1"/>
      <c r="I520" s="1"/>
      <c r="J520" s="1"/>
      <c r="K520" s="1"/>
      <c r="L520" s="1"/>
      <c r="M520" s="211"/>
    </row>
    <row r="521" spans="1:13" ht="19.5">
      <c r="A521" s="158">
        <v>245</v>
      </c>
      <c r="B521" s="2" t="s">
        <v>360</v>
      </c>
      <c r="C521" s="1" t="s">
        <v>368</v>
      </c>
      <c r="D521" s="4">
        <v>17760</v>
      </c>
      <c r="E521" s="63">
        <v>1391</v>
      </c>
      <c r="F521" s="1127" t="s">
        <v>2433</v>
      </c>
      <c r="G521" s="1" t="s">
        <v>45</v>
      </c>
      <c r="H521" s="1"/>
      <c r="I521" s="1"/>
      <c r="J521" s="1"/>
      <c r="K521" s="1"/>
      <c r="L521" s="1"/>
      <c r="M521" s="211"/>
    </row>
    <row r="522" spans="1:13" ht="19.5">
      <c r="A522" s="158">
        <v>246</v>
      </c>
      <c r="B522" s="239" t="s">
        <v>191</v>
      </c>
      <c r="C522" s="172" t="s">
        <v>1578</v>
      </c>
      <c r="D522" s="4">
        <v>17760</v>
      </c>
      <c r="E522" s="240">
        <v>13589</v>
      </c>
      <c r="F522" s="1129" t="s">
        <v>1572</v>
      </c>
      <c r="G522" s="1" t="s">
        <v>45</v>
      </c>
      <c r="H522" s="1"/>
      <c r="I522" s="1"/>
      <c r="J522" s="1"/>
      <c r="K522" s="1"/>
      <c r="L522" s="1"/>
      <c r="M522" s="211"/>
    </row>
    <row r="523" spans="1:13" ht="19.5">
      <c r="A523" s="158">
        <v>247</v>
      </c>
      <c r="B523" s="2" t="s">
        <v>369</v>
      </c>
      <c r="C523" s="1" t="s">
        <v>370</v>
      </c>
      <c r="D523" s="4">
        <v>17760</v>
      </c>
      <c r="E523" s="63">
        <v>5136</v>
      </c>
      <c r="F523" s="1127" t="s">
        <v>2433</v>
      </c>
      <c r="G523" s="1" t="s">
        <v>45</v>
      </c>
      <c r="H523" s="1"/>
      <c r="I523" s="1"/>
      <c r="J523" s="1"/>
      <c r="K523" s="1"/>
      <c r="L523" s="1"/>
      <c r="M523" s="211"/>
    </row>
    <row r="524" spans="1:13" ht="19.5">
      <c r="A524" s="158">
        <v>248</v>
      </c>
      <c r="B524" s="2" t="s">
        <v>371</v>
      </c>
      <c r="C524" s="1" t="s">
        <v>372</v>
      </c>
      <c r="D524" s="4">
        <v>17760</v>
      </c>
      <c r="E524" s="63">
        <v>2653.6</v>
      </c>
      <c r="F524" s="1127" t="s">
        <v>2433</v>
      </c>
      <c r="G524" s="1" t="s">
        <v>45</v>
      </c>
      <c r="H524" s="1"/>
      <c r="I524" s="1"/>
      <c r="J524" s="1"/>
      <c r="K524" s="1"/>
      <c r="L524" s="1"/>
      <c r="M524" s="211"/>
    </row>
    <row r="525" spans="1:13" ht="19.5">
      <c r="A525" s="158">
        <v>249</v>
      </c>
      <c r="B525" s="2" t="s">
        <v>373</v>
      </c>
      <c r="C525" s="1" t="s">
        <v>374</v>
      </c>
      <c r="D525" s="4">
        <v>17760</v>
      </c>
      <c r="E525" s="63">
        <v>2033</v>
      </c>
      <c r="F525" s="1127" t="s">
        <v>2433</v>
      </c>
      <c r="G525" s="1" t="s">
        <v>45</v>
      </c>
      <c r="H525" s="1"/>
      <c r="I525" s="1"/>
      <c r="J525" s="1"/>
      <c r="K525" s="1"/>
      <c r="L525" s="1"/>
      <c r="M525" s="211"/>
    </row>
    <row r="526" spans="1:13" ht="19.5">
      <c r="A526" s="158">
        <v>250</v>
      </c>
      <c r="B526" s="2" t="s">
        <v>373</v>
      </c>
      <c r="C526" s="1" t="s">
        <v>375</v>
      </c>
      <c r="D526" s="4">
        <v>17760</v>
      </c>
      <c r="E526" s="63">
        <v>2033</v>
      </c>
      <c r="F526" s="1127" t="s">
        <v>2433</v>
      </c>
      <c r="G526" s="1" t="s">
        <v>45</v>
      </c>
      <c r="H526" s="1"/>
      <c r="I526" s="1"/>
      <c r="J526" s="1"/>
      <c r="K526" s="1"/>
      <c r="L526" s="1"/>
      <c r="M526" s="211"/>
    </row>
    <row r="527" spans="1:13" ht="19.5">
      <c r="A527" s="158">
        <v>251</v>
      </c>
      <c r="B527" s="2" t="s">
        <v>376</v>
      </c>
      <c r="C527" s="1" t="s">
        <v>377</v>
      </c>
      <c r="D527" s="4">
        <v>17788</v>
      </c>
      <c r="E527" s="63">
        <v>2889</v>
      </c>
      <c r="F527" s="1127" t="s">
        <v>2433</v>
      </c>
      <c r="G527" s="1" t="s">
        <v>45</v>
      </c>
      <c r="H527" s="1"/>
      <c r="I527" s="1"/>
      <c r="J527" s="1"/>
      <c r="K527" s="1"/>
      <c r="L527" s="1"/>
      <c r="M527" s="211"/>
    </row>
    <row r="528" spans="1:13" ht="19.5">
      <c r="A528" s="158">
        <v>252</v>
      </c>
      <c r="B528" s="239" t="s">
        <v>191</v>
      </c>
      <c r="C528" s="172" t="s">
        <v>1579</v>
      </c>
      <c r="D528" s="4">
        <v>17788</v>
      </c>
      <c r="E528" s="240">
        <v>1391</v>
      </c>
      <c r="F528" s="1129" t="s">
        <v>1572</v>
      </c>
      <c r="G528" s="1" t="s">
        <v>45</v>
      </c>
      <c r="H528" s="1"/>
      <c r="I528" s="1"/>
      <c r="J528" s="1"/>
      <c r="K528" s="1"/>
      <c r="L528" s="1"/>
      <c r="M528" s="211"/>
    </row>
    <row r="529" spans="1:13" ht="19.5">
      <c r="A529" s="158">
        <v>253</v>
      </c>
      <c r="B529" s="2" t="s">
        <v>376</v>
      </c>
      <c r="C529" s="1" t="s">
        <v>378</v>
      </c>
      <c r="D529" s="4">
        <v>17788</v>
      </c>
      <c r="E529" s="63">
        <v>1391</v>
      </c>
      <c r="F529" s="1129" t="s">
        <v>1572</v>
      </c>
      <c r="G529" s="1" t="s">
        <v>45</v>
      </c>
      <c r="H529" s="1"/>
      <c r="I529" s="1"/>
      <c r="J529" s="1"/>
      <c r="K529" s="1"/>
      <c r="L529" s="1"/>
      <c r="M529" s="211"/>
    </row>
    <row r="530" spans="1:13" ht="19.5">
      <c r="A530" s="158">
        <v>254</v>
      </c>
      <c r="B530" s="2" t="s">
        <v>379</v>
      </c>
      <c r="C530" s="1" t="s">
        <v>380</v>
      </c>
      <c r="D530" s="4">
        <v>17788</v>
      </c>
      <c r="E530" s="63">
        <v>2354</v>
      </c>
      <c r="F530" s="1127" t="s">
        <v>2433</v>
      </c>
      <c r="G530" s="1" t="s">
        <v>45</v>
      </c>
      <c r="H530" s="1"/>
      <c r="I530" s="1"/>
      <c r="J530" s="1"/>
      <c r="K530" s="1"/>
      <c r="L530" s="1"/>
      <c r="M530" s="211"/>
    </row>
    <row r="531" spans="1:13" ht="19.5">
      <c r="A531" s="158">
        <v>255</v>
      </c>
      <c r="B531" s="227" t="s">
        <v>381</v>
      </c>
      <c r="C531" s="1" t="s">
        <v>382</v>
      </c>
      <c r="D531" s="4">
        <v>17788</v>
      </c>
      <c r="E531" s="63">
        <v>0</v>
      </c>
      <c r="F531" s="1127" t="s">
        <v>2433</v>
      </c>
      <c r="G531" s="1" t="s">
        <v>45</v>
      </c>
      <c r="H531" s="1"/>
      <c r="I531" s="1"/>
      <c r="J531" s="1"/>
      <c r="K531" s="1"/>
      <c r="L531" s="1"/>
      <c r="M531" s="211"/>
    </row>
    <row r="532" spans="1:13" ht="19.5">
      <c r="A532" s="158">
        <v>256</v>
      </c>
      <c r="B532" s="227" t="s">
        <v>381</v>
      </c>
      <c r="C532" s="1" t="s">
        <v>383</v>
      </c>
      <c r="D532" s="4">
        <v>17788</v>
      </c>
      <c r="E532" s="63">
        <v>0</v>
      </c>
      <c r="F532" s="1127" t="s">
        <v>2433</v>
      </c>
      <c r="G532" s="1" t="s">
        <v>45</v>
      </c>
      <c r="H532" s="1"/>
      <c r="I532" s="1"/>
      <c r="J532" s="1"/>
      <c r="K532" s="1"/>
      <c r="L532" s="1"/>
      <c r="M532" s="211"/>
    </row>
    <row r="533" spans="1:13" ht="19.5">
      <c r="A533" s="158">
        <v>257</v>
      </c>
      <c r="B533" s="2" t="s">
        <v>384</v>
      </c>
      <c r="C533" s="1" t="s">
        <v>385</v>
      </c>
      <c r="D533" s="4">
        <v>17932</v>
      </c>
      <c r="E533" s="63">
        <v>2500</v>
      </c>
      <c r="F533" s="1127" t="s">
        <v>2433</v>
      </c>
      <c r="G533" s="1" t="s">
        <v>45</v>
      </c>
      <c r="H533" s="1"/>
      <c r="I533" s="1"/>
      <c r="J533" s="1"/>
      <c r="K533" s="1"/>
      <c r="L533" s="1"/>
      <c r="M533" s="211"/>
    </row>
    <row r="534" spans="1:13" ht="19.5">
      <c r="A534" s="158">
        <v>258</v>
      </c>
      <c r="B534" s="2" t="s">
        <v>384</v>
      </c>
      <c r="C534" s="1" t="s">
        <v>386</v>
      </c>
      <c r="D534" s="4">
        <v>17932</v>
      </c>
      <c r="E534" s="63">
        <v>2500</v>
      </c>
      <c r="F534" s="1127" t="s">
        <v>2433</v>
      </c>
      <c r="G534" s="1" t="s">
        <v>45</v>
      </c>
      <c r="H534" s="1"/>
      <c r="I534" s="1"/>
      <c r="J534" s="1"/>
      <c r="K534" s="1"/>
      <c r="L534" s="1"/>
      <c r="M534" s="211"/>
    </row>
    <row r="535" spans="1:13" ht="19.5">
      <c r="A535" s="158">
        <v>259</v>
      </c>
      <c r="B535" s="2" t="s">
        <v>384</v>
      </c>
      <c r="C535" s="1" t="s">
        <v>387</v>
      </c>
      <c r="D535" s="4">
        <v>17932</v>
      </c>
      <c r="E535" s="63">
        <v>2500</v>
      </c>
      <c r="F535" s="1127" t="s">
        <v>2433</v>
      </c>
      <c r="G535" s="1" t="s">
        <v>45</v>
      </c>
      <c r="H535" s="1"/>
      <c r="I535" s="1"/>
      <c r="J535" s="1"/>
      <c r="K535" s="1"/>
      <c r="L535" s="1"/>
      <c r="M535" s="211"/>
    </row>
    <row r="536" spans="1:13" ht="19.5">
      <c r="A536" s="158">
        <v>260</v>
      </c>
      <c r="B536" s="2" t="s">
        <v>384</v>
      </c>
      <c r="C536" s="1" t="s">
        <v>388</v>
      </c>
      <c r="D536" s="4">
        <v>17932</v>
      </c>
      <c r="E536" s="63">
        <v>2500</v>
      </c>
      <c r="F536" s="1127" t="s">
        <v>2433</v>
      </c>
      <c r="G536" s="1" t="s">
        <v>45</v>
      </c>
      <c r="H536" s="1"/>
      <c r="I536" s="1"/>
      <c r="J536" s="1"/>
      <c r="K536" s="1"/>
      <c r="L536" s="1"/>
      <c r="M536" s="211"/>
    </row>
    <row r="537" spans="1:13" ht="19.5">
      <c r="A537" s="158">
        <v>261</v>
      </c>
      <c r="B537" s="2" t="s">
        <v>384</v>
      </c>
      <c r="C537" s="1" t="s">
        <v>389</v>
      </c>
      <c r="D537" s="4">
        <v>17932</v>
      </c>
      <c r="E537" s="63">
        <v>2500</v>
      </c>
      <c r="F537" s="1127" t="s">
        <v>2433</v>
      </c>
      <c r="G537" s="1" t="s">
        <v>45</v>
      </c>
      <c r="H537" s="1"/>
      <c r="I537" s="1"/>
      <c r="J537" s="1"/>
      <c r="K537" s="1"/>
      <c r="L537" s="1"/>
      <c r="M537" s="211"/>
    </row>
    <row r="538" spans="1:13" ht="19.5">
      <c r="A538" s="158">
        <v>262</v>
      </c>
      <c r="B538" s="2" t="s">
        <v>384</v>
      </c>
      <c r="C538" s="1" t="s">
        <v>390</v>
      </c>
      <c r="D538" s="4">
        <v>17932</v>
      </c>
      <c r="E538" s="63">
        <v>2500</v>
      </c>
      <c r="F538" s="1127" t="s">
        <v>2433</v>
      </c>
      <c r="G538" s="1" t="s">
        <v>45</v>
      </c>
      <c r="H538" s="1"/>
      <c r="I538" s="1"/>
      <c r="J538" s="1"/>
      <c r="K538" s="1"/>
      <c r="L538" s="1"/>
      <c r="M538" s="211"/>
    </row>
    <row r="539" spans="1:13" ht="19.5">
      <c r="A539" s="158">
        <v>263</v>
      </c>
      <c r="B539" s="2" t="s">
        <v>384</v>
      </c>
      <c r="C539" s="1" t="s">
        <v>391</v>
      </c>
      <c r="D539" s="4">
        <v>17932</v>
      </c>
      <c r="E539" s="63">
        <v>2500</v>
      </c>
      <c r="F539" s="1127" t="s">
        <v>2433</v>
      </c>
      <c r="G539" s="1" t="s">
        <v>45</v>
      </c>
      <c r="H539" s="1"/>
      <c r="I539" s="1"/>
      <c r="J539" s="1"/>
      <c r="K539" s="1"/>
      <c r="L539" s="1"/>
      <c r="M539" s="211"/>
    </row>
    <row r="540" spans="1:13" ht="19.5">
      <c r="A540" s="158">
        <v>264</v>
      </c>
      <c r="B540" s="2" t="s">
        <v>384</v>
      </c>
      <c r="C540" s="1" t="s">
        <v>392</v>
      </c>
      <c r="D540" s="4">
        <v>17932</v>
      </c>
      <c r="E540" s="63">
        <v>2500</v>
      </c>
      <c r="F540" s="1127" t="s">
        <v>2433</v>
      </c>
      <c r="G540" s="1" t="s">
        <v>45</v>
      </c>
      <c r="H540" s="1"/>
      <c r="I540" s="1"/>
      <c r="J540" s="1"/>
      <c r="K540" s="1"/>
      <c r="L540" s="1"/>
      <c r="M540" s="211"/>
    </row>
    <row r="541" spans="1:13" ht="19.5">
      <c r="A541" s="158">
        <v>265</v>
      </c>
      <c r="B541" s="2" t="s">
        <v>393</v>
      </c>
      <c r="C541" s="1" t="s">
        <v>394</v>
      </c>
      <c r="D541" s="4">
        <v>17932</v>
      </c>
      <c r="E541" s="63">
        <v>2480</v>
      </c>
      <c r="F541" s="1127" t="s">
        <v>2433</v>
      </c>
      <c r="G541" s="1" t="s">
        <v>45</v>
      </c>
      <c r="H541" s="1"/>
      <c r="I541" s="1"/>
      <c r="J541" s="1"/>
      <c r="K541" s="1"/>
      <c r="L541" s="1"/>
      <c r="M541" s="211"/>
    </row>
    <row r="542" spans="1:13" ht="19.5">
      <c r="A542" s="158">
        <v>266</v>
      </c>
      <c r="B542" s="2" t="s">
        <v>395</v>
      </c>
      <c r="C542" s="1" t="s">
        <v>396</v>
      </c>
      <c r="D542" s="4">
        <v>18461</v>
      </c>
      <c r="E542" s="63">
        <v>4500</v>
      </c>
      <c r="F542" s="1127" t="s">
        <v>2433</v>
      </c>
      <c r="G542" s="1" t="s">
        <v>45</v>
      </c>
      <c r="H542" s="1"/>
      <c r="I542" s="1"/>
      <c r="J542" s="1"/>
      <c r="K542" s="1"/>
      <c r="L542" s="1"/>
      <c r="M542" s="211"/>
    </row>
    <row r="543" spans="1:13" ht="19.5">
      <c r="A543" s="158">
        <v>267</v>
      </c>
      <c r="B543" s="2" t="s">
        <v>415</v>
      </c>
      <c r="C543" s="1" t="s">
        <v>416</v>
      </c>
      <c r="D543" s="4">
        <v>18851</v>
      </c>
      <c r="E543" s="63">
        <v>7900</v>
      </c>
      <c r="F543" s="1127" t="s">
        <v>2433</v>
      </c>
      <c r="G543" s="1" t="s">
        <v>45</v>
      </c>
      <c r="H543" s="1"/>
      <c r="I543" s="1"/>
      <c r="J543" s="1"/>
      <c r="K543" s="1"/>
      <c r="L543" s="1"/>
      <c r="M543" s="211"/>
    </row>
    <row r="544" spans="1:13" ht="19.5">
      <c r="A544" s="158">
        <v>268</v>
      </c>
      <c r="B544" s="2" t="s">
        <v>402</v>
      </c>
      <c r="C544" s="1" t="s">
        <v>403</v>
      </c>
      <c r="D544" s="4">
        <v>18851</v>
      </c>
      <c r="E544" s="63">
        <v>5900</v>
      </c>
      <c r="F544" s="1127" t="s">
        <v>2433</v>
      </c>
      <c r="G544" s="1" t="s">
        <v>45</v>
      </c>
      <c r="H544" s="1"/>
      <c r="I544" s="1"/>
      <c r="J544" s="1"/>
      <c r="K544" s="1"/>
      <c r="L544" s="1"/>
      <c r="M544" s="211"/>
    </row>
    <row r="545" spans="1:13" ht="19.5">
      <c r="A545" s="158">
        <v>269</v>
      </c>
      <c r="B545" s="2" t="s">
        <v>402</v>
      </c>
      <c r="C545" s="1" t="s">
        <v>404</v>
      </c>
      <c r="D545" s="4">
        <v>18851</v>
      </c>
      <c r="E545" s="63">
        <v>5900</v>
      </c>
      <c r="F545" s="1127" t="s">
        <v>2433</v>
      </c>
      <c r="G545" s="1" t="s">
        <v>45</v>
      </c>
      <c r="H545" s="1"/>
      <c r="I545" s="1"/>
      <c r="J545" s="1"/>
      <c r="K545" s="1"/>
      <c r="L545" s="1"/>
      <c r="M545" s="211"/>
    </row>
    <row r="546" spans="1:13" ht="19.5">
      <c r="A546" s="158">
        <v>270</v>
      </c>
      <c r="B546" s="2" t="s">
        <v>402</v>
      </c>
      <c r="C546" s="1" t="s">
        <v>405</v>
      </c>
      <c r="D546" s="4">
        <v>18851</v>
      </c>
      <c r="E546" s="63">
        <v>5900</v>
      </c>
      <c r="F546" s="1127" t="s">
        <v>2433</v>
      </c>
      <c r="G546" s="1" t="s">
        <v>45</v>
      </c>
      <c r="H546" s="1"/>
      <c r="I546" s="1"/>
      <c r="J546" s="1"/>
      <c r="K546" s="1"/>
      <c r="L546" s="1"/>
      <c r="M546" s="211"/>
    </row>
    <row r="547" spans="1:13" ht="19.5">
      <c r="A547" s="158">
        <v>271</v>
      </c>
      <c r="B547" s="2" t="s">
        <v>402</v>
      </c>
      <c r="C547" s="1" t="s">
        <v>406</v>
      </c>
      <c r="D547" s="4">
        <v>18851</v>
      </c>
      <c r="E547" s="63">
        <v>5900</v>
      </c>
      <c r="F547" s="1127" t="s">
        <v>2433</v>
      </c>
      <c r="G547" s="1" t="s">
        <v>45</v>
      </c>
      <c r="H547" s="1"/>
      <c r="I547" s="1"/>
      <c r="J547" s="1"/>
      <c r="K547" s="1"/>
      <c r="L547" s="1"/>
      <c r="M547" s="211"/>
    </row>
    <row r="548" spans="1:13" ht="19.5">
      <c r="A548" s="158">
        <v>272</v>
      </c>
      <c r="B548" s="2" t="s">
        <v>402</v>
      </c>
      <c r="C548" s="1" t="s">
        <v>407</v>
      </c>
      <c r="D548" s="4">
        <v>18851</v>
      </c>
      <c r="E548" s="63">
        <v>5900</v>
      </c>
      <c r="F548" s="1127" t="s">
        <v>2433</v>
      </c>
      <c r="G548" s="1" t="s">
        <v>45</v>
      </c>
      <c r="H548" s="1"/>
      <c r="I548" s="1"/>
      <c r="J548" s="1"/>
      <c r="K548" s="1"/>
      <c r="L548" s="1"/>
      <c r="M548" s="211"/>
    </row>
    <row r="549" spans="1:13" ht="19.5">
      <c r="A549" s="158">
        <v>273</v>
      </c>
      <c r="B549" s="2" t="s">
        <v>402</v>
      </c>
      <c r="C549" s="1" t="s">
        <v>408</v>
      </c>
      <c r="D549" s="4">
        <v>18851</v>
      </c>
      <c r="E549" s="63">
        <v>5900</v>
      </c>
      <c r="F549" s="1127" t="s">
        <v>2433</v>
      </c>
      <c r="G549" s="1" t="s">
        <v>45</v>
      </c>
      <c r="H549" s="1"/>
      <c r="I549" s="1"/>
      <c r="J549" s="1"/>
      <c r="K549" s="1"/>
      <c r="L549" s="1"/>
      <c r="M549" s="211"/>
    </row>
    <row r="550" spans="1:13" ht="19.5">
      <c r="A550" s="158">
        <v>274</v>
      </c>
      <c r="B550" s="2" t="s">
        <v>402</v>
      </c>
      <c r="C550" s="1" t="s">
        <v>409</v>
      </c>
      <c r="D550" s="4">
        <v>18851</v>
      </c>
      <c r="E550" s="63">
        <v>5900</v>
      </c>
      <c r="F550" s="1127" t="s">
        <v>2433</v>
      </c>
      <c r="G550" s="1" t="s">
        <v>45</v>
      </c>
      <c r="H550" s="1"/>
      <c r="I550" s="1"/>
      <c r="J550" s="1"/>
      <c r="K550" s="1"/>
      <c r="L550" s="1"/>
      <c r="M550" s="211"/>
    </row>
    <row r="551" spans="1:13" ht="19.5">
      <c r="A551" s="158">
        <v>275</v>
      </c>
      <c r="B551" s="2" t="s">
        <v>402</v>
      </c>
      <c r="C551" s="1" t="s">
        <v>410</v>
      </c>
      <c r="D551" s="4">
        <v>18851</v>
      </c>
      <c r="E551" s="63">
        <v>5900</v>
      </c>
      <c r="F551" s="1127" t="s">
        <v>2433</v>
      </c>
      <c r="G551" s="1" t="s">
        <v>45</v>
      </c>
      <c r="H551" s="1"/>
      <c r="I551" s="1"/>
      <c r="J551" s="1"/>
      <c r="K551" s="1"/>
      <c r="L551" s="1"/>
      <c r="M551" s="211"/>
    </row>
    <row r="552" spans="1:13" ht="19.5">
      <c r="A552" s="158">
        <v>276</v>
      </c>
      <c r="B552" s="2" t="s">
        <v>402</v>
      </c>
      <c r="C552" s="1" t="s">
        <v>411</v>
      </c>
      <c r="D552" s="4">
        <v>18851</v>
      </c>
      <c r="E552" s="63">
        <v>5900</v>
      </c>
      <c r="F552" s="1127" t="s">
        <v>2433</v>
      </c>
      <c r="G552" s="1" t="s">
        <v>45</v>
      </c>
      <c r="H552" s="1"/>
      <c r="I552" s="1"/>
      <c r="J552" s="1"/>
      <c r="K552" s="1"/>
      <c r="L552" s="1"/>
      <c r="M552" s="211"/>
    </row>
    <row r="553" spans="1:13" ht="19.5">
      <c r="A553" s="158">
        <v>277</v>
      </c>
      <c r="B553" s="2" t="s">
        <v>402</v>
      </c>
      <c r="C553" s="1" t="s">
        <v>412</v>
      </c>
      <c r="D553" s="4">
        <v>18851</v>
      </c>
      <c r="E553" s="63">
        <v>5900</v>
      </c>
      <c r="F553" s="1127" t="s">
        <v>2433</v>
      </c>
      <c r="G553" s="1" t="s">
        <v>45</v>
      </c>
      <c r="H553" s="1"/>
      <c r="I553" s="1"/>
      <c r="J553" s="1"/>
      <c r="K553" s="1"/>
      <c r="L553" s="1"/>
      <c r="M553" s="211"/>
    </row>
    <row r="554" spans="1:13" ht="19.5">
      <c r="A554" s="158">
        <v>278</v>
      </c>
      <c r="B554" s="2" t="s">
        <v>402</v>
      </c>
      <c r="C554" s="1" t="s">
        <v>413</v>
      </c>
      <c r="D554" s="4">
        <v>18851</v>
      </c>
      <c r="E554" s="63">
        <v>5900</v>
      </c>
      <c r="F554" s="1127" t="s">
        <v>2433</v>
      </c>
      <c r="G554" s="1" t="s">
        <v>45</v>
      </c>
      <c r="H554" s="1"/>
      <c r="I554" s="1"/>
      <c r="J554" s="1"/>
      <c r="K554" s="1"/>
      <c r="L554" s="1"/>
      <c r="M554" s="211"/>
    </row>
    <row r="555" spans="1:13" ht="19.5">
      <c r="A555" s="158">
        <v>279</v>
      </c>
      <c r="B555" s="2" t="s">
        <v>402</v>
      </c>
      <c r="C555" s="1" t="s">
        <v>414</v>
      </c>
      <c r="D555" s="4">
        <v>18851</v>
      </c>
      <c r="E555" s="63">
        <v>5900</v>
      </c>
      <c r="F555" s="1127" t="s">
        <v>2433</v>
      </c>
      <c r="G555" s="1" t="s">
        <v>45</v>
      </c>
      <c r="H555" s="1"/>
      <c r="I555" s="1"/>
      <c r="J555" s="1"/>
      <c r="K555" s="1"/>
      <c r="L555" s="1"/>
      <c r="M555" s="211"/>
    </row>
    <row r="556" spans="1:13" ht="19.5">
      <c r="A556" s="158">
        <v>280</v>
      </c>
      <c r="B556" s="2" t="s">
        <v>397</v>
      </c>
      <c r="C556" s="1" t="s">
        <v>398</v>
      </c>
      <c r="D556" s="4">
        <v>18851</v>
      </c>
      <c r="E556" s="63">
        <v>3200</v>
      </c>
      <c r="F556" s="1127" t="s">
        <v>2433</v>
      </c>
      <c r="G556" s="1" t="s">
        <v>45</v>
      </c>
      <c r="H556" s="1"/>
      <c r="I556" s="1"/>
      <c r="J556" s="1"/>
      <c r="K556" s="1"/>
      <c r="L556" s="1"/>
      <c r="M556" s="211"/>
    </row>
    <row r="557" spans="1:13" ht="19.5">
      <c r="A557" s="158">
        <v>281</v>
      </c>
      <c r="B557" s="2" t="s">
        <v>397</v>
      </c>
      <c r="C557" s="1" t="s">
        <v>399</v>
      </c>
      <c r="D557" s="4">
        <v>18851</v>
      </c>
      <c r="E557" s="63">
        <v>3200</v>
      </c>
      <c r="F557" s="1127" t="s">
        <v>2433</v>
      </c>
      <c r="G557" s="1" t="s">
        <v>45</v>
      </c>
      <c r="H557" s="1"/>
      <c r="I557" s="1"/>
      <c r="J557" s="1"/>
      <c r="K557" s="1"/>
      <c r="L557" s="1"/>
      <c r="M557" s="211"/>
    </row>
    <row r="558" spans="1:13" ht="19.5">
      <c r="A558" s="158">
        <v>282</v>
      </c>
      <c r="B558" s="2" t="s">
        <v>397</v>
      </c>
      <c r="C558" s="1" t="s">
        <v>400</v>
      </c>
      <c r="D558" s="4">
        <v>18851</v>
      </c>
      <c r="E558" s="63">
        <v>3200</v>
      </c>
      <c r="F558" s="1127" t="s">
        <v>2433</v>
      </c>
      <c r="G558" s="1" t="s">
        <v>45</v>
      </c>
      <c r="H558" s="1"/>
      <c r="I558" s="1"/>
      <c r="J558" s="1"/>
      <c r="K558" s="1"/>
      <c r="L558" s="1"/>
      <c r="M558" s="211"/>
    </row>
    <row r="559" spans="1:13" ht="19.5">
      <c r="A559" s="158">
        <v>283</v>
      </c>
      <c r="B559" s="2" t="s">
        <v>397</v>
      </c>
      <c r="C559" s="1" t="s">
        <v>401</v>
      </c>
      <c r="D559" s="4">
        <v>18851</v>
      </c>
      <c r="E559" s="63">
        <v>3200</v>
      </c>
      <c r="F559" s="1127" t="s">
        <v>2433</v>
      </c>
      <c r="G559" s="1" t="s">
        <v>45</v>
      </c>
      <c r="H559" s="1"/>
      <c r="I559" s="1"/>
      <c r="J559" s="1"/>
      <c r="K559" s="1"/>
      <c r="L559" s="1"/>
      <c r="M559" s="211"/>
    </row>
    <row r="560" spans="1:13" ht="19.5">
      <c r="A560" s="158">
        <v>284</v>
      </c>
      <c r="B560" s="2" t="s">
        <v>417</v>
      </c>
      <c r="C560" s="1" t="s">
        <v>418</v>
      </c>
      <c r="D560" s="4">
        <v>19132</v>
      </c>
      <c r="E560" s="63">
        <v>1200</v>
      </c>
      <c r="F560" s="1129" t="s">
        <v>1572</v>
      </c>
      <c r="G560" s="1" t="s">
        <v>45</v>
      </c>
      <c r="H560" s="1"/>
      <c r="I560" s="1"/>
      <c r="J560" s="1"/>
      <c r="K560" s="1"/>
      <c r="L560" s="1"/>
      <c r="M560" s="211" t="s">
        <v>3491</v>
      </c>
    </row>
    <row r="561" spans="1:13" ht="19.5">
      <c r="A561" s="158">
        <v>285</v>
      </c>
      <c r="B561" s="2" t="s">
        <v>417</v>
      </c>
      <c r="C561" s="1" t="s">
        <v>419</v>
      </c>
      <c r="D561" s="4">
        <v>19132</v>
      </c>
      <c r="E561" s="63">
        <v>1200</v>
      </c>
      <c r="F561" s="1127" t="s">
        <v>2433</v>
      </c>
      <c r="G561" s="1" t="s">
        <v>45</v>
      </c>
      <c r="H561" s="1"/>
      <c r="I561" s="1"/>
      <c r="J561" s="1"/>
      <c r="K561" s="1"/>
      <c r="L561" s="1"/>
      <c r="M561" s="211"/>
    </row>
    <row r="562" spans="1:13" ht="19.5">
      <c r="A562" s="158">
        <v>286</v>
      </c>
      <c r="B562" s="2" t="s">
        <v>417</v>
      </c>
      <c r="C562" s="1" t="s">
        <v>420</v>
      </c>
      <c r="D562" s="4">
        <v>19132</v>
      </c>
      <c r="E562" s="63">
        <v>1200</v>
      </c>
      <c r="F562" s="1129" t="s">
        <v>1572</v>
      </c>
      <c r="G562" s="1" t="s">
        <v>45</v>
      </c>
      <c r="H562" s="1"/>
      <c r="I562" s="1"/>
      <c r="J562" s="1"/>
      <c r="K562" s="1"/>
      <c r="L562" s="1"/>
      <c r="M562" s="211"/>
    </row>
    <row r="563" spans="1:13" ht="19.5">
      <c r="A563" s="158">
        <v>287</v>
      </c>
      <c r="B563" s="2" t="s">
        <v>417</v>
      </c>
      <c r="C563" s="1" t="s">
        <v>421</v>
      </c>
      <c r="D563" s="4">
        <v>19132</v>
      </c>
      <c r="E563" s="63">
        <v>1200</v>
      </c>
      <c r="F563" s="1127" t="s">
        <v>2433</v>
      </c>
      <c r="G563" s="1" t="s">
        <v>45</v>
      </c>
      <c r="H563" s="1"/>
      <c r="I563" s="1"/>
      <c r="J563" s="1"/>
      <c r="K563" s="1"/>
      <c r="L563" s="1"/>
      <c r="M563" s="211"/>
    </row>
    <row r="564" spans="1:13" ht="19.5">
      <c r="A564" s="158">
        <v>288</v>
      </c>
      <c r="B564" s="2" t="s">
        <v>417</v>
      </c>
      <c r="C564" s="1" t="s">
        <v>422</v>
      </c>
      <c r="D564" s="4">
        <v>19132</v>
      </c>
      <c r="E564" s="63">
        <v>1200</v>
      </c>
      <c r="F564" s="1127" t="s">
        <v>2433</v>
      </c>
      <c r="G564" s="1" t="s">
        <v>45</v>
      </c>
      <c r="H564" s="1"/>
      <c r="I564" s="1"/>
      <c r="J564" s="1"/>
      <c r="K564" s="1"/>
      <c r="L564" s="1"/>
      <c r="M564" s="211"/>
    </row>
    <row r="565" spans="1:13" ht="19.5">
      <c r="A565" s="158">
        <v>289</v>
      </c>
      <c r="B565" s="2" t="s">
        <v>417</v>
      </c>
      <c r="C565" s="1" t="s">
        <v>423</v>
      </c>
      <c r="D565" s="4">
        <v>19132</v>
      </c>
      <c r="E565" s="63">
        <v>1200</v>
      </c>
      <c r="F565" s="1127" t="s">
        <v>2433</v>
      </c>
      <c r="G565" s="1" t="s">
        <v>45</v>
      </c>
      <c r="H565" s="1"/>
      <c r="I565" s="1"/>
      <c r="J565" s="1"/>
      <c r="K565" s="1"/>
      <c r="L565" s="1"/>
      <c r="M565" s="211"/>
    </row>
    <row r="566" spans="1:13" ht="19.5">
      <c r="A566" s="158">
        <v>290</v>
      </c>
      <c r="B566" s="2" t="s">
        <v>417</v>
      </c>
      <c r="C566" s="1" t="s">
        <v>424</v>
      </c>
      <c r="D566" s="4">
        <v>19132</v>
      </c>
      <c r="E566" s="63">
        <v>1200</v>
      </c>
      <c r="F566" s="1127" t="s">
        <v>2433</v>
      </c>
      <c r="G566" s="1" t="s">
        <v>45</v>
      </c>
      <c r="H566" s="1"/>
      <c r="I566" s="1"/>
      <c r="J566" s="1"/>
      <c r="K566" s="1"/>
      <c r="L566" s="1"/>
      <c r="M566" s="211"/>
    </row>
    <row r="567" spans="1:13" ht="19.5">
      <c r="A567" s="158">
        <v>291</v>
      </c>
      <c r="B567" s="2" t="s">
        <v>417</v>
      </c>
      <c r="C567" s="1" t="s">
        <v>425</v>
      </c>
      <c r="D567" s="4">
        <v>19132</v>
      </c>
      <c r="E567" s="63">
        <v>1200</v>
      </c>
      <c r="F567" s="1127" t="s">
        <v>2433</v>
      </c>
      <c r="G567" s="1" t="s">
        <v>45</v>
      </c>
      <c r="H567" s="1"/>
      <c r="I567" s="1"/>
      <c r="J567" s="1"/>
      <c r="K567" s="1"/>
      <c r="L567" s="1"/>
      <c r="M567" s="211"/>
    </row>
    <row r="568" spans="1:13" ht="19.5">
      <c r="A568" s="158">
        <v>292</v>
      </c>
      <c r="B568" s="239" t="s">
        <v>191</v>
      </c>
      <c r="C568" s="172" t="s">
        <v>1580</v>
      </c>
      <c r="D568" s="4">
        <v>19011</v>
      </c>
      <c r="E568" s="240">
        <v>1200</v>
      </c>
      <c r="F568" s="1127" t="s">
        <v>2433</v>
      </c>
      <c r="G568" s="1" t="s">
        <v>45</v>
      </c>
      <c r="H568" s="1"/>
      <c r="I568" s="1"/>
      <c r="J568" s="1"/>
      <c r="K568" s="1"/>
      <c r="L568" s="1"/>
      <c r="M568" s="211"/>
    </row>
    <row r="569" spans="1:13" ht="19.5">
      <c r="A569" s="158">
        <v>293</v>
      </c>
      <c r="B569" s="2" t="s">
        <v>417</v>
      </c>
      <c r="C569" s="1" t="s">
        <v>426</v>
      </c>
      <c r="D569" s="4">
        <v>19132</v>
      </c>
      <c r="E569" s="63">
        <v>1200</v>
      </c>
      <c r="F569" s="1127" t="s">
        <v>2433</v>
      </c>
      <c r="G569" s="1" t="s">
        <v>45</v>
      </c>
      <c r="H569" s="1"/>
      <c r="I569" s="1"/>
      <c r="J569" s="1"/>
      <c r="K569" s="1"/>
      <c r="L569" s="1"/>
      <c r="M569" s="211"/>
    </row>
    <row r="570" spans="1:13" ht="19.5">
      <c r="A570" s="158">
        <v>294</v>
      </c>
      <c r="B570" s="2" t="s">
        <v>417</v>
      </c>
      <c r="C570" s="1" t="s">
        <v>427</v>
      </c>
      <c r="D570" s="4">
        <v>19132</v>
      </c>
      <c r="E570" s="63">
        <v>1200</v>
      </c>
      <c r="F570" s="1129" t="s">
        <v>1572</v>
      </c>
      <c r="G570" s="1" t="s">
        <v>45</v>
      </c>
      <c r="H570" s="1"/>
      <c r="I570" s="1"/>
      <c r="J570" s="1"/>
      <c r="K570" s="1"/>
      <c r="L570" s="1"/>
      <c r="M570" s="211" t="s">
        <v>3446</v>
      </c>
    </row>
    <row r="571" spans="1:13" ht="19.5">
      <c r="A571" s="158">
        <v>295</v>
      </c>
      <c r="B571" s="2" t="s">
        <v>417</v>
      </c>
      <c r="C571" s="1" t="s">
        <v>428</v>
      </c>
      <c r="D571" s="4">
        <v>19132</v>
      </c>
      <c r="E571" s="63">
        <v>1200</v>
      </c>
      <c r="F571" s="1127" t="s">
        <v>2433</v>
      </c>
      <c r="G571" s="1" t="s">
        <v>45</v>
      </c>
      <c r="H571" s="1"/>
      <c r="I571" s="1"/>
      <c r="J571" s="1"/>
      <c r="K571" s="1"/>
      <c r="L571" s="1"/>
      <c r="M571" s="211" t="s">
        <v>3173</v>
      </c>
    </row>
    <row r="572" spans="1:13" ht="19.5">
      <c r="A572" s="158">
        <v>296</v>
      </c>
      <c r="B572" s="2" t="s">
        <v>417</v>
      </c>
      <c r="C572" s="1" t="s">
        <v>429</v>
      </c>
      <c r="D572" s="4">
        <v>19132</v>
      </c>
      <c r="E572" s="63">
        <v>1200</v>
      </c>
      <c r="F572" s="1129" t="s">
        <v>1572</v>
      </c>
      <c r="G572" s="1" t="s">
        <v>45</v>
      </c>
      <c r="H572" s="1"/>
      <c r="I572" s="1"/>
      <c r="J572" s="1"/>
      <c r="K572" s="1"/>
      <c r="L572" s="1"/>
      <c r="M572" s="211" t="s">
        <v>3173</v>
      </c>
    </row>
    <row r="573" spans="1:13" ht="19.5">
      <c r="A573" s="158">
        <v>297</v>
      </c>
      <c r="B573" s="2" t="s">
        <v>417</v>
      </c>
      <c r="C573" s="1" t="s">
        <v>430</v>
      </c>
      <c r="D573" s="4">
        <v>19132</v>
      </c>
      <c r="E573" s="63">
        <v>1200</v>
      </c>
      <c r="F573" s="1127" t="s">
        <v>2433</v>
      </c>
      <c r="G573" s="1" t="s">
        <v>45</v>
      </c>
      <c r="H573" s="1"/>
      <c r="I573" s="1"/>
      <c r="J573" s="1"/>
      <c r="K573" s="1"/>
      <c r="L573" s="1"/>
      <c r="M573" s="211"/>
    </row>
    <row r="574" spans="1:13" ht="19.5">
      <c r="A574" s="158">
        <v>298</v>
      </c>
      <c r="B574" s="2" t="s">
        <v>1050</v>
      </c>
      <c r="C574" s="1" t="s">
        <v>1051</v>
      </c>
      <c r="D574" s="4">
        <v>19041</v>
      </c>
      <c r="E574" s="1077">
        <v>1960</v>
      </c>
      <c r="F574" s="939" t="s">
        <v>999</v>
      </c>
      <c r="G574" s="1" t="s">
        <v>45</v>
      </c>
      <c r="H574" s="1"/>
      <c r="I574" s="1"/>
      <c r="J574" s="1"/>
      <c r="K574" s="1"/>
      <c r="L574" s="1"/>
      <c r="M574" s="211"/>
    </row>
    <row r="575" spans="1:13" ht="19.5">
      <c r="A575" s="158">
        <v>299</v>
      </c>
      <c r="B575" s="2" t="s">
        <v>1050</v>
      </c>
      <c r="C575" s="1" t="s">
        <v>1052</v>
      </c>
      <c r="D575" s="4">
        <v>19041</v>
      </c>
      <c r="E575" s="1077">
        <v>1960</v>
      </c>
      <c r="F575" s="939" t="s">
        <v>999</v>
      </c>
      <c r="G575" s="1" t="s">
        <v>45</v>
      </c>
      <c r="H575" s="1"/>
      <c r="I575" s="1"/>
      <c r="J575" s="1"/>
      <c r="K575" s="1"/>
      <c r="L575" s="1"/>
      <c r="M575" s="211"/>
    </row>
    <row r="576" spans="1:13" ht="19.5">
      <c r="A576" s="158">
        <v>300</v>
      </c>
      <c r="B576" s="2" t="s">
        <v>1050</v>
      </c>
      <c r="C576" s="1" t="s">
        <v>1053</v>
      </c>
      <c r="D576" s="4">
        <v>19041</v>
      </c>
      <c r="E576" s="1077">
        <v>1960</v>
      </c>
      <c r="F576" s="939" t="s">
        <v>999</v>
      </c>
      <c r="G576" s="1" t="s">
        <v>45</v>
      </c>
      <c r="H576" s="1"/>
      <c r="I576" s="1"/>
      <c r="J576" s="1"/>
      <c r="K576" s="1"/>
      <c r="L576" s="1"/>
      <c r="M576" s="211"/>
    </row>
    <row r="577" spans="1:13" ht="19.5">
      <c r="A577" s="158">
        <v>301</v>
      </c>
      <c r="B577" s="2" t="s">
        <v>1050</v>
      </c>
      <c r="C577" s="1" t="s">
        <v>1054</v>
      </c>
      <c r="D577" s="4">
        <v>19041</v>
      </c>
      <c r="E577" s="1077">
        <v>1960</v>
      </c>
      <c r="F577" s="939" t="s">
        <v>999</v>
      </c>
      <c r="G577" s="1" t="s">
        <v>45</v>
      </c>
      <c r="H577" s="1"/>
      <c r="I577" s="1"/>
      <c r="J577" s="1"/>
      <c r="K577" s="1"/>
      <c r="L577" s="1"/>
      <c r="M577" s="211"/>
    </row>
    <row r="578" spans="1:13" ht="19.5">
      <c r="A578" s="158">
        <v>302</v>
      </c>
      <c r="B578" s="2" t="s">
        <v>1050</v>
      </c>
      <c r="C578" s="1" t="s">
        <v>1055</v>
      </c>
      <c r="D578" s="4">
        <v>19041</v>
      </c>
      <c r="E578" s="1077">
        <v>1960</v>
      </c>
      <c r="F578" s="939" t="s">
        <v>999</v>
      </c>
      <c r="G578" s="1" t="s">
        <v>45</v>
      </c>
      <c r="H578" s="1"/>
      <c r="I578" s="1"/>
      <c r="J578" s="1"/>
      <c r="K578" s="1"/>
      <c r="L578" s="1"/>
      <c r="M578" s="211"/>
    </row>
    <row r="579" spans="1:13" ht="19.5">
      <c r="A579" s="158">
        <v>303</v>
      </c>
      <c r="B579" s="2" t="s">
        <v>1050</v>
      </c>
      <c r="C579" s="1" t="s">
        <v>1056</v>
      </c>
      <c r="D579" s="4">
        <v>19041</v>
      </c>
      <c r="E579" s="1077">
        <v>1960</v>
      </c>
      <c r="F579" s="939" t="s">
        <v>999</v>
      </c>
      <c r="G579" s="1" t="s">
        <v>45</v>
      </c>
      <c r="H579" s="1"/>
      <c r="I579" s="1"/>
      <c r="J579" s="1"/>
      <c r="K579" s="1"/>
      <c r="L579" s="1"/>
      <c r="M579" s="211"/>
    </row>
    <row r="580" spans="1:13" ht="19.5">
      <c r="A580" s="158">
        <v>304</v>
      </c>
      <c r="B580" s="2" t="s">
        <v>1050</v>
      </c>
      <c r="C580" s="1" t="s">
        <v>1057</v>
      </c>
      <c r="D580" s="4">
        <v>19041</v>
      </c>
      <c r="E580" s="1077">
        <v>1960</v>
      </c>
      <c r="F580" s="939" t="s">
        <v>999</v>
      </c>
      <c r="G580" s="1" t="s">
        <v>45</v>
      </c>
      <c r="H580" s="1"/>
      <c r="I580" s="1"/>
      <c r="J580" s="1"/>
      <c r="K580" s="1"/>
      <c r="L580" s="1"/>
      <c r="M580" s="211"/>
    </row>
    <row r="581" spans="1:13" ht="19.5">
      <c r="A581" s="158">
        <v>305</v>
      </c>
      <c r="B581" s="2" t="s">
        <v>1050</v>
      </c>
      <c r="C581" s="1" t="s">
        <v>1058</v>
      </c>
      <c r="D581" s="4">
        <v>19041</v>
      </c>
      <c r="E581" s="1077">
        <v>1960</v>
      </c>
      <c r="F581" s="939" t="s">
        <v>999</v>
      </c>
      <c r="G581" s="1" t="s">
        <v>45</v>
      </c>
      <c r="H581" s="1"/>
      <c r="I581" s="1"/>
      <c r="J581" s="1"/>
      <c r="K581" s="1"/>
      <c r="L581" s="1"/>
      <c r="M581" s="211"/>
    </row>
    <row r="582" spans="1:13" ht="19.5">
      <c r="A582" s="158">
        <v>306</v>
      </c>
      <c r="B582" s="2" t="s">
        <v>1050</v>
      </c>
      <c r="C582" s="1" t="s">
        <v>1059</v>
      </c>
      <c r="D582" s="4">
        <v>19041</v>
      </c>
      <c r="E582" s="1077">
        <v>1960</v>
      </c>
      <c r="F582" s="939" t="s">
        <v>999</v>
      </c>
      <c r="G582" s="1" t="s">
        <v>45</v>
      </c>
      <c r="H582" s="1"/>
      <c r="I582" s="1"/>
      <c r="J582" s="1"/>
      <c r="K582" s="1"/>
      <c r="L582" s="1"/>
      <c r="M582" s="211"/>
    </row>
    <row r="583" spans="1:13" ht="19.5">
      <c r="A583" s="158">
        <v>307</v>
      </c>
      <c r="B583" s="2" t="s">
        <v>1050</v>
      </c>
      <c r="C583" s="1" t="s">
        <v>1060</v>
      </c>
      <c r="D583" s="4">
        <v>19041</v>
      </c>
      <c r="E583" s="1077">
        <v>1960</v>
      </c>
      <c r="F583" s="939" t="s">
        <v>999</v>
      </c>
      <c r="G583" s="1" t="s">
        <v>45</v>
      </c>
      <c r="H583" s="1"/>
      <c r="I583" s="1"/>
      <c r="J583" s="1"/>
      <c r="K583" s="1"/>
      <c r="L583" s="1"/>
      <c r="M583" s="211"/>
    </row>
    <row r="584" spans="1:13" ht="19.5">
      <c r="A584" s="158">
        <v>308</v>
      </c>
      <c r="B584" s="2" t="s">
        <v>1050</v>
      </c>
      <c r="C584" s="1" t="s">
        <v>1061</v>
      </c>
      <c r="D584" s="4">
        <v>19041</v>
      </c>
      <c r="E584" s="1077">
        <v>1960</v>
      </c>
      <c r="F584" s="939" t="s">
        <v>999</v>
      </c>
      <c r="G584" s="1" t="s">
        <v>45</v>
      </c>
      <c r="H584" s="1"/>
      <c r="I584" s="1"/>
      <c r="J584" s="1"/>
      <c r="K584" s="1"/>
      <c r="L584" s="1"/>
      <c r="M584" s="211"/>
    </row>
    <row r="585" spans="1:13" ht="19.5">
      <c r="A585" s="158">
        <v>309</v>
      </c>
      <c r="B585" s="2" t="s">
        <v>1050</v>
      </c>
      <c r="C585" s="1" t="s">
        <v>1062</v>
      </c>
      <c r="D585" s="4">
        <v>19041</v>
      </c>
      <c r="E585" s="1077">
        <v>1960</v>
      </c>
      <c r="F585" s="939" t="s">
        <v>999</v>
      </c>
      <c r="G585" s="1" t="s">
        <v>45</v>
      </c>
      <c r="H585" s="1"/>
      <c r="I585" s="1"/>
      <c r="J585" s="1"/>
      <c r="K585" s="1"/>
      <c r="L585" s="1"/>
      <c r="M585" s="211"/>
    </row>
    <row r="586" spans="1:13" ht="19.5">
      <c r="A586" s="158">
        <v>310</v>
      </c>
      <c r="B586" s="2" t="s">
        <v>1050</v>
      </c>
      <c r="C586" s="1" t="s">
        <v>1063</v>
      </c>
      <c r="D586" s="4">
        <v>19041</v>
      </c>
      <c r="E586" s="1077">
        <v>1960</v>
      </c>
      <c r="F586" s="939" t="s">
        <v>999</v>
      </c>
      <c r="G586" s="1" t="s">
        <v>45</v>
      </c>
      <c r="H586" s="1"/>
      <c r="I586" s="1"/>
      <c r="J586" s="1"/>
      <c r="K586" s="1"/>
      <c r="L586" s="1"/>
      <c r="M586" s="211"/>
    </row>
    <row r="587" spans="1:13" ht="19.5">
      <c r="A587" s="158">
        <v>311</v>
      </c>
      <c r="B587" s="2" t="s">
        <v>1050</v>
      </c>
      <c r="C587" s="1" t="s">
        <v>1064</v>
      </c>
      <c r="D587" s="4">
        <v>19041</v>
      </c>
      <c r="E587" s="1077">
        <v>1960</v>
      </c>
      <c r="F587" s="939" t="s">
        <v>999</v>
      </c>
      <c r="G587" s="1" t="s">
        <v>45</v>
      </c>
      <c r="H587" s="1"/>
      <c r="I587" s="1"/>
      <c r="J587" s="1"/>
      <c r="K587" s="1"/>
      <c r="L587" s="1"/>
      <c r="M587" s="211"/>
    </row>
    <row r="588" spans="1:13" ht="19.5">
      <c r="A588" s="158">
        <v>312</v>
      </c>
      <c r="B588" s="2" t="s">
        <v>1050</v>
      </c>
      <c r="C588" s="1" t="s">
        <v>1065</v>
      </c>
      <c r="D588" s="4">
        <v>19041</v>
      </c>
      <c r="E588" s="1077">
        <v>1960</v>
      </c>
      <c r="F588" s="939" t="s">
        <v>999</v>
      </c>
      <c r="G588" s="1" t="s">
        <v>45</v>
      </c>
      <c r="H588" s="1"/>
      <c r="I588" s="1"/>
      <c r="J588" s="1"/>
      <c r="K588" s="1"/>
      <c r="L588" s="1"/>
      <c r="M588" s="211"/>
    </row>
    <row r="589" spans="1:13" ht="19.5">
      <c r="A589" s="158">
        <v>313</v>
      </c>
      <c r="B589" s="2" t="s">
        <v>1050</v>
      </c>
      <c r="C589" s="1" t="s">
        <v>1066</v>
      </c>
      <c r="D589" s="4">
        <v>19041</v>
      </c>
      <c r="E589" s="1077">
        <v>1960</v>
      </c>
      <c r="F589" s="939" t="s">
        <v>999</v>
      </c>
      <c r="G589" s="1" t="s">
        <v>45</v>
      </c>
      <c r="H589" s="1"/>
      <c r="I589" s="1"/>
      <c r="J589" s="1"/>
      <c r="K589" s="1"/>
      <c r="L589" s="1"/>
      <c r="M589" s="211"/>
    </row>
    <row r="590" spans="1:13" ht="19.5">
      <c r="A590" s="158">
        <v>314</v>
      </c>
      <c r="B590" s="2" t="s">
        <v>1050</v>
      </c>
      <c r="C590" s="1" t="s">
        <v>1067</v>
      </c>
      <c r="D590" s="4">
        <v>19041</v>
      </c>
      <c r="E590" s="1077">
        <v>1960</v>
      </c>
      <c r="F590" s="939" t="s">
        <v>999</v>
      </c>
      <c r="G590" s="1" t="s">
        <v>45</v>
      </c>
      <c r="H590" s="1"/>
      <c r="I590" s="1"/>
      <c r="J590" s="1"/>
      <c r="K590" s="1"/>
      <c r="L590" s="1"/>
      <c r="M590" s="211"/>
    </row>
    <row r="591" spans="1:13" ht="19.5">
      <c r="A591" s="158">
        <v>315</v>
      </c>
      <c r="B591" s="2" t="s">
        <v>1050</v>
      </c>
      <c r="C591" s="1" t="s">
        <v>1068</v>
      </c>
      <c r="D591" s="4">
        <v>19041</v>
      </c>
      <c r="E591" s="1077">
        <v>1960</v>
      </c>
      <c r="F591" s="939" t="s">
        <v>999</v>
      </c>
      <c r="G591" s="1" t="s">
        <v>45</v>
      </c>
      <c r="H591" s="1"/>
      <c r="I591" s="1"/>
      <c r="J591" s="1"/>
      <c r="K591" s="1"/>
      <c r="L591" s="1"/>
      <c r="M591" s="211"/>
    </row>
    <row r="592" spans="1:13" ht="19.5">
      <c r="A592" s="158">
        <v>316</v>
      </c>
      <c r="B592" s="2" t="s">
        <v>1050</v>
      </c>
      <c r="C592" s="1" t="s">
        <v>1069</v>
      </c>
      <c r="D592" s="4">
        <v>19041</v>
      </c>
      <c r="E592" s="1077">
        <v>1960</v>
      </c>
      <c r="F592" s="939" t="s">
        <v>999</v>
      </c>
      <c r="G592" s="1" t="s">
        <v>45</v>
      </c>
      <c r="H592" s="1"/>
      <c r="I592" s="1"/>
      <c r="J592" s="1"/>
      <c r="K592" s="1"/>
      <c r="L592" s="1"/>
      <c r="M592" s="211"/>
    </row>
    <row r="593" spans="1:13" ht="19.5">
      <c r="A593" s="158">
        <v>317</v>
      </c>
      <c r="B593" s="2" t="s">
        <v>1050</v>
      </c>
      <c r="C593" s="1" t="s">
        <v>1070</v>
      </c>
      <c r="D593" s="4">
        <v>19041</v>
      </c>
      <c r="E593" s="1077">
        <v>1960</v>
      </c>
      <c r="F593" s="939" t="s">
        <v>999</v>
      </c>
      <c r="G593" s="1" t="s">
        <v>45</v>
      </c>
      <c r="H593" s="1"/>
      <c r="I593" s="1"/>
      <c r="J593" s="1"/>
      <c r="K593" s="1"/>
      <c r="L593" s="1"/>
      <c r="M593" s="211"/>
    </row>
    <row r="594" spans="1:13" ht="19.5">
      <c r="A594" s="158">
        <v>318</v>
      </c>
      <c r="B594" s="2" t="s">
        <v>1050</v>
      </c>
      <c r="C594" s="1" t="s">
        <v>1071</v>
      </c>
      <c r="D594" s="4">
        <v>19041</v>
      </c>
      <c r="E594" s="1077">
        <v>1960</v>
      </c>
      <c r="F594" s="939" t="s">
        <v>999</v>
      </c>
      <c r="G594" s="1" t="s">
        <v>45</v>
      </c>
      <c r="H594" s="1"/>
      <c r="I594" s="1"/>
      <c r="J594" s="1"/>
      <c r="K594" s="1"/>
      <c r="L594" s="1"/>
      <c r="M594" s="211"/>
    </row>
    <row r="595" spans="1:13" ht="19.5">
      <c r="A595" s="158">
        <v>319</v>
      </c>
      <c r="B595" s="2" t="s">
        <v>1050</v>
      </c>
      <c r="C595" s="1" t="s">
        <v>1072</v>
      </c>
      <c r="D595" s="4">
        <v>19041</v>
      </c>
      <c r="E595" s="1077">
        <v>1960</v>
      </c>
      <c r="F595" s="939" t="s">
        <v>999</v>
      </c>
      <c r="G595" s="1" t="s">
        <v>45</v>
      </c>
      <c r="H595" s="1"/>
      <c r="I595" s="1"/>
      <c r="J595" s="1"/>
      <c r="K595" s="1"/>
      <c r="L595" s="1"/>
      <c r="M595" s="211"/>
    </row>
    <row r="596" spans="1:13" ht="19.5">
      <c r="A596" s="158">
        <v>320</v>
      </c>
      <c r="B596" s="2" t="s">
        <v>1050</v>
      </c>
      <c r="C596" s="1" t="s">
        <v>1073</v>
      </c>
      <c r="D596" s="4">
        <v>19041</v>
      </c>
      <c r="E596" s="1077">
        <v>1960</v>
      </c>
      <c r="F596" s="939" t="s">
        <v>999</v>
      </c>
      <c r="G596" s="1" t="s">
        <v>45</v>
      </c>
      <c r="H596" s="1"/>
      <c r="I596" s="1"/>
      <c r="J596" s="1"/>
      <c r="K596" s="1"/>
      <c r="L596" s="1"/>
      <c r="M596" s="211"/>
    </row>
    <row r="597" spans="1:13" ht="19.5">
      <c r="A597" s="158">
        <v>321</v>
      </c>
      <c r="B597" s="2" t="s">
        <v>1050</v>
      </c>
      <c r="C597" s="1" t="s">
        <v>1074</v>
      </c>
      <c r="D597" s="4">
        <v>19041</v>
      </c>
      <c r="E597" s="1077">
        <v>1960</v>
      </c>
      <c r="F597" s="939" t="s">
        <v>999</v>
      </c>
      <c r="G597" s="1" t="s">
        <v>45</v>
      </c>
      <c r="H597" s="1"/>
      <c r="I597" s="1"/>
      <c r="J597" s="1"/>
      <c r="K597" s="1"/>
      <c r="L597" s="1"/>
      <c r="M597" s="211"/>
    </row>
    <row r="598" spans="1:13" ht="19.5">
      <c r="A598" s="158">
        <v>322</v>
      </c>
      <c r="B598" s="2" t="s">
        <v>1050</v>
      </c>
      <c r="C598" s="1" t="s">
        <v>1075</v>
      </c>
      <c r="D598" s="4">
        <v>19041</v>
      </c>
      <c r="E598" s="1077">
        <v>1960</v>
      </c>
      <c r="F598" s="939" t="s">
        <v>999</v>
      </c>
      <c r="G598" s="1" t="s">
        <v>45</v>
      </c>
      <c r="H598" s="1"/>
      <c r="I598" s="1"/>
      <c r="J598" s="1"/>
      <c r="K598" s="1"/>
      <c r="L598" s="1"/>
      <c r="M598" s="211"/>
    </row>
    <row r="599" spans="1:13" ht="19.5">
      <c r="A599" s="158">
        <v>323</v>
      </c>
      <c r="B599" s="2" t="s">
        <v>1050</v>
      </c>
      <c r="C599" s="1" t="s">
        <v>1076</v>
      </c>
      <c r="D599" s="4">
        <v>19041</v>
      </c>
      <c r="E599" s="1077">
        <v>1960</v>
      </c>
      <c r="F599" s="939" t="s">
        <v>999</v>
      </c>
      <c r="G599" s="1" t="s">
        <v>45</v>
      </c>
      <c r="H599" s="1"/>
      <c r="I599" s="1"/>
      <c r="J599" s="1"/>
      <c r="K599" s="1"/>
      <c r="L599" s="1"/>
      <c r="M599" s="211" t="s">
        <v>3453</v>
      </c>
    </row>
    <row r="600" spans="1:13" ht="19.5">
      <c r="A600" s="158">
        <v>324</v>
      </c>
      <c r="B600" s="2" t="s">
        <v>1050</v>
      </c>
      <c r="C600" s="1" t="s">
        <v>1077</v>
      </c>
      <c r="D600" s="4">
        <v>19041</v>
      </c>
      <c r="E600" s="1077">
        <v>1960</v>
      </c>
      <c r="F600" s="939" t="s">
        <v>999</v>
      </c>
      <c r="G600" s="1" t="s">
        <v>45</v>
      </c>
      <c r="H600" s="1"/>
      <c r="I600" s="1"/>
      <c r="J600" s="1"/>
      <c r="K600" s="1"/>
      <c r="L600" s="1"/>
      <c r="M600" s="211"/>
    </row>
    <row r="601" spans="1:13" ht="19.5">
      <c r="A601" s="158">
        <v>325</v>
      </c>
      <c r="B601" s="2" t="s">
        <v>1050</v>
      </c>
      <c r="C601" s="1" t="s">
        <v>1078</v>
      </c>
      <c r="D601" s="4">
        <v>19041</v>
      </c>
      <c r="E601" s="1077">
        <v>1960</v>
      </c>
      <c r="F601" s="939" t="s">
        <v>999</v>
      </c>
      <c r="G601" s="1" t="s">
        <v>45</v>
      </c>
      <c r="H601" s="1"/>
      <c r="I601" s="1"/>
      <c r="J601" s="1"/>
      <c r="K601" s="1"/>
      <c r="L601" s="1"/>
      <c r="M601" s="211"/>
    </row>
    <row r="602" spans="1:13" ht="19.5">
      <c r="A602" s="158">
        <v>326</v>
      </c>
      <c r="B602" s="2" t="s">
        <v>1050</v>
      </c>
      <c r="C602" s="1" t="s">
        <v>1079</v>
      </c>
      <c r="D602" s="4">
        <v>19041</v>
      </c>
      <c r="E602" s="1077">
        <v>1960</v>
      </c>
      <c r="F602" s="939" t="s">
        <v>999</v>
      </c>
      <c r="G602" s="1" t="s">
        <v>45</v>
      </c>
      <c r="H602" s="1"/>
      <c r="I602" s="1"/>
      <c r="J602" s="1"/>
      <c r="K602" s="1"/>
      <c r="L602" s="1"/>
      <c r="M602" s="211"/>
    </row>
    <row r="603" spans="1:13" ht="19.5">
      <c r="A603" s="158">
        <v>327</v>
      </c>
      <c r="B603" s="2" t="s">
        <v>1050</v>
      </c>
      <c r="C603" s="1" t="s">
        <v>1080</v>
      </c>
      <c r="D603" s="4">
        <v>19041</v>
      </c>
      <c r="E603" s="1077">
        <v>1960</v>
      </c>
      <c r="F603" s="939" t="s">
        <v>999</v>
      </c>
      <c r="G603" s="1" t="s">
        <v>45</v>
      </c>
      <c r="H603" s="1"/>
      <c r="I603" s="1"/>
      <c r="J603" s="1"/>
      <c r="K603" s="1"/>
      <c r="L603" s="1"/>
      <c r="M603" s="211"/>
    </row>
    <row r="604" spans="1:13" ht="19.5">
      <c r="A604" s="158">
        <v>328</v>
      </c>
      <c r="B604" s="2" t="s">
        <v>1050</v>
      </c>
      <c r="C604" s="1" t="s">
        <v>1081</v>
      </c>
      <c r="D604" s="4">
        <v>19041</v>
      </c>
      <c r="E604" s="1077">
        <v>1960</v>
      </c>
      <c r="F604" s="939" t="s">
        <v>999</v>
      </c>
      <c r="G604" s="1" t="s">
        <v>45</v>
      </c>
      <c r="H604" s="1"/>
      <c r="I604" s="1"/>
      <c r="J604" s="1"/>
      <c r="K604" s="1"/>
      <c r="L604" s="1"/>
      <c r="M604" s="211"/>
    </row>
    <row r="605" spans="1:13" ht="19.5">
      <c r="A605" s="158">
        <v>329</v>
      </c>
      <c r="B605" s="2" t="s">
        <v>1050</v>
      </c>
      <c r="C605" s="1" t="s">
        <v>1082</v>
      </c>
      <c r="D605" s="4">
        <v>19041</v>
      </c>
      <c r="E605" s="1077">
        <v>1960</v>
      </c>
      <c r="F605" s="939" t="s">
        <v>999</v>
      </c>
      <c r="G605" s="1" t="s">
        <v>45</v>
      </c>
      <c r="H605" s="1"/>
      <c r="I605" s="1"/>
      <c r="J605" s="1"/>
      <c r="K605" s="1"/>
      <c r="L605" s="1"/>
      <c r="M605" s="524"/>
    </row>
    <row r="606" spans="1:13" ht="19.5">
      <c r="A606" s="158">
        <v>330</v>
      </c>
      <c r="B606" s="2" t="s">
        <v>1050</v>
      </c>
      <c r="C606" s="1" t="s">
        <v>1083</v>
      </c>
      <c r="D606" s="4">
        <v>19041</v>
      </c>
      <c r="E606" s="1077">
        <v>1960</v>
      </c>
      <c r="F606" s="939" t="s">
        <v>999</v>
      </c>
      <c r="G606" s="1" t="s">
        <v>45</v>
      </c>
      <c r="H606" s="1"/>
      <c r="I606" s="1"/>
      <c r="J606" s="1"/>
      <c r="K606" s="1"/>
      <c r="L606" s="1"/>
      <c r="M606" s="211"/>
    </row>
    <row r="607" spans="1:13" ht="19.5">
      <c r="A607" s="158">
        <v>331</v>
      </c>
      <c r="B607" s="2" t="s">
        <v>1050</v>
      </c>
      <c r="C607" s="1" t="s">
        <v>1084</v>
      </c>
      <c r="D607" s="4">
        <v>19041</v>
      </c>
      <c r="E607" s="1077">
        <v>1960</v>
      </c>
      <c r="F607" s="939" t="s">
        <v>999</v>
      </c>
      <c r="G607" s="1" t="s">
        <v>45</v>
      </c>
      <c r="H607" s="1"/>
      <c r="I607" s="1"/>
      <c r="J607" s="1"/>
      <c r="K607" s="1"/>
      <c r="L607" s="1"/>
      <c r="M607" s="211"/>
    </row>
    <row r="608" spans="1:13" ht="19.5">
      <c r="A608" s="158">
        <v>332</v>
      </c>
      <c r="B608" s="2" t="s">
        <v>1050</v>
      </c>
      <c r="C608" s="1" t="s">
        <v>1085</v>
      </c>
      <c r="D608" s="4">
        <v>19041</v>
      </c>
      <c r="E608" s="1077">
        <v>1960</v>
      </c>
      <c r="F608" s="939" t="s">
        <v>999</v>
      </c>
      <c r="G608" s="1" t="s">
        <v>45</v>
      </c>
      <c r="H608" s="1"/>
      <c r="I608" s="1"/>
      <c r="J608" s="1"/>
      <c r="K608" s="1"/>
      <c r="L608" s="1"/>
      <c r="M608" s="211" t="s">
        <v>3453</v>
      </c>
    </row>
    <row r="609" spans="1:13" ht="19.5">
      <c r="A609" s="158">
        <v>333</v>
      </c>
      <c r="B609" s="2" t="s">
        <v>1050</v>
      </c>
      <c r="C609" s="1" t="s">
        <v>1086</v>
      </c>
      <c r="D609" s="4">
        <v>19041</v>
      </c>
      <c r="E609" s="1077">
        <v>1960</v>
      </c>
      <c r="F609" s="939" t="s">
        <v>999</v>
      </c>
      <c r="G609" s="1" t="s">
        <v>45</v>
      </c>
      <c r="H609" s="1"/>
      <c r="I609" s="1"/>
      <c r="J609" s="1"/>
      <c r="K609" s="1"/>
      <c r="L609" s="1"/>
      <c r="M609" s="211"/>
    </row>
    <row r="610" spans="1:13" ht="19.5">
      <c r="A610" s="158">
        <v>334</v>
      </c>
      <c r="B610" s="2" t="s">
        <v>1087</v>
      </c>
      <c r="C610" s="1" t="s">
        <v>1088</v>
      </c>
      <c r="D610" s="4">
        <v>19041</v>
      </c>
      <c r="E610" s="1077">
        <v>2730</v>
      </c>
      <c r="F610" s="939" t="s">
        <v>999</v>
      </c>
      <c r="G610" s="1" t="s">
        <v>45</v>
      </c>
      <c r="H610" s="1"/>
      <c r="I610" s="1"/>
      <c r="J610" s="1"/>
      <c r="K610" s="1"/>
      <c r="L610" s="1"/>
      <c r="M610" s="211" t="s">
        <v>3453</v>
      </c>
    </row>
    <row r="611" spans="1:13" ht="19.5">
      <c r="A611" s="158">
        <v>335</v>
      </c>
      <c r="B611" s="2" t="s">
        <v>1087</v>
      </c>
      <c r="C611" s="1" t="s">
        <v>1089</v>
      </c>
      <c r="D611" s="4">
        <v>19041</v>
      </c>
      <c r="E611" s="1077">
        <v>2730</v>
      </c>
      <c r="F611" s="939" t="s">
        <v>999</v>
      </c>
      <c r="G611" s="1" t="s">
        <v>45</v>
      </c>
      <c r="H611" s="1"/>
      <c r="I611" s="1"/>
      <c r="J611" s="1"/>
      <c r="K611" s="1"/>
      <c r="L611" s="1"/>
      <c r="M611" s="211" t="s">
        <v>3503</v>
      </c>
    </row>
    <row r="612" spans="1:13" ht="19.5">
      <c r="A612" s="158">
        <v>336</v>
      </c>
      <c r="B612" s="2" t="s">
        <v>1087</v>
      </c>
      <c r="C612" s="1" t="s">
        <v>1090</v>
      </c>
      <c r="D612" s="4">
        <v>19041</v>
      </c>
      <c r="E612" s="1077">
        <v>2730</v>
      </c>
      <c r="F612" s="939" t="s">
        <v>999</v>
      </c>
      <c r="G612" s="1" t="s">
        <v>45</v>
      </c>
      <c r="H612" s="1"/>
      <c r="I612" s="1"/>
      <c r="J612" s="1"/>
      <c r="K612" s="1"/>
      <c r="L612" s="1"/>
      <c r="M612" s="211" t="s">
        <v>3504</v>
      </c>
    </row>
    <row r="613" spans="1:13" ht="19.5">
      <c r="A613" s="158">
        <v>337</v>
      </c>
      <c r="B613" s="2" t="s">
        <v>1087</v>
      </c>
      <c r="C613" s="1" t="s">
        <v>1091</v>
      </c>
      <c r="D613" s="4">
        <v>19041</v>
      </c>
      <c r="E613" s="1077">
        <v>2730</v>
      </c>
      <c r="F613" s="939" t="s">
        <v>999</v>
      </c>
      <c r="G613" s="1" t="s">
        <v>45</v>
      </c>
      <c r="H613" s="223"/>
      <c r="I613" s="223"/>
      <c r="J613" s="223"/>
      <c r="K613" s="223"/>
      <c r="L613" s="223"/>
      <c r="M613" s="211"/>
    </row>
    <row r="614" spans="1:13" ht="19.5">
      <c r="A614" s="158">
        <v>338</v>
      </c>
      <c r="B614" s="2" t="s">
        <v>1087</v>
      </c>
      <c r="C614" s="1" t="s">
        <v>1092</v>
      </c>
      <c r="D614" s="4">
        <v>19041</v>
      </c>
      <c r="E614" s="1077">
        <v>2730</v>
      </c>
      <c r="F614" s="939" t="s">
        <v>999</v>
      </c>
      <c r="G614" s="1" t="s">
        <v>45</v>
      </c>
      <c r="H614" s="223"/>
      <c r="I614" s="223"/>
      <c r="J614" s="223"/>
      <c r="K614" s="223"/>
      <c r="L614" s="223"/>
      <c r="M614" s="211" t="s">
        <v>3505</v>
      </c>
    </row>
    <row r="615" spans="1:13" ht="19.5">
      <c r="A615" s="158">
        <v>339</v>
      </c>
      <c r="B615" s="2" t="s">
        <v>1093</v>
      </c>
      <c r="C615" s="1" t="s">
        <v>1094</v>
      </c>
      <c r="D615" s="4">
        <v>19041</v>
      </c>
      <c r="E615" s="1077">
        <v>2880</v>
      </c>
      <c r="F615" s="939" t="s">
        <v>999</v>
      </c>
      <c r="G615" s="1" t="s">
        <v>45</v>
      </c>
      <c r="H615" s="223"/>
      <c r="I615" s="223"/>
      <c r="J615" s="223"/>
      <c r="K615" s="223"/>
      <c r="L615" s="223"/>
      <c r="M615" s="211"/>
    </row>
    <row r="616" spans="1:13" ht="19.5">
      <c r="A616" s="158">
        <v>340</v>
      </c>
      <c r="B616" s="2" t="s">
        <v>1093</v>
      </c>
      <c r="C616" s="1" t="s">
        <v>1095</v>
      </c>
      <c r="D616" s="4">
        <v>19041</v>
      </c>
      <c r="E616" s="1077">
        <v>2880</v>
      </c>
      <c r="F616" s="939" t="s">
        <v>999</v>
      </c>
      <c r="G616" s="1" t="s">
        <v>45</v>
      </c>
      <c r="H616" s="223"/>
      <c r="I616" s="223"/>
      <c r="J616" s="223"/>
      <c r="K616" s="223"/>
      <c r="L616" s="223"/>
      <c r="M616" s="211"/>
    </row>
    <row r="617" spans="1:13" ht="19.5">
      <c r="A617" s="158">
        <v>341</v>
      </c>
      <c r="B617" s="2" t="s">
        <v>1093</v>
      </c>
      <c r="C617" s="1" t="s">
        <v>1096</v>
      </c>
      <c r="D617" s="4">
        <v>19041</v>
      </c>
      <c r="E617" s="1077">
        <v>2880</v>
      </c>
      <c r="F617" s="939" t="s">
        <v>999</v>
      </c>
      <c r="G617" s="1" t="s">
        <v>45</v>
      </c>
      <c r="H617" s="1"/>
      <c r="I617" s="1"/>
      <c r="J617" s="1"/>
      <c r="K617" s="1"/>
      <c r="L617" s="1"/>
      <c r="M617" s="211"/>
    </row>
    <row r="618" spans="1:13" ht="19.5">
      <c r="A618" s="158">
        <v>342</v>
      </c>
      <c r="B618" s="2" t="s">
        <v>1093</v>
      </c>
      <c r="C618" s="1" t="s">
        <v>1097</v>
      </c>
      <c r="D618" s="4">
        <v>19041</v>
      </c>
      <c r="E618" s="1077">
        <v>2880</v>
      </c>
      <c r="F618" s="939" t="s">
        <v>999</v>
      </c>
      <c r="G618" s="1" t="s">
        <v>45</v>
      </c>
      <c r="H618" s="1"/>
      <c r="I618" s="1"/>
      <c r="J618" s="1"/>
      <c r="K618" s="1"/>
      <c r="L618" s="1"/>
      <c r="M618" s="211"/>
    </row>
    <row r="619" spans="1:13" ht="19.5">
      <c r="A619" s="158">
        <v>343</v>
      </c>
      <c r="B619" s="2" t="s">
        <v>1093</v>
      </c>
      <c r="C619" s="1" t="s">
        <v>1098</v>
      </c>
      <c r="D619" s="4">
        <v>19041</v>
      </c>
      <c r="E619" s="1077">
        <v>2880</v>
      </c>
      <c r="F619" s="939" t="s">
        <v>999</v>
      </c>
      <c r="G619" s="1" t="s">
        <v>45</v>
      </c>
      <c r="H619" s="1"/>
      <c r="I619" s="1"/>
      <c r="J619" s="1"/>
      <c r="K619" s="1"/>
      <c r="L619" s="1"/>
      <c r="M619" s="211"/>
    </row>
    <row r="620" spans="1:13" ht="19.5">
      <c r="A620" s="158">
        <v>344</v>
      </c>
      <c r="B620" s="2" t="s">
        <v>1093</v>
      </c>
      <c r="C620" s="1" t="s">
        <v>1099</v>
      </c>
      <c r="D620" s="4">
        <v>19041</v>
      </c>
      <c r="E620" s="1077">
        <v>2880</v>
      </c>
      <c r="F620" s="939" t="s">
        <v>999</v>
      </c>
      <c r="G620" s="1" t="s">
        <v>45</v>
      </c>
      <c r="H620" s="1"/>
      <c r="I620" s="1"/>
      <c r="J620" s="1"/>
      <c r="K620" s="1"/>
      <c r="L620" s="1"/>
      <c r="M620" s="211"/>
    </row>
    <row r="621" spans="1:13" ht="19.5">
      <c r="A621" s="158">
        <v>345</v>
      </c>
      <c r="B621" s="3" t="s">
        <v>1350</v>
      </c>
      <c r="C621" s="158" t="s">
        <v>1351</v>
      </c>
      <c r="D621" s="4">
        <v>19428</v>
      </c>
      <c r="E621" s="58">
        <v>2200</v>
      </c>
      <c r="F621" s="1156" t="s">
        <v>1265</v>
      </c>
      <c r="G621" s="1" t="s">
        <v>45</v>
      </c>
      <c r="H621" s="1"/>
      <c r="I621" s="1"/>
      <c r="J621" s="1"/>
      <c r="K621" s="1"/>
      <c r="L621" s="1"/>
      <c r="M621" s="211" t="s">
        <v>3170</v>
      </c>
    </row>
    <row r="622" spans="1:13" ht="19.5">
      <c r="A622" s="158">
        <v>346</v>
      </c>
      <c r="B622" s="3" t="s">
        <v>1352</v>
      </c>
      <c r="C622" s="158" t="s">
        <v>1353</v>
      </c>
      <c r="D622" s="4">
        <v>19428</v>
      </c>
      <c r="E622" s="58">
        <v>2200</v>
      </c>
      <c r="F622" s="1156" t="s">
        <v>1265</v>
      </c>
      <c r="G622" s="1" t="s">
        <v>45</v>
      </c>
      <c r="H622" s="1"/>
      <c r="I622" s="1"/>
      <c r="J622" s="1"/>
      <c r="K622" s="1"/>
      <c r="L622" s="1"/>
      <c r="M622" s="211" t="s">
        <v>3178</v>
      </c>
    </row>
    <row r="623" spans="1:13" ht="19.5">
      <c r="A623" s="158">
        <v>347</v>
      </c>
      <c r="B623" s="3" t="s">
        <v>1354</v>
      </c>
      <c r="C623" s="158" t="s">
        <v>1355</v>
      </c>
      <c r="D623" s="4">
        <v>19428</v>
      </c>
      <c r="E623" s="58">
        <v>2200</v>
      </c>
      <c r="F623" s="1156" t="s">
        <v>1265</v>
      </c>
      <c r="G623" s="1" t="s">
        <v>45</v>
      </c>
      <c r="H623" s="1"/>
      <c r="I623" s="1"/>
      <c r="J623" s="1"/>
      <c r="K623" s="1"/>
      <c r="L623" s="1"/>
      <c r="M623" s="211" t="s">
        <v>3184</v>
      </c>
    </row>
    <row r="624" spans="1:13" ht="19.5">
      <c r="A624" s="158">
        <v>348</v>
      </c>
      <c r="B624" s="3" t="s">
        <v>1356</v>
      </c>
      <c r="C624" s="158" t="s">
        <v>1357</v>
      </c>
      <c r="D624" s="4">
        <v>19428</v>
      </c>
      <c r="E624" s="58">
        <v>2200</v>
      </c>
      <c r="F624" s="1156" t="s">
        <v>1265</v>
      </c>
      <c r="G624" s="1" t="s">
        <v>45</v>
      </c>
      <c r="H624" s="1"/>
      <c r="I624" s="1"/>
      <c r="J624" s="1"/>
      <c r="K624" s="1"/>
      <c r="L624" s="1"/>
      <c r="M624" s="211" t="s">
        <v>3170</v>
      </c>
    </row>
    <row r="625" spans="1:13" ht="19.5">
      <c r="A625" s="158">
        <v>349</v>
      </c>
      <c r="B625" s="3" t="s">
        <v>1358</v>
      </c>
      <c r="C625" s="158" t="s">
        <v>1359</v>
      </c>
      <c r="D625" s="4">
        <v>19428</v>
      </c>
      <c r="E625" s="58">
        <v>2200</v>
      </c>
      <c r="F625" s="1156" t="s">
        <v>1265</v>
      </c>
      <c r="G625" s="1" t="s">
        <v>45</v>
      </c>
      <c r="H625" s="1"/>
      <c r="I625" s="1"/>
      <c r="J625" s="1"/>
      <c r="K625" s="1"/>
      <c r="L625" s="1"/>
      <c r="M625" s="211" t="s">
        <v>3170</v>
      </c>
    </row>
    <row r="626" spans="1:13" ht="19.5">
      <c r="A626" s="158">
        <v>350</v>
      </c>
      <c r="B626" s="3" t="s">
        <v>1360</v>
      </c>
      <c r="C626" s="158" t="s">
        <v>1361</v>
      </c>
      <c r="D626" s="4">
        <v>19428</v>
      </c>
      <c r="E626" s="58">
        <v>2200</v>
      </c>
      <c r="F626" s="1156" t="s">
        <v>1265</v>
      </c>
      <c r="G626" s="1" t="s">
        <v>45</v>
      </c>
      <c r="H626" s="1"/>
      <c r="I626" s="1"/>
      <c r="J626" s="1"/>
      <c r="K626" s="1"/>
      <c r="L626" s="1"/>
      <c r="M626" s="211" t="s">
        <v>3170</v>
      </c>
    </row>
    <row r="627" spans="1:13" ht="19.5">
      <c r="A627" s="158">
        <v>351</v>
      </c>
      <c r="B627" s="3" t="s">
        <v>1362</v>
      </c>
      <c r="C627" s="158" t="s">
        <v>1363</v>
      </c>
      <c r="D627" s="4">
        <v>19428</v>
      </c>
      <c r="E627" s="58">
        <v>2200</v>
      </c>
      <c r="F627" s="1156" t="s">
        <v>1265</v>
      </c>
      <c r="G627" s="1" t="s">
        <v>45</v>
      </c>
      <c r="H627" s="1"/>
      <c r="I627" s="1"/>
      <c r="J627" s="1"/>
      <c r="K627" s="1"/>
      <c r="L627" s="1"/>
      <c r="M627" s="211" t="s">
        <v>3178</v>
      </c>
    </row>
    <row r="628" spans="1:13" ht="19.5">
      <c r="A628" s="158">
        <v>352</v>
      </c>
      <c r="B628" s="3" t="s">
        <v>1364</v>
      </c>
      <c r="C628" s="158" t="s">
        <v>1365</v>
      </c>
      <c r="D628" s="4">
        <v>19428</v>
      </c>
      <c r="E628" s="58">
        <v>2200</v>
      </c>
      <c r="F628" s="1156" t="s">
        <v>1265</v>
      </c>
      <c r="G628" s="1" t="s">
        <v>45</v>
      </c>
      <c r="H628" s="1"/>
      <c r="I628" s="1"/>
      <c r="J628" s="1"/>
      <c r="K628" s="1"/>
      <c r="L628" s="1"/>
      <c r="M628" s="211" t="s">
        <v>3272</v>
      </c>
    </row>
    <row r="629" spans="1:13" ht="19.5">
      <c r="A629" s="158">
        <v>353</v>
      </c>
      <c r="B629" s="3" t="s">
        <v>1368</v>
      </c>
      <c r="C629" s="158" t="s">
        <v>1369</v>
      </c>
      <c r="D629" s="4">
        <v>19428</v>
      </c>
      <c r="E629" s="58">
        <v>2200</v>
      </c>
      <c r="F629" s="1156" t="s">
        <v>1265</v>
      </c>
      <c r="G629" s="1" t="s">
        <v>45</v>
      </c>
      <c r="H629" s="1"/>
      <c r="I629" s="1"/>
      <c r="J629" s="1"/>
      <c r="K629" s="1"/>
      <c r="L629" s="1"/>
      <c r="M629" s="211" t="s">
        <v>3170</v>
      </c>
    </row>
    <row r="630" spans="1:13" ht="19.5">
      <c r="A630" s="158">
        <v>354</v>
      </c>
      <c r="B630" s="3" t="s">
        <v>1370</v>
      </c>
      <c r="C630" s="158" t="s">
        <v>1371</v>
      </c>
      <c r="D630" s="4">
        <v>19428</v>
      </c>
      <c r="E630" s="58">
        <v>2200</v>
      </c>
      <c r="F630" s="1156" t="s">
        <v>1265</v>
      </c>
      <c r="G630" s="1" t="s">
        <v>45</v>
      </c>
      <c r="H630" s="1"/>
      <c r="I630" s="1"/>
      <c r="J630" s="1"/>
      <c r="K630" s="1"/>
      <c r="L630" s="1"/>
      <c r="M630" s="211" t="s">
        <v>3178</v>
      </c>
    </row>
    <row r="631" spans="1:13" ht="19.5">
      <c r="A631" s="158">
        <v>355</v>
      </c>
      <c r="B631" s="3" t="s">
        <v>1372</v>
      </c>
      <c r="C631" s="158" t="s">
        <v>1373</v>
      </c>
      <c r="D631" s="4">
        <v>19428</v>
      </c>
      <c r="E631" s="58">
        <v>2200</v>
      </c>
      <c r="F631" s="1156" t="s">
        <v>1265</v>
      </c>
      <c r="G631" s="1" t="s">
        <v>45</v>
      </c>
      <c r="H631" s="1"/>
      <c r="I631" s="1"/>
      <c r="J631" s="1"/>
      <c r="K631" s="1"/>
      <c r="L631" s="1"/>
      <c r="M631" s="211" t="s">
        <v>3170</v>
      </c>
    </row>
    <row r="632" spans="1:13" ht="19.5">
      <c r="A632" s="158">
        <v>356</v>
      </c>
      <c r="B632" s="3" t="s">
        <v>1374</v>
      </c>
      <c r="C632" s="158" t="s">
        <v>1375</v>
      </c>
      <c r="D632" s="4">
        <v>19428</v>
      </c>
      <c r="E632" s="58">
        <v>2200</v>
      </c>
      <c r="F632" s="1156" t="s">
        <v>1265</v>
      </c>
      <c r="G632" s="1" t="s">
        <v>45</v>
      </c>
      <c r="H632" s="1"/>
      <c r="I632" s="1"/>
      <c r="J632" s="1"/>
      <c r="K632" s="1"/>
      <c r="L632" s="1"/>
      <c r="M632" s="211" t="s">
        <v>3272</v>
      </c>
    </row>
    <row r="633" spans="1:13" ht="19.5">
      <c r="A633" s="158">
        <v>357</v>
      </c>
      <c r="B633" s="3" t="s">
        <v>1376</v>
      </c>
      <c r="C633" s="158" t="s">
        <v>1377</v>
      </c>
      <c r="D633" s="4">
        <v>19428</v>
      </c>
      <c r="E633" s="58">
        <v>2200</v>
      </c>
      <c r="F633" s="1156" t="s">
        <v>1265</v>
      </c>
      <c r="G633" s="1" t="s">
        <v>45</v>
      </c>
      <c r="H633" s="1"/>
      <c r="I633" s="1"/>
      <c r="J633" s="1"/>
      <c r="K633" s="1"/>
      <c r="L633" s="1"/>
      <c r="M633" s="211" t="s">
        <v>3170</v>
      </c>
    </row>
    <row r="634" spans="1:13" ht="19.5">
      <c r="A634" s="158">
        <v>358</v>
      </c>
      <c r="B634" s="3" t="s">
        <v>1378</v>
      </c>
      <c r="C634" s="158" t="s">
        <v>1379</v>
      </c>
      <c r="D634" s="4">
        <v>19428</v>
      </c>
      <c r="E634" s="58">
        <v>2200</v>
      </c>
      <c r="F634" s="1156" t="s">
        <v>1265</v>
      </c>
      <c r="G634" s="1" t="s">
        <v>45</v>
      </c>
      <c r="H634" s="1"/>
      <c r="I634" s="1"/>
      <c r="J634" s="1"/>
      <c r="K634" s="1"/>
      <c r="L634" s="1"/>
      <c r="M634" s="211" t="s">
        <v>3170</v>
      </c>
    </row>
    <row r="635" spans="1:13" ht="19.5">
      <c r="A635" s="158">
        <v>359</v>
      </c>
      <c r="B635" s="3" t="s">
        <v>1380</v>
      </c>
      <c r="C635" s="158" t="s">
        <v>1381</v>
      </c>
      <c r="D635" s="4">
        <v>19428</v>
      </c>
      <c r="E635" s="58">
        <v>2200</v>
      </c>
      <c r="F635" s="1156" t="s">
        <v>1265</v>
      </c>
      <c r="G635" s="1" t="s">
        <v>45</v>
      </c>
      <c r="H635" s="1"/>
      <c r="I635" s="1"/>
      <c r="J635" s="1"/>
      <c r="K635" s="1"/>
      <c r="L635" s="1"/>
      <c r="M635" s="211" t="s">
        <v>3170</v>
      </c>
    </row>
    <row r="636" spans="1:13" ht="19.5">
      <c r="A636" s="158">
        <v>360</v>
      </c>
      <c r="B636" s="3" t="s">
        <v>1382</v>
      </c>
      <c r="C636" s="158" t="s">
        <v>1383</v>
      </c>
      <c r="D636" s="4">
        <v>19428</v>
      </c>
      <c r="E636" s="58">
        <v>2200</v>
      </c>
      <c r="F636" s="1156" t="s">
        <v>1265</v>
      </c>
      <c r="G636" s="1" t="s">
        <v>45</v>
      </c>
      <c r="H636" s="1"/>
      <c r="I636" s="1"/>
      <c r="J636" s="1"/>
      <c r="K636" s="1"/>
      <c r="L636" s="1"/>
      <c r="M636" s="211" t="s">
        <v>3170</v>
      </c>
    </row>
    <row r="637" spans="1:13" ht="19.5">
      <c r="A637" s="158">
        <v>361</v>
      </c>
      <c r="B637" s="3" t="s">
        <v>1384</v>
      </c>
      <c r="C637" s="158" t="s">
        <v>1385</v>
      </c>
      <c r="D637" s="4">
        <v>19428</v>
      </c>
      <c r="E637" s="58">
        <v>2200</v>
      </c>
      <c r="F637" s="1156" t="s">
        <v>1265</v>
      </c>
      <c r="G637" s="1" t="s">
        <v>45</v>
      </c>
      <c r="H637" s="1"/>
      <c r="I637" s="1"/>
      <c r="J637" s="1"/>
      <c r="K637" s="1"/>
      <c r="L637" s="1"/>
      <c r="M637" s="211" t="s">
        <v>3170</v>
      </c>
    </row>
    <row r="638" spans="1:13" ht="19.5">
      <c r="A638" s="158">
        <v>362</v>
      </c>
      <c r="B638" s="3" t="s">
        <v>1386</v>
      </c>
      <c r="C638" s="158" t="s">
        <v>1387</v>
      </c>
      <c r="D638" s="4">
        <v>19428</v>
      </c>
      <c r="E638" s="58">
        <v>2200</v>
      </c>
      <c r="F638" s="1156" t="s">
        <v>1265</v>
      </c>
      <c r="G638" s="1" t="s">
        <v>45</v>
      </c>
      <c r="H638" s="1"/>
      <c r="I638" s="1"/>
      <c r="J638" s="1"/>
      <c r="K638" s="1"/>
      <c r="L638" s="1"/>
      <c r="M638" s="211" t="s">
        <v>3170</v>
      </c>
    </row>
    <row r="639" spans="1:13" ht="19.5">
      <c r="A639" s="158">
        <v>363</v>
      </c>
      <c r="B639" s="3" t="s">
        <v>1388</v>
      </c>
      <c r="C639" s="158" t="s">
        <v>1389</v>
      </c>
      <c r="D639" s="4">
        <v>19428</v>
      </c>
      <c r="E639" s="58">
        <v>2200</v>
      </c>
      <c r="F639" s="1156" t="s">
        <v>1265</v>
      </c>
      <c r="G639" s="1" t="s">
        <v>45</v>
      </c>
      <c r="H639" s="1"/>
      <c r="I639" s="1"/>
      <c r="J639" s="1"/>
      <c r="K639" s="1"/>
      <c r="L639" s="1"/>
      <c r="M639" s="211" t="s">
        <v>3170</v>
      </c>
    </row>
    <row r="640" spans="1:13" ht="19.5">
      <c r="A640" s="158">
        <v>364</v>
      </c>
      <c r="B640" s="3" t="s">
        <v>1390</v>
      </c>
      <c r="C640" s="158" t="s">
        <v>1391</v>
      </c>
      <c r="D640" s="4">
        <v>19428</v>
      </c>
      <c r="E640" s="58">
        <v>4500</v>
      </c>
      <c r="F640" s="1156" t="s">
        <v>1265</v>
      </c>
      <c r="G640" s="1" t="s">
        <v>45</v>
      </c>
      <c r="H640" s="1"/>
      <c r="I640" s="1"/>
      <c r="J640" s="1"/>
      <c r="K640" s="1"/>
      <c r="L640" s="1"/>
      <c r="M640" s="211" t="s">
        <v>3170</v>
      </c>
    </row>
    <row r="641" spans="1:13" ht="19.5">
      <c r="A641" s="158">
        <v>365</v>
      </c>
      <c r="B641" s="3" t="s">
        <v>1392</v>
      </c>
      <c r="C641" s="158" t="s">
        <v>1393</v>
      </c>
      <c r="D641" s="4">
        <v>19428</v>
      </c>
      <c r="E641" s="58">
        <v>4500</v>
      </c>
      <c r="F641" s="1156" t="s">
        <v>1265</v>
      </c>
      <c r="G641" s="1" t="s">
        <v>45</v>
      </c>
      <c r="H641" s="1"/>
      <c r="I641" s="1"/>
      <c r="J641" s="1"/>
      <c r="K641" s="1"/>
      <c r="L641" s="1"/>
      <c r="M641" s="211" t="s">
        <v>3170</v>
      </c>
    </row>
    <row r="642" spans="1:13" ht="19.5">
      <c r="A642" s="158">
        <v>366</v>
      </c>
      <c r="B642" s="3" t="s">
        <v>1394</v>
      </c>
      <c r="C642" s="158" t="s">
        <v>1395</v>
      </c>
      <c r="D642" s="4">
        <v>19428</v>
      </c>
      <c r="E642" s="58">
        <v>4500</v>
      </c>
      <c r="F642" s="1156" t="s">
        <v>1265</v>
      </c>
      <c r="G642" s="1" t="s">
        <v>45</v>
      </c>
      <c r="H642" s="1"/>
      <c r="I642" s="1"/>
      <c r="J642" s="1"/>
      <c r="K642" s="1"/>
      <c r="L642" s="1"/>
      <c r="M642" s="211" t="s">
        <v>3170</v>
      </c>
    </row>
    <row r="643" spans="1:13" ht="19.5">
      <c r="A643" s="158">
        <v>367</v>
      </c>
      <c r="B643" s="3" t="s">
        <v>1396</v>
      </c>
      <c r="C643" s="158" t="s">
        <v>1397</v>
      </c>
      <c r="D643" s="4">
        <v>19428</v>
      </c>
      <c r="E643" s="58">
        <v>4500</v>
      </c>
      <c r="F643" s="1156" t="s">
        <v>1265</v>
      </c>
      <c r="G643" s="1" t="s">
        <v>45</v>
      </c>
      <c r="H643" s="1"/>
      <c r="I643" s="1"/>
      <c r="J643" s="1"/>
      <c r="K643" s="1"/>
      <c r="L643" s="1"/>
      <c r="M643" s="211" t="s">
        <v>3170</v>
      </c>
    </row>
    <row r="644" spans="1:13" ht="19.5">
      <c r="A644" s="158">
        <v>368</v>
      </c>
      <c r="B644" s="3" t="s">
        <v>1398</v>
      </c>
      <c r="C644" s="158" t="s">
        <v>1399</v>
      </c>
      <c r="D644" s="4">
        <v>19428</v>
      </c>
      <c r="E644" s="58">
        <v>4500</v>
      </c>
      <c r="F644" s="1156" t="s">
        <v>1265</v>
      </c>
      <c r="G644" s="1" t="s">
        <v>45</v>
      </c>
      <c r="H644" s="1"/>
      <c r="I644" s="1"/>
      <c r="J644" s="1"/>
      <c r="K644" s="1"/>
      <c r="L644" s="1"/>
      <c r="M644" s="211" t="s">
        <v>3170</v>
      </c>
    </row>
    <row r="645" spans="1:13" ht="19.5">
      <c r="A645" s="158">
        <v>369</v>
      </c>
      <c r="B645" s="3" t="s">
        <v>1400</v>
      </c>
      <c r="C645" s="158" t="s">
        <v>1401</v>
      </c>
      <c r="D645" s="4">
        <v>19428</v>
      </c>
      <c r="E645" s="58">
        <v>4500</v>
      </c>
      <c r="F645" s="1156" t="s">
        <v>1265</v>
      </c>
      <c r="G645" s="1" t="s">
        <v>45</v>
      </c>
      <c r="H645" s="1"/>
      <c r="I645" s="1"/>
      <c r="J645" s="1"/>
      <c r="K645" s="1"/>
      <c r="L645" s="1"/>
      <c r="M645" s="211" t="s">
        <v>3170</v>
      </c>
    </row>
    <row r="646" spans="1:13" ht="19.5">
      <c r="A646" s="158">
        <v>370</v>
      </c>
      <c r="B646" s="3" t="s">
        <v>1402</v>
      </c>
      <c r="C646" s="158" t="s">
        <v>1403</v>
      </c>
      <c r="D646" s="4">
        <v>19428</v>
      </c>
      <c r="E646" s="58">
        <v>4500</v>
      </c>
      <c r="F646" s="1156" t="s">
        <v>1265</v>
      </c>
      <c r="G646" s="1" t="s">
        <v>45</v>
      </c>
      <c r="H646" s="1"/>
      <c r="I646" s="1"/>
      <c r="J646" s="1"/>
      <c r="K646" s="1"/>
      <c r="L646" s="1"/>
      <c r="M646" s="211" t="s">
        <v>3170</v>
      </c>
    </row>
    <row r="647" spans="1:13" ht="19.5">
      <c r="A647" s="158">
        <v>371</v>
      </c>
      <c r="B647" s="3" t="s">
        <v>1404</v>
      </c>
      <c r="C647" s="158" t="s">
        <v>1405</v>
      </c>
      <c r="D647" s="4">
        <v>19428</v>
      </c>
      <c r="E647" s="58">
        <v>4500</v>
      </c>
      <c r="F647" s="1156" t="s">
        <v>1265</v>
      </c>
      <c r="G647" s="1" t="s">
        <v>45</v>
      </c>
      <c r="H647" s="1"/>
      <c r="I647" s="1"/>
      <c r="J647" s="1"/>
      <c r="K647" s="1"/>
      <c r="L647" s="1"/>
      <c r="M647" s="211" t="s">
        <v>3170</v>
      </c>
    </row>
    <row r="648" spans="1:13" ht="19.5">
      <c r="A648" s="158">
        <v>372</v>
      </c>
      <c r="B648" s="3" t="s">
        <v>1406</v>
      </c>
      <c r="C648" s="158" t="s">
        <v>1407</v>
      </c>
      <c r="D648" s="4">
        <v>19428</v>
      </c>
      <c r="E648" s="58">
        <v>4500</v>
      </c>
      <c r="F648" s="1156" t="s">
        <v>1265</v>
      </c>
      <c r="G648" s="1" t="s">
        <v>45</v>
      </c>
      <c r="H648" s="1"/>
      <c r="I648" s="1"/>
      <c r="J648" s="1"/>
      <c r="K648" s="1"/>
      <c r="L648" s="1"/>
      <c r="M648" s="211" t="s">
        <v>3170</v>
      </c>
    </row>
    <row r="649" spans="1:13" ht="19.5">
      <c r="A649" s="158">
        <v>373</v>
      </c>
      <c r="B649" s="3" t="s">
        <v>1408</v>
      </c>
      <c r="C649" s="158" t="s">
        <v>1409</v>
      </c>
      <c r="D649" s="4">
        <v>19428</v>
      </c>
      <c r="E649" s="58">
        <v>4500</v>
      </c>
      <c r="F649" s="1156" t="s">
        <v>1265</v>
      </c>
      <c r="G649" s="1" t="s">
        <v>45</v>
      </c>
      <c r="H649" s="1"/>
      <c r="I649" s="1"/>
      <c r="J649" s="1"/>
      <c r="K649" s="1"/>
      <c r="L649" s="1"/>
      <c r="M649" s="211" t="s">
        <v>3170</v>
      </c>
    </row>
    <row r="650" spans="1:13" ht="19.5">
      <c r="A650" s="158">
        <v>374</v>
      </c>
      <c r="B650" s="3" t="s">
        <v>1410</v>
      </c>
      <c r="C650" s="158" t="s">
        <v>1411</v>
      </c>
      <c r="D650" s="4">
        <v>19428</v>
      </c>
      <c r="E650" s="58">
        <v>4500</v>
      </c>
      <c r="F650" s="1156" t="s">
        <v>1265</v>
      </c>
      <c r="G650" s="1" t="s">
        <v>45</v>
      </c>
      <c r="H650" s="1"/>
      <c r="I650" s="1"/>
      <c r="J650" s="1"/>
      <c r="K650" s="1"/>
      <c r="L650" s="1"/>
      <c r="M650" s="211" t="s">
        <v>3170</v>
      </c>
    </row>
    <row r="651" spans="1:13" ht="19.5">
      <c r="A651" s="158">
        <v>375</v>
      </c>
      <c r="B651" s="3" t="s">
        <v>1412</v>
      </c>
      <c r="C651" s="158" t="s">
        <v>1413</v>
      </c>
      <c r="D651" s="4">
        <v>19428</v>
      </c>
      <c r="E651" s="58">
        <v>4500</v>
      </c>
      <c r="F651" s="1156" t="s">
        <v>1265</v>
      </c>
      <c r="G651" s="1" t="s">
        <v>45</v>
      </c>
      <c r="H651" s="1"/>
      <c r="I651" s="1"/>
      <c r="J651" s="1"/>
      <c r="K651" s="1"/>
      <c r="L651" s="1"/>
      <c r="M651" s="211" t="s">
        <v>3170</v>
      </c>
    </row>
    <row r="652" spans="1:13" ht="19.5">
      <c r="A652" s="158">
        <v>376</v>
      </c>
      <c r="B652" s="3" t="s">
        <v>1414</v>
      </c>
      <c r="C652" s="158" t="s">
        <v>1415</v>
      </c>
      <c r="D652" s="4">
        <v>19428</v>
      </c>
      <c r="E652" s="58">
        <v>4500</v>
      </c>
      <c r="F652" s="1156" t="s">
        <v>1265</v>
      </c>
      <c r="G652" s="1" t="s">
        <v>45</v>
      </c>
      <c r="H652" s="1"/>
      <c r="I652" s="1"/>
      <c r="J652" s="1"/>
      <c r="K652" s="1"/>
      <c r="L652" s="1"/>
      <c r="M652" s="211" t="s">
        <v>3170</v>
      </c>
    </row>
    <row r="653" spans="1:13" ht="19.5">
      <c r="A653" s="158">
        <v>377</v>
      </c>
      <c r="B653" s="3" t="s">
        <v>1416</v>
      </c>
      <c r="C653" s="158" t="s">
        <v>1417</v>
      </c>
      <c r="D653" s="4">
        <v>19428</v>
      </c>
      <c r="E653" s="58">
        <v>4500</v>
      </c>
      <c r="F653" s="1156" t="s">
        <v>1265</v>
      </c>
      <c r="G653" s="1" t="s">
        <v>45</v>
      </c>
      <c r="H653" s="1"/>
      <c r="I653" s="1"/>
      <c r="J653" s="1"/>
      <c r="K653" s="1"/>
      <c r="L653" s="1"/>
      <c r="M653" s="211" t="s">
        <v>3170</v>
      </c>
    </row>
    <row r="654" spans="1:13" ht="19.5">
      <c r="A654" s="158">
        <v>378</v>
      </c>
      <c r="B654" s="3" t="s">
        <v>1418</v>
      </c>
      <c r="C654" s="158" t="s">
        <v>1419</v>
      </c>
      <c r="D654" s="4">
        <v>19428</v>
      </c>
      <c r="E654" s="58">
        <v>4500</v>
      </c>
      <c r="F654" s="1156" t="s">
        <v>1265</v>
      </c>
      <c r="G654" s="1" t="s">
        <v>45</v>
      </c>
      <c r="H654" s="1"/>
      <c r="I654" s="1"/>
      <c r="J654" s="1"/>
      <c r="K654" s="1"/>
      <c r="L654" s="1"/>
      <c r="M654" s="211" t="s">
        <v>3170</v>
      </c>
    </row>
    <row r="655" spans="1:13" ht="19.5">
      <c r="A655" s="158">
        <v>379</v>
      </c>
      <c r="B655" s="3" t="s">
        <v>1420</v>
      </c>
      <c r="C655" s="158" t="s">
        <v>1421</v>
      </c>
      <c r="D655" s="4">
        <v>19428</v>
      </c>
      <c r="E655" s="58">
        <v>4500</v>
      </c>
      <c r="F655" s="1156" t="s">
        <v>1265</v>
      </c>
      <c r="G655" s="1" t="s">
        <v>45</v>
      </c>
      <c r="H655" s="1"/>
      <c r="I655" s="1"/>
      <c r="J655" s="1"/>
      <c r="K655" s="1"/>
      <c r="L655" s="1"/>
      <c r="M655" s="211" t="s">
        <v>3170</v>
      </c>
    </row>
    <row r="656" spans="1:13" ht="19.5">
      <c r="A656" s="158">
        <v>380</v>
      </c>
      <c r="B656" s="3" t="s">
        <v>1422</v>
      </c>
      <c r="C656" s="158" t="s">
        <v>1423</v>
      </c>
      <c r="D656" s="4">
        <v>19428</v>
      </c>
      <c r="E656" s="58">
        <v>4500</v>
      </c>
      <c r="F656" s="1156" t="s">
        <v>1265</v>
      </c>
      <c r="G656" s="1" t="s">
        <v>45</v>
      </c>
      <c r="H656" s="1"/>
      <c r="I656" s="1"/>
      <c r="J656" s="1"/>
      <c r="K656" s="1"/>
      <c r="L656" s="1"/>
      <c r="M656" s="211" t="s">
        <v>3170</v>
      </c>
    </row>
    <row r="657" spans="1:13" ht="19.5">
      <c r="A657" s="158">
        <v>381</v>
      </c>
      <c r="B657" s="3" t="s">
        <v>1424</v>
      </c>
      <c r="C657" s="158" t="s">
        <v>1425</v>
      </c>
      <c r="D657" s="4">
        <v>19428</v>
      </c>
      <c r="E657" s="58">
        <v>4500</v>
      </c>
      <c r="F657" s="1156" t="s">
        <v>1265</v>
      </c>
      <c r="G657" s="1" t="s">
        <v>45</v>
      </c>
      <c r="H657" s="1"/>
      <c r="I657" s="1"/>
      <c r="J657" s="1"/>
      <c r="K657" s="1"/>
      <c r="L657" s="1"/>
      <c r="M657" s="211" t="s">
        <v>3170</v>
      </c>
    </row>
    <row r="658" spans="1:13" ht="19.5">
      <c r="A658" s="158">
        <v>382</v>
      </c>
      <c r="B658" s="3" t="s">
        <v>1426</v>
      </c>
      <c r="C658" s="158" t="s">
        <v>1427</v>
      </c>
      <c r="D658" s="4">
        <v>19428</v>
      </c>
      <c r="E658" s="58">
        <v>4500</v>
      </c>
      <c r="F658" s="1156" t="s">
        <v>1265</v>
      </c>
      <c r="G658" s="1" t="s">
        <v>45</v>
      </c>
      <c r="H658" s="1"/>
      <c r="I658" s="1"/>
      <c r="J658" s="1"/>
      <c r="K658" s="1"/>
      <c r="L658" s="1"/>
      <c r="M658" s="211" t="s">
        <v>3170</v>
      </c>
    </row>
    <row r="659" spans="1:13" ht="19.5">
      <c r="A659" s="158">
        <v>383</v>
      </c>
      <c r="B659" s="3" t="s">
        <v>1428</v>
      </c>
      <c r="C659" s="158" t="s">
        <v>1429</v>
      </c>
      <c r="D659" s="4">
        <v>19428</v>
      </c>
      <c r="E659" s="58">
        <v>4500</v>
      </c>
      <c r="F659" s="1156" t="s">
        <v>1265</v>
      </c>
      <c r="G659" s="1" t="s">
        <v>45</v>
      </c>
      <c r="H659" s="1"/>
      <c r="I659" s="1"/>
      <c r="J659" s="1"/>
      <c r="K659" s="1"/>
      <c r="L659" s="1"/>
      <c r="M659" s="211" t="s">
        <v>3170</v>
      </c>
    </row>
    <row r="660" spans="1:13" ht="19.5">
      <c r="A660" s="158">
        <v>384</v>
      </c>
      <c r="B660" s="3" t="s">
        <v>1430</v>
      </c>
      <c r="C660" s="158" t="s">
        <v>1431</v>
      </c>
      <c r="D660" s="4">
        <v>19428</v>
      </c>
      <c r="E660" s="58">
        <v>4500</v>
      </c>
      <c r="F660" s="1156" t="s">
        <v>1265</v>
      </c>
      <c r="G660" s="1" t="s">
        <v>45</v>
      </c>
      <c r="H660" s="1"/>
      <c r="I660" s="1"/>
      <c r="J660" s="1"/>
      <c r="K660" s="1"/>
      <c r="L660" s="1"/>
      <c r="M660" s="211" t="s">
        <v>3170</v>
      </c>
    </row>
    <row r="661" spans="1:13" ht="19.5">
      <c r="A661" s="158">
        <v>385</v>
      </c>
      <c r="B661" s="3" t="s">
        <v>1432</v>
      </c>
      <c r="C661" s="158" t="s">
        <v>1433</v>
      </c>
      <c r="D661" s="4">
        <v>19428</v>
      </c>
      <c r="E661" s="58">
        <v>4500</v>
      </c>
      <c r="F661" s="1156" t="s">
        <v>1265</v>
      </c>
      <c r="G661" s="1" t="s">
        <v>45</v>
      </c>
      <c r="H661" s="1"/>
      <c r="I661" s="1"/>
      <c r="J661" s="1"/>
      <c r="K661" s="1"/>
      <c r="L661" s="1"/>
      <c r="M661" s="211" t="s">
        <v>3170</v>
      </c>
    </row>
    <row r="662" spans="1:13" ht="19.5">
      <c r="A662" s="158">
        <v>386</v>
      </c>
      <c r="B662" s="3" t="s">
        <v>1434</v>
      </c>
      <c r="C662" s="158" t="s">
        <v>1435</v>
      </c>
      <c r="D662" s="4">
        <v>19428</v>
      </c>
      <c r="E662" s="58">
        <v>4500</v>
      </c>
      <c r="F662" s="1156" t="s">
        <v>1265</v>
      </c>
      <c r="G662" s="1" t="s">
        <v>45</v>
      </c>
      <c r="H662" s="1"/>
      <c r="I662" s="1"/>
      <c r="J662" s="1"/>
      <c r="K662" s="1"/>
      <c r="L662" s="1"/>
      <c r="M662" s="211" t="s">
        <v>3170</v>
      </c>
    </row>
    <row r="663" spans="1:13" ht="19.5">
      <c r="A663" s="158">
        <v>387</v>
      </c>
      <c r="B663" s="3" t="s">
        <v>1436</v>
      </c>
      <c r="C663" s="158" t="s">
        <v>1437</v>
      </c>
      <c r="D663" s="4">
        <v>19428</v>
      </c>
      <c r="E663" s="58">
        <v>4500</v>
      </c>
      <c r="F663" s="1156" t="s">
        <v>1265</v>
      </c>
      <c r="G663" s="1" t="s">
        <v>45</v>
      </c>
      <c r="H663" s="1"/>
      <c r="I663" s="1"/>
      <c r="J663" s="1"/>
      <c r="K663" s="1"/>
      <c r="L663" s="1"/>
      <c r="M663" s="211" t="s">
        <v>3170</v>
      </c>
    </row>
    <row r="664" spans="1:13" ht="19.5">
      <c r="A664" s="158">
        <v>388</v>
      </c>
      <c r="B664" s="3" t="s">
        <v>1438</v>
      </c>
      <c r="C664" s="158" t="s">
        <v>1439</v>
      </c>
      <c r="D664" s="4">
        <v>19428</v>
      </c>
      <c r="E664" s="58">
        <v>4500</v>
      </c>
      <c r="F664" s="1156" t="s">
        <v>1265</v>
      </c>
      <c r="G664" s="1" t="s">
        <v>45</v>
      </c>
      <c r="H664" s="1"/>
      <c r="I664" s="1"/>
      <c r="J664" s="1"/>
      <c r="K664" s="1"/>
      <c r="L664" s="1"/>
      <c r="M664" s="211" t="s">
        <v>3170</v>
      </c>
    </row>
    <row r="665" spans="1:13" ht="19.5">
      <c r="A665" s="158">
        <v>389</v>
      </c>
      <c r="B665" s="3" t="s">
        <v>1440</v>
      </c>
      <c r="C665" s="158" t="s">
        <v>1441</v>
      </c>
      <c r="D665" s="4">
        <v>19428</v>
      </c>
      <c r="E665" s="58">
        <v>4500</v>
      </c>
      <c r="F665" s="1156" t="s">
        <v>1265</v>
      </c>
      <c r="G665" s="1" t="s">
        <v>45</v>
      </c>
      <c r="H665" s="1"/>
      <c r="I665" s="1"/>
      <c r="J665" s="1"/>
      <c r="K665" s="1"/>
      <c r="L665" s="1"/>
      <c r="M665" s="211" t="s">
        <v>3170</v>
      </c>
    </row>
    <row r="666" spans="1:13" ht="19.5">
      <c r="A666" s="158">
        <v>390</v>
      </c>
      <c r="B666" s="3" t="s">
        <v>2255</v>
      </c>
      <c r="C666" s="1" t="s">
        <v>2254</v>
      </c>
      <c r="D666" s="4">
        <v>19428</v>
      </c>
      <c r="E666" s="63">
        <v>3500</v>
      </c>
      <c r="F666" s="1132" t="s">
        <v>1633</v>
      </c>
      <c r="G666" s="1" t="s">
        <v>45</v>
      </c>
      <c r="H666" s="1"/>
      <c r="I666" s="1"/>
      <c r="J666" s="1"/>
      <c r="K666" s="1"/>
      <c r="L666" s="1"/>
      <c r="M666" s="211"/>
    </row>
    <row r="667" spans="1:13" ht="19.5">
      <c r="A667" s="158">
        <v>391</v>
      </c>
      <c r="B667" s="2" t="s">
        <v>431</v>
      </c>
      <c r="C667" s="1" t="s">
        <v>432</v>
      </c>
      <c r="D667" s="4">
        <v>19428</v>
      </c>
      <c r="E667" s="63">
        <v>3500</v>
      </c>
      <c r="F667" s="1127" t="s">
        <v>2433</v>
      </c>
      <c r="G667" s="1" t="s">
        <v>45</v>
      </c>
      <c r="H667" s="1"/>
      <c r="I667" s="1"/>
      <c r="J667" s="1"/>
      <c r="K667" s="1"/>
      <c r="L667" s="1"/>
      <c r="M667" s="211"/>
    </row>
    <row r="668" spans="1:13" ht="19.5">
      <c r="A668" s="158">
        <v>392</v>
      </c>
      <c r="B668" s="2" t="s">
        <v>431</v>
      </c>
      <c r="C668" s="1" t="s">
        <v>433</v>
      </c>
      <c r="D668" s="4">
        <v>19428</v>
      </c>
      <c r="E668" s="63">
        <v>3500</v>
      </c>
      <c r="F668" s="1127" t="s">
        <v>2433</v>
      </c>
      <c r="G668" s="1" t="s">
        <v>45</v>
      </c>
      <c r="H668" s="1"/>
      <c r="I668" s="1"/>
      <c r="J668" s="1"/>
      <c r="K668" s="1"/>
      <c r="L668" s="1"/>
      <c r="M668" s="211"/>
    </row>
    <row r="669" spans="1:13" ht="19.5">
      <c r="A669" s="158">
        <v>393</v>
      </c>
      <c r="B669" s="2" t="s">
        <v>434</v>
      </c>
      <c r="C669" s="1" t="s">
        <v>435</v>
      </c>
      <c r="D669" s="4">
        <v>22032</v>
      </c>
      <c r="E669" s="63">
        <v>2288</v>
      </c>
      <c r="F669" s="1132" t="s">
        <v>1633</v>
      </c>
      <c r="G669" s="1" t="s">
        <v>45</v>
      </c>
      <c r="H669" s="1"/>
      <c r="I669" s="1"/>
      <c r="J669" s="1"/>
      <c r="K669" s="1"/>
      <c r="L669" s="1"/>
      <c r="M669" s="211" t="s">
        <v>3461</v>
      </c>
    </row>
    <row r="670" spans="1:13" ht="19.5">
      <c r="A670" s="158">
        <v>394</v>
      </c>
      <c r="B670" s="2" t="s">
        <v>434</v>
      </c>
      <c r="C670" s="1" t="s">
        <v>436</v>
      </c>
      <c r="D670" s="4">
        <v>22032</v>
      </c>
      <c r="E670" s="63">
        <v>2288</v>
      </c>
      <c r="F670" s="1132" t="s">
        <v>1633</v>
      </c>
      <c r="G670" s="1" t="s">
        <v>45</v>
      </c>
      <c r="H670" s="222"/>
      <c r="I670" s="1"/>
      <c r="J670" s="1"/>
      <c r="K670" s="1"/>
      <c r="L670" s="1"/>
      <c r="M670" s="211" t="s">
        <v>3461</v>
      </c>
    </row>
    <row r="671" spans="1:13" ht="19.5">
      <c r="A671" s="158">
        <v>395</v>
      </c>
      <c r="B671" s="2" t="s">
        <v>434</v>
      </c>
      <c r="C671" s="1" t="s">
        <v>437</v>
      </c>
      <c r="D671" s="4">
        <v>22032</v>
      </c>
      <c r="E671" s="63">
        <v>2288</v>
      </c>
      <c r="F671" s="1132" t="s">
        <v>1633</v>
      </c>
      <c r="G671" s="1" t="s">
        <v>45</v>
      </c>
      <c r="H671" s="222"/>
      <c r="I671" s="1"/>
      <c r="J671" s="1"/>
      <c r="K671" s="1"/>
      <c r="L671" s="1"/>
      <c r="M671" s="211" t="s">
        <v>3461</v>
      </c>
    </row>
    <row r="672" spans="1:13" ht="19.5">
      <c r="A672" s="158">
        <v>396</v>
      </c>
      <c r="B672" s="2" t="s">
        <v>434</v>
      </c>
      <c r="C672" s="1" t="s">
        <v>438</v>
      </c>
      <c r="D672" s="4">
        <v>22032</v>
      </c>
      <c r="E672" s="63">
        <v>2288</v>
      </c>
      <c r="F672" s="1132" t="s">
        <v>1633</v>
      </c>
      <c r="G672" s="1" t="s">
        <v>45</v>
      </c>
      <c r="H672" s="222"/>
      <c r="I672" s="1"/>
      <c r="J672" s="1"/>
      <c r="K672" s="1"/>
      <c r="L672" s="1"/>
      <c r="M672" s="211" t="s">
        <v>3461</v>
      </c>
    </row>
    <row r="673" spans="1:13" ht="19.5">
      <c r="A673" s="158">
        <v>397</v>
      </c>
      <c r="B673" s="2" t="s">
        <v>434</v>
      </c>
      <c r="C673" s="1" t="s">
        <v>439</v>
      </c>
      <c r="D673" s="4">
        <v>22032</v>
      </c>
      <c r="E673" s="63">
        <v>2288</v>
      </c>
      <c r="F673" s="1132" t="s">
        <v>1633</v>
      </c>
      <c r="G673" s="1" t="s">
        <v>45</v>
      </c>
      <c r="H673" s="222"/>
      <c r="I673" s="1"/>
      <c r="J673" s="1"/>
      <c r="K673" s="1"/>
      <c r="L673" s="1"/>
      <c r="M673" s="211" t="s">
        <v>3461</v>
      </c>
    </row>
    <row r="674" spans="1:13" ht="19.5">
      <c r="A674" s="158">
        <v>398</v>
      </c>
      <c r="B674" s="2" t="s">
        <v>191</v>
      </c>
      <c r="C674" s="1" t="s">
        <v>2256</v>
      </c>
      <c r="D674" s="4">
        <v>22032</v>
      </c>
      <c r="E674" s="63">
        <v>2292</v>
      </c>
      <c r="F674" s="1132" t="s">
        <v>1633</v>
      </c>
      <c r="G674" s="1" t="s">
        <v>45</v>
      </c>
      <c r="H674" s="222"/>
      <c r="I674" s="1"/>
      <c r="J674" s="1"/>
      <c r="K674" s="1"/>
      <c r="L674" s="1"/>
      <c r="M674" s="211" t="s">
        <v>3461</v>
      </c>
    </row>
    <row r="675" spans="1:13" ht="19.5">
      <c r="A675" s="158">
        <v>399</v>
      </c>
      <c r="B675" s="2" t="s">
        <v>440</v>
      </c>
      <c r="C675" s="1" t="s">
        <v>441</v>
      </c>
      <c r="D675" s="4">
        <v>242129</v>
      </c>
      <c r="E675" s="51">
        <v>2000</v>
      </c>
      <c r="F675" s="1127" t="s">
        <v>2433</v>
      </c>
      <c r="G675" s="1" t="s">
        <v>45</v>
      </c>
      <c r="H675" s="222"/>
      <c r="I675" s="1"/>
      <c r="J675" s="1"/>
      <c r="K675" s="1"/>
      <c r="L675" s="1"/>
      <c r="M675" s="211"/>
    </row>
    <row r="676" spans="1:13" ht="19.5">
      <c r="A676" s="158">
        <v>400</v>
      </c>
      <c r="B676" s="2" t="s">
        <v>440</v>
      </c>
      <c r="C676" s="1" t="s">
        <v>442</v>
      </c>
      <c r="D676" s="4">
        <v>242129</v>
      </c>
      <c r="E676" s="51">
        <v>2000</v>
      </c>
      <c r="F676" s="1127" t="s">
        <v>2433</v>
      </c>
      <c r="G676" s="1" t="s">
        <v>45</v>
      </c>
      <c r="H676" s="222"/>
      <c r="I676" s="1"/>
      <c r="J676" s="1"/>
      <c r="K676" s="1"/>
      <c r="L676" s="1"/>
      <c r="M676" s="211"/>
    </row>
    <row r="677" spans="1:13" ht="19.5">
      <c r="A677" s="158">
        <v>401</v>
      </c>
      <c r="B677" s="2" t="s">
        <v>440</v>
      </c>
      <c r="C677" s="1" t="s">
        <v>443</v>
      </c>
      <c r="D677" s="4">
        <v>242129</v>
      </c>
      <c r="E677" s="51">
        <v>2000</v>
      </c>
      <c r="F677" s="1127" t="s">
        <v>2433</v>
      </c>
      <c r="G677" s="1" t="s">
        <v>45</v>
      </c>
      <c r="H677" s="1"/>
      <c r="I677" s="1"/>
      <c r="J677" s="1"/>
      <c r="K677" s="1"/>
      <c r="L677" s="1"/>
      <c r="M677" s="211"/>
    </row>
    <row r="678" spans="1:13" ht="19.5">
      <c r="A678" s="158">
        <v>402</v>
      </c>
      <c r="B678" s="50" t="s">
        <v>440</v>
      </c>
      <c r="C678" s="35" t="s">
        <v>444</v>
      </c>
      <c r="D678" s="263">
        <v>242129</v>
      </c>
      <c r="E678" s="51">
        <v>2000</v>
      </c>
      <c r="F678" s="1127" t="s">
        <v>2433</v>
      </c>
      <c r="G678" s="35" t="s">
        <v>45</v>
      </c>
      <c r="H678" s="35"/>
      <c r="I678" s="35"/>
      <c r="J678" s="35"/>
      <c r="K678" s="35"/>
      <c r="L678" s="35"/>
      <c r="M678" s="211"/>
    </row>
    <row r="679" spans="1:13" ht="19.5">
      <c r="A679" s="158">
        <v>403</v>
      </c>
      <c r="B679" s="2" t="s">
        <v>440</v>
      </c>
      <c r="C679" s="1" t="s">
        <v>445</v>
      </c>
      <c r="D679" s="4">
        <v>242129</v>
      </c>
      <c r="E679" s="51">
        <v>2000</v>
      </c>
      <c r="F679" s="1127" t="s">
        <v>2433</v>
      </c>
      <c r="G679" s="1" t="s">
        <v>45</v>
      </c>
      <c r="H679" s="1"/>
      <c r="I679" s="1"/>
      <c r="J679" s="1"/>
      <c r="K679" s="1"/>
      <c r="L679" s="1"/>
      <c r="M679" s="211"/>
    </row>
    <row r="680" spans="1:13" ht="19.5">
      <c r="A680" s="158">
        <v>404</v>
      </c>
      <c r="B680" s="2" t="s">
        <v>440</v>
      </c>
      <c r="C680" s="1" t="s">
        <v>446</v>
      </c>
      <c r="D680" s="4">
        <v>242129</v>
      </c>
      <c r="E680" s="51">
        <v>2000</v>
      </c>
      <c r="F680" s="1127" t="s">
        <v>2433</v>
      </c>
      <c r="G680" s="1" t="s">
        <v>45</v>
      </c>
      <c r="H680" s="1"/>
      <c r="I680" s="1"/>
      <c r="J680" s="1"/>
      <c r="K680" s="1"/>
      <c r="L680" s="1"/>
      <c r="M680" s="211"/>
    </row>
    <row r="681" spans="1:13" ht="19.5">
      <c r="A681" s="158">
        <v>405</v>
      </c>
      <c r="B681" s="2" t="s">
        <v>193</v>
      </c>
      <c r="C681" s="1" t="s">
        <v>447</v>
      </c>
      <c r="D681" s="4">
        <v>22621</v>
      </c>
      <c r="E681" s="63">
        <v>850</v>
      </c>
      <c r="F681" s="1127" t="s">
        <v>2433</v>
      </c>
      <c r="G681" s="1" t="s">
        <v>45</v>
      </c>
      <c r="H681" s="1"/>
      <c r="I681" s="1"/>
      <c r="J681" s="1"/>
      <c r="K681" s="1"/>
      <c r="L681" s="1"/>
      <c r="M681" s="211" t="s">
        <v>3444</v>
      </c>
    </row>
    <row r="682" spans="1:13" ht="19.5">
      <c r="A682" s="158">
        <v>406</v>
      </c>
      <c r="B682" s="2" t="s">
        <v>193</v>
      </c>
      <c r="C682" s="1" t="s">
        <v>448</v>
      </c>
      <c r="D682" s="4">
        <v>22621</v>
      </c>
      <c r="E682" s="63">
        <v>850</v>
      </c>
      <c r="F682" s="1127" t="s">
        <v>2433</v>
      </c>
      <c r="G682" s="1" t="s">
        <v>45</v>
      </c>
      <c r="H682" s="1"/>
      <c r="I682" s="1"/>
      <c r="J682" s="1"/>
      <c r="K682" s="1"/>
      <c r="L682" s="1"/>
      <c r="M682" s="211"/>
    </row>
    <row r="683" spans="1:13" ht="19.5">
      <c r="A683" s="158">
        <v>407</v>
      </c>
      <c r="B683" s="2" t="s">
        <v>193</v>
      </c>
      <c r="C683" s="1" t="s">
        <v>449</v>
      </c>
      <c r="D683" s="4">
        <v>22621</v>
      </c>
      <c r="E683" s="63">
        <v>850</v>
      </c>
      <c r="F683" s="1127" t="s">
        <v>2433</v>
      </c>
      <c r="G683" s="1" t="s">
        <v>45</v>
      </c>
      <c r="H683" s="1"/>
      <c r="I683" s="1"/>
      <c r="J683" s="1"/>
      <c r="K683" s="1"/>
      <c r="L683" s="1"/>
      <c r="M683" s="211" t="s">
        <v>3558</v>
      </c>
    </row>
    <row r="684" spans="1:13" ht="19.5">
      <c r="A684" s="158">
        <v>408</v>
      </c>
      <c r="B684" s="2" t="s">
        <v>193</v>
      </c>
      <c r="C684" s="1" t="s">
        <v>450</v>
      </c>
      <c r="D684" s="4">
        <v>22621</v>
      </c>
      <c r="E684" s="63">
        <v>850</v>
      </c>
      <c r="F684" s="1127" t="s">
        <v>2433</v>
      </c>
      <c r="G684" s="1" t="s">
        <v>45</v>
      </c>
      <c r="H684" s="1"/>
      <c r="I684" s="1"/>
      <c r="J684" s="1"/>
      <c r="K684" s="1"/>
      <c r="L684" s="1"/>
      <c r="M684" s="211"/>
    </row>
    <row r="685" spans="1:13" ht="19.5">
      <c r="A685" s="158">
        <v>409</v>
      </c>
      <c r="B685" s="2" t="s">
        <v>193</v>
      </c>
      <c r="C685" s="1" t="s">
        <v>451</v>
      </c>
      <c r="D685" s="4">
        <v>22621</v>
      </c>
      <c r="E685" s="63">
        <v>850</v>
      </c>
      <c r="F685" s="1127" t="s">
        <v>2433</v>
      </c>
      <c r="G685" s="1" t="s">
        <v>45</v>
      </c>
      <c r="H685" s="1"/>
      <c r="I685" s="1"/>
      <c r="J685" s="1"/>
      <c r="K685" s="1"/>
      <c r="L685" s="1"/>
      <c r="M685" s="211"/>
    </row>
    <row r="686" spans="1:13" ht="19.5">
      <c r="A686" s="158">
        <v>410</v>
      </c>
      <c r="B686" s="2" t="s">
        <v>193</v>
      </c>
      <c r="C686" s="1" t="s">
        <v>452</v>
      </c>
      <c r="D686" s="4">
        <v>22621</v>
      </c>
      <c r="E686" s="63">
        <v>850</v>
      </c>
      <c r="F686" s="1127" t="s">
        <v>2433</v>
      </c>
      <c r="G686" s="1" t="s">
        <v>45</v>
      </c>
      <c r="H686" s="1"/>
      <c r="I686" s="1"/>
      <c r="J686" s="1"/>
      <c r="K686" s="1"/>
      <c r="L686" s="1"/>
      <c r="M686" s="211"/>
    </row>
    <row r="687" spans="1:13" ht="19.5">
      <c r="A687" s="158">
        <v>411</v>
      </c>
      <c r="B687" s="2" t="s">
        <v>193</v>
      </c>
      <c r="C687" s="1" t="s">
        <v>453</v>
      </c>
      <c r="D687" s="4">
        <v>22621</v>
      </c>
      <c r="E687" s="63">
        <v>850</v>
      </c>
      <c r="F687" s="1127" t="s">
        <v>2433</v>
      </c>
      <c r="G687" s="1" t="s">
        <v>45</v>
      </c>
      <c r="H687" s="1"/>
      <c r="I687" s="1"/>
      <c r="J687" s="1"/>
      <c r="K687" s="1"/>
      <c r="L687" s="1"/>
      <c r="M687" s="211"/>
    </row>
    <row r="688" spans="1:13" ht="19.5">
      <c r="A688" s="158">
        <v>412</v>
      </c>
      <c r="B688" s="2" t="s">
        <v>193</v>
      </c>
      <c r="C688" s="1" t="s">
        <v>454</v>
      </c>
      <c r="D688" s="4">
        <v>22621</v>
      </c>
      <c r="E688" s="63">
        <v>850</v>
      </c>
      <c r="F688" s="1127" t="s">
        <v>2433</v>
      </c>
      <c r="G688" s="1" t="s">
        <v>45</v>
      </c>
      <c r="H688" s="1"/>
      <c r="I688" s="1"/>
      <c r="J688" s="1"/>
      <c r="K688" s="1"/>
      <c r="L688" s="1"/>
      <c r="M688" s="211"/>
    </row>
    <row r="689" spans="1:13" ht="19.5">
      <c r="A689" s="158">
        <v>413</v>
      </c>
      <c r="B689" s="2" t="s">
        <v>193</v>
      </c>
      <c r="C689" s="1" t="s">
        <v>455</v>
      </c>
      <c r="D689" s="4">
        <v>22621</v>
      </c>
      <c r="E689" s="63">
        <v>850</v>
      </c>
      <c r="F689" s="1127" t="s">
        <v>2433</v>
      </c>
      <c r="G689" s="1" t="s">
        <v>45</v>
      </c>
      <c r="H689" s="1"/>
      <c r="I689" s="1"/>
      <c r="J689" s="1"/>
      <c r="K689" s="1"/>
      <c r="L689" s="1"/>
      <c r="M689" s="211"/>
    </row>
    <row r="690" spans="1:13" ht="19.5">
      <c r="A690" s="158">
        <v>414</v>
      </c>
      <c r="B690" s="2" t="s">
        <v>193</v>
      </c>
      <c r="C690" s="1" t="s">
        <v>456</v>
      </c>
      <c r="D690" s="4">
        <v>22621</v>
      </c>
      <c r="E690" s="63">
        <v>850</v>
      </c>
      <c r="F690" s="1127" t="s">
        <v>2433</v>
      </c>
      <c r="G690" s="1" t="s">
        <v>45</v>
      </c>
      <c r="H690" s="1"/>
      <c r="I690" s="1"/>
      <c r="J690" s="1"/>
      <c r="K690" s="1"/>
      <c r="L690" s="1"/>
      <c r="M690" s="211" t="s">
        <v>3444</v>
      </c>
    </row>
    <row r="691" spans="1:13" ht="19.5">
      <c r="A691" s="158">
        <v>415</v>
      </c>
      <c r="B691" s="2" t="s">
        <v>193</v>
      </c>
      <c r="C691" s="1" t="s">
        <v>457</v>
      </c>
      <c r="D691" s="4">
        <v>22621</v>
      </c>
      <c r="E691" s="63">
        <v>850</v>
      </c>
      <c r="F691" s="1127" t="s">
        <v>2433</v>
      </c>
      <c r="G691" s="1" t="s">
        <v>45</v>
      </c>
      <c r="H691" s="1"/>
      <c r="I691" s="1"/>
      <c r="J691" s="1"/>
      <c r="K691" s="1"/>
      <c r="L691" s="1"/>
      <c r="M691" s="211"/>
    </row>
    <row r="692" spans="1:13" ht="19.5">
      <c r="A692" s="158">
        <v>416</v>
      </c>
      <c r="B692" s="2" t="s">
        <v>193</v>
      </c>
      <c r="C692" s="1" t="s">
        <v>458</v>
      </c>
      <c r="D692" s="4">
        <v>22621</v>
      </c>
      <c r="E692" s="63">
        <v>850</v>
      </c>
      <c r="F692" s="1127" t="s">
        <v>2433</v>
      </c>
      <c r="G692" s="1" t="s">
        <v>45</v>
      </c>
      <c r="H692" s="1"/>
      <c r="I692" s="1"/>
      <c r="J692" s="1"/>
      <c r="K692" s="1"/>
      <c r="L692" s="1"/>
      <c r="M692" s="211"/>
    </row>
    <row r="693" spans="1:13" ht="19.5">
      <c r="A693" s="158">
        <v>417</v>
      </c>
      <c r="B693" s="2" t="s">
        <v>193</v>
      </c>
      <c r="C693" s="1" t="s">
        <v>459</v>
      </c>
      <c r="D693" s="4">
        <v>22621</v>
      </c>
      <c r="E693" s="63">
        <v>850</v>
      </c>
      <c r="F693" s="1127" t="s">
        <v>2433</v>
      </c>
      <c r="G693" s="1" t="s">
        <v>45</v>
      </c>
      <c r="H693" s="1"/>
      <c r="I693" s="1"/>
      <c r="J693" s="1"/>
      <c r="K693" s="1"/>
      <c r="L693" s="1"/>
      <c r="M693" s="211"/>
    </row>
    <row r="694" spans="1:13" ht="19.5">
      <c r="A694" s="158">
        <v>418</v>
      </c>
      <c r="B694" s="2" t="s">
        <v>193</v>
      </c>
      <c r="C694" s="1" t="s">
        <v>460</v>
      </c>
      <c r="D694" s="4">
        <v>22621</v>
      </c>
      <c r="E694" s="63">
        <v>850</v>
      </c>
      <c r="F694" s="1127" t="s">
        <v>2433</v>
      </c>
      <c r="G694" s="1" t="s">
        <v>45</v>
      </c>
      <c r="H694" s="1"/>
      <c r="I694" s="1"/>
      <c r="J694" s="1"/>
      <c r="K694" s="1"/>
      <c r="L694" s="1"/>
      <c r="M694" s="211" t="s">
        <v>3481</v>
      </c>
    </row>
    <row r="695" spans="1:13" ht="19.5">
      <c r="A695" s="158">
        <v>419</v>
      </c>
      <c r="B695" s="2" t="s">
        <v>193</v>
      </c>
      <c r="C695" s="1" t="s">
        <v>461</v>
      </c>
      <c r="D695" s="4">
        <v>22621</v>
      </c>
      <c r="E695" s="63">
        <v>850</v>
      </c>
      <c r="F695" s="1127" t="s">
        <v>2433</v>
      </c>
      <c r="G695" s="1" t="s">
        <v>45</v>
      </c>
      <c r="H695" s="1"/>
      <c r="I695" s="1"/>
      <c r="J695" s="1"/>
      <c r="K695" s="1"/>
      <c r="L695" s="1"/>
      <c r="M695" s="211" t="s">
        <v>3444</v>
      </c>
    </row>
    <row r="696" spans="1:13" ht="19.5">
      <c r="A696" s="158">
        <v>420</v>
      </c>
      <c r="B696" s="2" t="s">
        <v>193</v>
      </c>
      <c r="C696" s="1" t="s">
        <v>462</v>
      </c>
      <c r="D696" s="4">
        <v>22621</v>
      </c>
      <c r="E696" s="63">
        <v>850</v>
      </c>
      <c r="F696" s="1127" t="s">
        <v>2433</v>
      </c>
      <c r="G696" s="1" t="s">
        <v>45</v>
      </c>
      <c r="H696" s="1"/>
      <c r="I696" s="1"/>
      <c r="J696" s="1"/>
      <c r="K696" s="1"/>
      <c r="L696" s="1"/>
      <c r="M696" s="211"/>
    </row>
    <row r="697" spans="1:13" ht="19.5">
      <c r="A697" s="158">
        <v>421</v>
      </c>
      <c r="B697" s="2" t="s">
        <v>193</v>
      </c>
      <c r="C697" s="1" t="s">
        <v>463</v>
      </c>
      <c r="D697" s="4">
        <v>22621</v>
      </c>
      <c r="E697" s="63">
        <v>850</v>
      </c>
      <c r="F697" s="1127" t="s">
        <v>2433</v>
      </c>
      <c r="G697" s="1" t="s">
        <v>45</v>
      </c>
      <c r="H697" s="1"/>
      <c r="I697" s="1"/>
      <c r="J697" s="1"/>
      <c r="K697" s="1"/>
      <c r="L697" s="1"/>
      <c r="M697" s="211"/>
    </row>
    <row r="698" spans="1:13" ht="19.5">
      <c r="A698" s="158">
        <v>422</v>
      </c>
      <c r="B698" s="2" t="s">
        <v>193</v>
      </c>
      <c r="C698" s="1" t="s">
        <v>464</v>
      </c>
      <c r="D698" s="4">
        <v>22621</v>
      </c>
      <c r="E698" s="63">
        <v>850</v>
      </c>
      <c r="F698" s="1127" t="s">
        <v>2433</v>
      </c>
      <c r="G698" s="1" t="s">
        <v>45</v>
      </c>
      <c r="H698" s="1"/>
      <c r="I698" s="1"/>
      <c r="J698" s="1"/>
      <c r="K698" s="1"/>
      <c r="L698" s="1"/>
      <c r="M698" s="211"/>
    </row>
    <row r="699" spans="1:13" ht="19.5">
      <c r="A699" s="158">
        <v>423</v>
      </c>
      <c r="B699" s="2" t="s">
        <v>193</v>
      </c>
      <c r="C699" s="1" t="s">
        <v>465</v>
      </c>
      <c r="D699" s="4">
        <v>22621</v>
      </c>
      <c r="E699" s="63">
        <v>850</v>
      </c>
      <c r="F699" s="1127" t="s">
        <v>2433</v>
      </c>
      <c r="G699" s="1" t="s">
        <v>45</v>
      </c>
      <c r="H699" s="1"/>
      <c r="I699" s="1"/>
      <c r="J699" s="1"/>
      <c r="K699" s="1"/>
      <c r="L699" s="1"/>
      <c r="M699" s="211"/>
    </row>
    <row r="700" spans="1:13" ht="19.5">
      <c r="A700" s="158">
        <v>424</v>
      </c>
      <c r="B700" s="2" t="s">
        <v>193</v>
      </c>
      <c r="C700" s="1" t="s">
        <v>466</v>
      </c>
      <c r="D700" s="4">
        <v>22621</v>
      </c>
      <c r="E700" s="63">
        <v>850</v>
      </c>
      <c r="F700" s="1127" t="s">
        <v>2433</v>
      </c>
      <c r="G700" s="1" t="s">
        <v>45</v>
      </c>
      <c r="H700" s="1"/>
      <c r="I700" s="1"/>
      <c r="J700" s="1"/>
      <c r="K700" s="1"/>
      <c r="L700" s="1"/>
      <c r="M700" s="211"/>
    </row>
    <row r="701" spans="1:13" ht="19.5">
      <c r="A701" s="158">
        <v>425</v>
      </c>
      <c r="B701" s="2" t="s">
        <v>193</v>
      </c>
      <c r="C701" s="1" t="s">
        <v>467</v>
      </c>
      <c r="D701" s="4">
        <v>22621</v>
      </c>
      <c r="E701" s="63">
        <v>850</v>
      </c>
      <c r="F701" s="1127" t="s">
        <v>2433</v>
      </c>
      <c r="G701" s="1" t="s">
        <v>45</v>
      </c>
      <c r="H701" s="1"/>
      <c r="I701" s="1"/>
      <c r="J701" s="1"/>
      <c r="K701" s="1"/>
      <c r="L701" s="1"/>
      <c r="M701" s="211"/>
    </row>
    <row r="702" spans="1:13" ht="19.5">
      <c r="A702" s="158">
        <v>426</v>
      </c>
      <c r="B702" s="2" t="s">
        <v>193</v>
      </c>
      <c r="C702" s="1" t="s">
        <v>468</v>
      </c>
      <c r="D702" s="4">
        <v>22621</v>
      </c>
      <c r="E702" s="63">
        <v>850</v>
      </c>
      <c r="F702" s="1127" t="s">
        <v>2433</v>
      </c>
      <c r="G702" s="1" t="s">
        <v>45</v>
      </c>
      <c r="H702" s="1"/>
      <c r="I702" s="1"/>
      <c r="J702" s="1"/>
      <c r="K702" s="1"/>
      <c r="L702" s="1"/>
      <c r="M702" s="211"/>
    </row>
    <row r="703" spans="1:13" ht="19.5">
      <c r="A703" s="158">
        <v>427</v>
      </c>
      <c r="B703" s="2" t="s">
        <v>193</v>
      </c>
      <c r="C703" s="1" t="s">
        <v>469</v>
      </c>
      <c r="D703" s="4">
        <v>22621</v>
      </c>
      <c r="E703" s="63">
        <v>850</v>
      </c>
      <c r="F703" s="1127" t="s">
        <v>2433</v>
      </c>
      <c r="G703" s="1" t="s">
        <v>45</v>
      </c>
      <c r="H703" s="1"/>
      <c r="I703" s="1"/>
      <c r="J703" s="1"/>
      <c r="K703" s="1"/>
      <c r="L703" s="1"/>
      <c r="M703" s="211"/>
    </row>
    <row r="704" spans="1:13" ht="19.5">
      <c r="A704" s="158">
        <v>428</v>
      </c>
      <c r="B704" s="2" t="s">
        <v>193</v>
      </c>
      <c r="C704" s="1" t="s">
        <v>470</v>
      </c>
      <c r="D704" s="4">
        <v>22621</v>
      </c>
      <c r="E704" s="63">
        <v>850</v>
      </c>
      <c r="F704" s="1127" t="s">
        <v>2433</v>
      </c>
      <c r="G704" s="1" t="s">
        <v>45</v>
      </c>
      <c r="H704" s="1"/>
      <c r="I704" s="1"/>
      <c r="J704" s="1"/>
      <c r="K704" s="1"/>
      <c r="L704" s="1"/>
      <c r="M704" s="211"/>
    </row>
    <row r="705" spans="1:13" ht="19.5">
      <c r="A705" s="158">
        <v>429</v>
      </c>
      <c r="B705" s="2" t="s">
        <v>193</v>
      </c>
      <c r="C705" s="1" t="s">
        <v>471</v>
      </c>
      <c r="D705" s="4">
        <v>22621</v>
      </c>
      <c r="E705" s="63">
        <v>850</v>
      </c>
      <c r="F705" s="1127" t="s">
        <v>2433</v>
      </c>
      <c r="G705" s="1" t="s">
        <v>45</v>
      </c>
      <c r="H705" s="1"/>
      <c r="I705" s="1"/>
      <c r="J705" s="1"/>
      <c r="K705" s="1"/>
      <c r="L705" s="1"/>
      <c r="M705" s="211" t="s">
        <v>3444</v>
      </c>
    </row>
    <row r="706" spans="1:13" ht="19.5">
      <c r="A706" s="158">
        <v>430</v>
      </c>
      <c r="B706" s="2" t="s">
        <v>193</v>
      </c>
      <c r="C706" s="1" t="s">
        <v>472</v>
      </c>
      <c r="D706" s="4">
        <v>22621</v>
      </c>
      <c r="E706" s="63">
        <v>850</v>
      </c>
      <c r="F706" s="1127" t="s">
        <v>2433</v>
      </c>
      <c r="G706" s="1" t="s">
        <v>45</v>
      </c>
      <c r="H706" s="1"/>
      <c r="I706" s="1"/>
      <c r="J706" s="1"/>
      <c r="K706" s="1"/>
      <c r="L706" s="1"/>
      <c r="M706" s="211"/>
    </row>
    <row r="707" spans="1:13" ht="19.5">
      <c r="A707" s="158">
        <v>431</v>
      </c>
      <c r="B707" s="2" t="s">
        <v>193</v>
      </c>
      <c r="C707" s="1" t="s">
        <v>473</v>
      </c>
      <c r="D707" s="4">
        <v>22621</v>
      </c>
      <c r="E707" s="63">
        <v>850</v>
      </c>
      <c r="F707" s="1127" t="s">
        <v>2433</v>
      </c>
      <c r="G707" s="1" t="s">
        <v>45</v>
      </c>
      <c r="H707" s="1"/>
      <c r="I707" s="1"/>
      <c r="J707" s="1"/>
      <c r="K707" s="1"/>
      <c r="L707" s="1"/>
      <c r="M707" s="211"/>
    </row>
    <row r="708" spans="1:13" ht="19.5">
      <c r="A708" s="158">
        <v>432</v>
      </c>
      <c r="B708" s="2" t="s">
        <v>193</v>
      </c>
      <c r="C708" s="1" t="s">
        <v>474</v>
      </c>
      <c r="D708" s="4">
        <v>22621</v>
      </c>
      <c r="E708" s="63">
        <v>850</v>
      </c>
      <c r="F708" s="1127" t="s">
        <v>2433</v>
      </c>
      <c r="G708" s="1" t="s">
        <v>45</v>
      </c>
      <c r="H708" s="1"/>
      <c r="I708" s="1"/>
      <c r="J708" s="1"/>
      <c r="K708" s="1"/>
      <c r="L708" s="1"/>
      <c r="M708" s="211"/>
    </row>
    <row r="709" spans="1:13" ht="19.5">
      <c r="A709" s="158">
        <v>433</v>
      </c>
      <c r="B709" s="2" t="s">
        <v>193</v>
      </c>
      <c r="C709" s="1" t="s">
        <v>475</v>
      </c>
      <c r="D709" s="4">
        <v>22621</v>
      </c>
      <c r="E709" s="63">
        <v>850</v>
      </c>
      <c r="F709" s="1127" t="s">
        <v>2433</v>
      </c>
      <c r="G709" s="1" t="s">
        <v>45</v>
      </c>
      <c r="H709" s="1"/>
      <c r="I709" s="1"/>
      <c r="J709" s="1"/>
      <c r="K709" s="1"/>
      <c r="L709" s="1"/>
      <c r="M709" s="211" t="s">
        <v>3444</v>
      </c>
    </row>
    <row r="710" spans="1:13" ht="19.5">
      <c r="A710" s="158">
        <v>434</v>
      </c>
      <c r="B710" s="2" t="s">
        <v>193</v>
      </c>
      <c r="C710" s="1" t="s">
        <v>476</v>
      </c>
      <c r="D710" s="4">
        <v>22621</v>
      </c>
      <c r="E710" s="63">
        <v>850</v>
      </c>
      <c r="F710" s="1127" t="s">
        <v>2433</v>
      </c>
      <c r="G710" s="1" t="s">
        <v>45</v>
      </c>
      <c r="H710" s="1"/>
      <c r="I710" s="1"/>
      <c r="J710" s="1"/>
      <c r="K710" s="1"/>
      <c r="L710" s="1"/>
      <c r="M710" s="211"/>
    </row>
    <row r="711" spans="1:13" ht="19.5">
      <c r="A711" s="158">
        <v>435</v>
      </c>
      <c r="B711" s="2" t="s">
        <v>193</v>
      </c>
      <c r="C711" s="1" t="s">
        <v>477</v>
      </c>
      <c r="D711" s="4">
        <v>22621</v>
      </c>
      <c r="E711" s="63">
        <v>850</v>
      </c>
      <c r="F711" s="1127" t="s">
        <v>2433</v>
      </c>
      <c r="G711" s="1" t="s">
        <v>45</v>
      </c>
      <c r="H711" s="1"/>
      <c r="I711" s="1"/>
      <c r="J711" s="1"/>
      <c r="K711" s="1"/>
      <c r="L711" s="1"/>
      <c r="M711" s="211" t="s">
        <v>3502</v>
      </c>
    </row>
    <row r="712" spans="1:13" ht="19.5">
      <c r="A712" s="158">
        <v>436</v>
      </c>
      <c r="B712" s="2" t="s">
        <v>193</v>
      </c>
      <c r="C712" s="1" t="s">
        <v>478</v>
      </c>
      <c r="D712" s="4">
        <v>22621</v>
      </c>
      <c r="E712" s="63">
        <v>850</v>
      </c>
      <c r="F712" s="1127" t="s">
        <v>2433</v>
      </c>
      <c r="G712" s="1" t="s">
        <v>45</v>
      </c>
      <c r="H712" s="1"/>
      <c r="I712" s="1"/>
      <c r="J712" s="1"/>
      <c r="K712" s="1"/>
      <c r="L712" s="1"/>
      <c r="M712" s="211"/>
    </row>
    <row r="713" spans="1:13" ht="19.5">
      <c r="A713" s="158">
        <v>437</v>
      </c>
      <c r="B713" s="2" t="s">
        <v>193</v>
      </c>
      <c r="C713" s="1" t="s">
        <v>479</v>
      </c>
      <c r="D713" s="4">
        <v>22621</v>
      </c>
      <c r="E713" s="63">
        <v>850</v>
      </c>
      <c r="F713" s="1127" t="s">
        <v>2433</v>
      </c>
      <c r="G713" s="1" t="s">
        <v>45</v>
      </c>
      <c r="H713" s="1"/>
      <c r="I713" s="1"/>
      <c r="J713" s="1"/>
      <c r="K713" s="1"/>
      <c r="L713" s="1"/>
      <c r="M713" s="211"/>
    </row>
    <row r="714" spans="1:13" ht="19.5">
      <c r="A714" s="158">
        <v>438</v>
      </c>
      <c r="B714" s="2" t="s">
        <v>193</v>
      </c>
      <c r="C714" s="1" t="s">
        <v>480</v>
      </c>
      <c r="D714" s="4">
        <v>22621</v>
      </c>
      <c r="E714" s="63">
        <v>850</v>
      </c>
      <c r="F714" s="1127" t="s">
        <v>2433</v>
      </c>
      <c r="G714" s="1" t="s">
        <v>45</v>
      </c>
      <c r="H714" s="1"/>
      <c r="I714" s="1"/>
      <c r="J714" s="1"/>
      <c r="K714" s="1"/>
      <c r="L714" s="1"/>
      <c r="M714" s="211"/>
    </row>
    <row r="715" spans="1:13" ht="19.5">
      <c r="A715" s="158">
        <v>439</v>
      </c>
      <c r="B715" s="2" t="s">
        <v>193</v>
      </c>
      <c r="C715" s="1" t="s">
        <v>481</v>
      </c>
      <c r="D715" s="4">
        <v>22621</v>
      </c>
      <c r="E715" s="63">
        <v>850</v>
      </c>
      <c r="F715" s="1127" t="s">
        <v>2433</v>
      </c>
      <c r="G715" s="1" t="s">
        <v>45</v>
      </c>
      <c r="H715" s="1"/>
      <c r="I715" s="1"/>
      <c r="J715" s="1"/>
      <c r="K715" s="1"/>
      <c r="L715" s="1"/>
      <c r="M715" s="211"/>
    </row>
    <row r="716" spans="1:13" ht="19.5">
      <c r="A716" s="158">
        <v>440</v>
      </c>
      <c r="B716" s="2" t="s">
        <v>193</v>
      </c>
      <c r="C716" s="1" t="s">
        <v>482</v>
      </c>
      <c r="D716" s="4">
        <v>22621</v>
      </c>
      <c r="E716" s="63">
        <v>850</v>
      </c>
      <c r="F716" s="1127" t="s">
        <v>2433</v>
      </c>
      <c r="G716" s="1" t="s">
        <v>45</v>
      </c>
      <c r="H716" s="1"/>
      <c r="I716" s="1"/>
      <c r="J716" s="1"/>
      <c r="K716" s="1"/>
      <c r="L716" s="1"/>
      <c r="M716" s="211"/>
    </row>
    <row r="717" spans="1:13" ht="19.5">
      <c r="A717" s="158">
        <v>441</v>
      </c>
      <c r="B717" s="2" t="s">
        <v>193</v>
      </c>
      <c r="C717" s="1" t="s">
        <v>483</v>
      </c>
      <c r="D717" s="4">
        <v>22621</v>
      </c>
      <c r="E717" s="63">
        <v>850</v>
      </c>
      <c r="F717" s="1127" t="s">
        <v>2433</v>
      </c>
      <c r="G717" s="1" t="s">
        <v>45</v>
      </c>
      <c r="H717" s="1"/>
      <c r="I717" s="1"/>
      <c r="J717" s="1"/>
      <c r="K717" s="1"/>
      <c r="L717" s="1"/>
      <c r="M717" s="211" t="s">
        <v>3491</v>
      </c>
    </row>
    <row r="718" spans="1:13" ht="19.5">
      <c r="A718" s="158">
        <v>442</v>
      </c>
      <c r="B718" s="2" t="s">
        <v>193</v>
      </c>
      <c r="C718" s="1" t="s">
        <v>484</v>
      </c>
      <c r="D718" s="4">
        <v>22621</v>
      </c>
      <c r="E718" s="63">
        <v>850</v>
      </c>
      <c r="F718" s="1127" t="s">
        <v>2433</v>
      </c>
      <c r="G718" s="1" t="s">
        <v>45</v>
      </c>
      <c r="H718" s="1"/>
      <c r="I718" s="1"/>
      <c r="J718" s="1"/>
      <c r="K718" s="1"/>
      <c r="L718" s="1"/>
      <c r="M718" s="211"/>
    </row>
    <row r="719" spans="1:13" ht="19.5">
      <c r="A719" s="158">
        <v>443</v>
      </c>
      <c r="B719" s="2" t="s">
        <v>193</v>
      </c>
      <c r="C719" s="1" t="s">
        <v>485</v>
      </c>
      <c r="D719" s="4">
        <v>22621</v>
      </c>
      <c r="E719" s="63">
        <v>850</v>
      </c>
      <c r="F719" s="1127" t="s">
        <v>2433</v>
      </c>
      <c r="G719" s="1" t="s">
        <v>45</v>
      </c>
      <c r="H719" s="1"/>
      <c r="I719" s="1"/>
      <c r="J719" s="1"/>
      <c r="K719" s="1"/>
      <c r="L719" s="1"/>
      <c r="M719" s="211"/>
    </row>
    <row r="720" spans="1:13" ht="19.5">
      <c r="A720" s="158">
        <v>444</v>
      </c>
      <c r="B720" s="2" t="s">
        <v>193</v>
      </c>
      <c r="C720" s="1" t="s">
        <v>486</v>
      </c>
      <c r="D720" s="4">
        <v>22621</v>
      </c>
      <c r="E720" s="63">
        <v>850</v>
      </c>
      <c r="F720" s="1127" t="s">
        <v>2433</v>
      </c>
      <c r="G720" s="1" t="s">
        <v>45</v>
      </c>
      <c r="H720" s="1"/>
      <c r="I720" s="1"/>
      <c r="J720" s="1"/>
      <c r="K720" s="1"/>
      <c r="L720" s="1"/>
      <c r="M720" s="211"/>
    </row>
    <row r="721" spans="1:13" ht="19.5">
      <c r="A721" s="158">
        <v>445</v>
      </c>
      <c r="B721" s="2" t="s">
        <v>193</v>
      </c>
      <c r="C721" s="1" t="s">
        <v>487</v>
      </c>
      <c r="D721" s="4">
        <v>22621</v>
      </c>
      <c r="E721" s="63">
        <v>850</v>
      </c>
      <c r="F721" s="1127" t="s">
        <v>2433</v>
      </c>
      <c r="G721" s="1" t="s">
        <v>45</v>
      </c>
      <c r="H721" s="1"/>
      <c r="I721" s="1"/>
      <c r="J721" s="1"/>
      <c r="K721" s="1"/>
      <c r="L721" s="1"/>
      <c r="M721" s="211"/>
    </row>
    <row r="722" spans="1:13" ht="19.5">
      <c r="A722" s="158">
        <v>446</v>
      </c>
      <c r="B722" s="2" t="s">
        <v>193</v>
      </c>
      <c r="C722" s="1" t="s">
        <v>488</v>
      </c>
      <c r="D722" s="4">
        <v>22621</v>
      </c>
      <c r="E722" s="63">
        <v>850</v>
      </c>
      <c r="F722" s="1127" t="s">
        <v>2433</v>
      </c>
      <c r="G722" s="1" t="s">
        <v>45</v>
      </c>
      <c r="H722" s="1"/>
      <c r="I722" s="1"/>
      <c r="J722" s="1"/>
      <c r="K722" s="1"/>
      <c r="L722" s="1"/>
      <c r="M722" s="211"/>
    </row>
    <row r="723" spans="1:13" ht="19.5">
      <c r="A723" s="158">
        <v>447</v>
      </c>
      <c r="B723" s="2" t="s">
        <v>193</v>
      </c>
      <c r="C723" s="1" t="s">
        <v>489</v>
      </c>
      <c r="D723" s="4">
        <v>22621</v>
      </c>
      <c r="E723" s="63">
        <v>850</v>
      </c>
      <c r="F723" s="1127" t="s">
        <v>2433</v>
      </c>
      <c r="G723" s="1" t="s">
        <v>45</v>
      </c>
      <c r="H723" s="1"/>
      <c r="I723" s="1"/>
      <c r="J723" s="1"/>
      <c r="K723" s="1"/>
      <c r="L723" s="1"/>
      <c r="M723" s="211"/>
    </row>
    <row r="724" spans="1:13" ht="19.5">
      <c r="A724" s="158">
        <v>448</v>
      </c>
      <c r="B724" s="2" t="s">
        <v>193</v>
      </c>
      <c r="C724" s="1" t="s">
        <v>490</v>
      </c>
      <c r="D724" s="4">
        <v>22621</v>
      </c>
      <c r="E724" s="63">
        <v>850</v>
      </c>
      <c r="F724" s="1127" t="s">
        <v>2433</v>
      </c>
      <c r="G724" s="1" t="s">
        <v>45</v>
      </c>
      <c r="H724" s="1"/>
      <c r="I724" s="1"/>
      <c r="J724" s="1"/>
      <c r="K724" s="1"/>
      <c r="L724" s="1"/>
      <c r="M724" s="211"/>
    </row>
    <row r="725" spans="1:13" ht="19.5">
      <c r="A725" s="158">
        <v>449</v>
      </c>
      <c r="B725" s="2" t="s">
        <v>193</v>
      </c>
      <c r="C725" s="1" t="s">
        <v>491</v>
      </c>
      <c r="D725" s="4">
        <v>22621</v>
      </c>
      <c r="E725" s="63">
        <v>850</v>
      </c>
      <c r="F725" s="1127" t="s">
        <v>2433</v>
      </c>
      <c r="G725" s="1" t="s">
        <v>45</v>
      </c>
      <c r="H725" s="1"/>
      <c r="I725" s="1"/>
      <c r="J725" s="1"/>
      <c r="K725" s="1"/>
      <c r="L725" s="1"/>
      <c r="M725" s="211"/>
    </row>
    <row r="726" spans="1:13" ht="19.5">
      <c r="A726" s="158">
        <v>450</v>
      </c>
      <c r="B726" s="2" t="s">
        <v>193</v>
      </c>
      <c r="C726" s="1" t="s">
        <v>492</v>
      </c>
      <c r="D726" s="4">
        <v>22621</v>
      </c>
      <c r="E726" s="63">
        <v>850</v>
      </c>
      <c r="F726" s="1127" t="s">
        <v>2433</v>
      </c>
      <c r="G726" s="1" t="s">
        <v>45</v>
      </c>
      <c r="H726" s="1"/>
      <c r="I726" s="1"/>
      <c r="J726" s="1"/>
      <c r="K726" s="1"/>
      <c r="L726" s="1"/>
      <c r="M726" s="211"/>
    </row>
    <row r="727" spans="1:13" ht="19.5">
      <c r="A727" s="158">
        <v>451</v>
      </c>
      <c r="B727" s="2" t="s">
        <v>193</v>
      </c>
      <c r="C727" s="1" t="s">
        <v>493</v>
      </c>
      <c r="D727" s="4">
        <v>22621</v>
      </c>
      <c r="E727" s="63">
        <v>850</v>
      </c>
      <c r="F727" s="1127" t="s">
        <v>2433</v>
      </c>
      <c r="G727" s="1" t="s">
        <v>45</v>
      </c>
      <c r="H727" s="1"/>
      <c r="I727" s="1"/>
      <c r="J727" s="1"/>
      <c r="K727" s="1"/>
      <c r="L727" s="1"/>
      <c r="M727" s="211" t="s">
        <v>3444</v>
      </c>
    </row>
    <row r="728" spans="1:13" ht="19.5">
      <c r="A728" s="158">
        <v>452</v>
      </c>
      <c r="B728" s="2" t="s">
        <v>193</v>
      </c>
      <c r="C728" s="1" t="s">
        <v>494</v>
      </c>
      <c r="D728" s="4">
        <v>22621</v>
      </c>
      <c r="E728" s="63">
        <v>850</v>
      </c>
      <c r="F728" s="1127" t="s">
        <v>2433</v>
      </c>
      <c r="G728" s="1" t="s">
        <v>45</v>
      </c>
      <c r="H728" s="1"/>
      <c r="I728" s="1"/>
      <c r="J728" s="1"/>
      <c r="K728" s="1"/>
      <c r="L728" s="1"/>
      <c r="M728" s="211"/>
    </row>
    <row r="729" spans="1:13" ht="19.5">
      <c r="A729" s="158">
        <v>453</v>
      </c>
      <c r="B729" s="2" t="s">
        <v>193</v>
      </c>
      <c r="C729" s="1" t="s">
        <v>495</v>
      </c>
      <c r="D729" s="4">
        <v>22621</v>
      </c>
      <c r="E729" s="63">
        <v>850</v>
      </c>
      <c r="F729" s="1127" t="s">
        <v>2433</v>
      </c>
      <c r="G729" s="1" t="s">
        <v>45</v>
      </c>
      <c r="H729" s="1"/>
      <c r="I729" s="1"/>
      <c r="J729" s="1"/>
      <c r="K729" s="1"/>
      <c r="L729" s="1"/>
      <c r="M729" s="211"/>
    </row>
    <row r="730" spans="1:13" ht="19.5">
      <c r="A730" s="158">
        <v>454</v>
      </c>
      <c r="B730" s="2" t="s">
        <v>193</v>
      </c>
      <c r="C730" s="1" t="s">
        <v>496</v>
      </c>
      <c r="D730" s="4">
        <v>22621</v>
      </c>
      <c r="E730" s="63">
        <v>850</v>
      </c>
      <c r="F730" s="1127" t="s">
        <v>2433</v>
      </c>
      <c r="G730" s="1" t="s">
        <v>45</v>
      </c>
      <c r="H730" s="1"/>
      <c r="I730" s="1"/>
      <c r="J730" s="1"/>
      <c r="K730" s="1"/>
      <c r="L730" s="1"/>
      <c r="M730" s="211" t="s">
        <v>3501</v>
      </c>
    </row>
    <row r="731" spans="1:13" ht="19.5">
      <c r="A731" s="158">
        <v>455</v>
      </c>
      <c r="B731" s="2" t="s">
        <v>193</v>
      </c>
      <c r="C731" s="1" t="s">
        <v>497</v>
      </c>
      <c r="D731" s="4">
        <v>22621</v>
      </c>
      <c r="E731" s="63">
        <v>850</v>
      </c>
      <c r="F731" s="1127" t="s">
        <v>2433</v>
      </c>
      <c r="G731" s="1" t="s">
        <v>45</v>
      </c>
      <c r="H731" s="1"/>
      <c r="I731" s="1"/>
      <c r="J731" s="1"/>
      <c r="K731" s="1"/>
      <c r="L731" s="1"/>
      <c r="M731" s="211"/>
    </row>
    <row r="732" spans="1:13" ht="19.5">
      <c r="A732" s="158">
        <v>456</v>
      </c>
      <c r="B732" s="2" t="s">
        <v>193</v>
      </c>
      <c r="C732" s="1" t="s">
        <v>498</v>
      </c>
      <c r="D732" s="4">
        <v>22621</v>
      </c>
      <c r="E732" s="63">
        <v>850</v>
      </c>
      <c r="F732" s="1127" t="s">
        <v>2433</v>
      </c>
      <c r="G732" s="1" t="s">
        <v>45</v>
      </c>
      <c r="H732" s="1"/>
      <c r="I732" s="1"/>
      <c r="J732" s="1"/>
      <c r="K732" s="1"/>
      <c r="L732" s="1"/>
      <c r="M732" s="211"/>
    </row>
    <row r="733" spans="1:13" ht="19.5">
      <c r="A733" s="158">
        <v>457</v>
      </c>
      <c r="B733" s="2" t="s">
        <v>193</v>
      </c>
      <c r="C733" s="1" t="s">
        <v>499</v>
      </c>
      <c r="D733" s="4">
        <v>22621</v>
      </c>
      <c r="E733" s="63">
        <v>850</v>
      </c>
      <c r="F733" s="1127" t="s">
        <v>2433</v>
      </c>
      <c r="G733" s="1" t="s">
        <v>45</v>
      </c>
      <c r="H733" s="1"/>
      <c r="I733" s="1"/>
      <c r="J733" s="1"/>
      <c r="K733" s="1"/>
      <c r="L733" s="1"/>
      <c r="M733" s="211"/>
    </row>
    <row r="734" spans="1:13" ht="19.5">
      <c r="A734" s="158">
        <v>458</v>
      </c>
      <c r="B734" s="2" t="s">
        <v>193</v>
      </c>
      <c r="C734" s="1" t="s">
        <v>500</v>
      </c>
      <c r="D734" s="4">
        <v>22621</v>
      </c>
      <c r="E734" s="63">
        <v>850</v>
      </c>
      <c r="F734" s="1127" t="s">
        <v>2433</v>
      </c>
      <c r="G734" s="1" t="s">
        <v>45</v>
      </c>
      <c r="H734" s="1"/>
      <c r="I734" s="1"/>
      <c r="J734" s="1"/>
      <c r="K734" s="1"/>
      <c r="L734" s="1"/>
      <c r="M734" s="211"/>
    </row>
    <row r="735" spans="1:13" ht="19.5">
      <c r="A735" s="158">
        <v>459</v>
      </c>
      <c r="B735" s="2" t="s">
        <v>193</v>
      </c>
      <c r="C735" s="1" t="s">
        <v>501</v>
      </c>
      <c r="D735" s="4">
        <v>22621</v>
      </c>
      <c r="E735" s="63">
        <v>850</v>
      </c>
      <c r="F735" s="1127" t="s">
        <v>2433</v>
      </c>
      <c r="G735" s="1" t="s">
        <v>45</v>
      </c>
      <c r="H735" s="1"/>
      <c r="I735" s="1"/>
      <c r="J735" s="1"/>
      <c r="K735" s="1"/>
      <c r="L735" s="1"/>
      <c r="M735" s="211"/>
    </row>
    <row r="736" spans="1:13" ht="19.5">
      <c r="A736" s="158">
        <v>460</v>
      </c>
      <c r="B736" s="2" t="s">
        <v>193</v>
      </c>
      <c r="C736" s="1" t="s">
        <v>502</v>
      </c>
      <c r="D736" s="4">
        <v>22621</v>
      </c>
      <c r="E736" s="63">
        <v>850</v>
      </c>
      <c r="F736" s="1127" t="s">
        <v>2433</v>
      </c>
      <c r="G736" s="1" t="s">
        <v>45</v>
      </c>
      <c r="H736" s="1"/>
      <c r="I736" s="1"/>
      <c r="J736" s="1"/>
      <c r="K736" s="1"/>
      <c r="L736" s="1"/>
      <c r="M736" s="211"/>
    </row>
    <row r="737" spans="1:13" ht="19.5">
      <c r="A737" s="158">
        <v>461</v>
      </c>
      <c r="B737" s="2" t="s">
        <v>193</v>
      </c>
      <c r="C737" s="1" t="s">
        <v>503</v>
      </c>
      <c r="D737" s="4">
        <v>22621</v>
      </c>
      <c r="E737" s="63">
        <v>850</v>
      </c>
      <c r="F737" s="1127" t="s">
        <v>2433</v>
      </c>
      <c r="G737" s="1" t="s">
        <v>45</v>
      </c>
      <c r="H737" s="223"/>
      <c r="I737" s="223"/>
      <c r="J737" s="223"/>
      <c r="K737" s="223"/>
      <c r="L737" s="223"/>
      <c r="M737" s="211"/>
    </row>
    <row r="738" spans="1:13" ht="19.5">
      <c r="A738" s="158">
        <v>462</v>
      </c>
      <c r="B738" s="2" t="s">
        <v>193</v>
      </c>
      <c r="C738" s="1" t="s">
        <v>504</v>
      </c>
      <c r="D738" s="4">
        <v>22621</v>
      </c>
      <c r="E738" s="63">
        <v>850</v>
      </c>
      <c r="F738" s="1127" t="s">
        <v>2433</v>
      </c>
      <c r="G738" s="1" t="s">
        <v>45</v>
      </c>
      <c r="H738" s="223"/>
      <c r="I738" s="223"/>
      <c r="J738" s="223"/>
      <c r="K738" s="223"/>
      <c r="L738" s="223"/>
      <c r="M738" s="211"/>
    </row>
    <row r="739" spans="1:13" ht="19.5">
      <c r="A739" s="158">
        <v>463</v>
      </c>
      <c r="B739" s="2" t="s">
        <v>193</v>
      </c>
      <c r="C739" s="1" t="s">
        <v>505</v>
      </c>
      <c r="D739" s="4">
        <v>22621</v>
      </c>
      <c r="E739" s="63">
        <v>850</v>
      </c>
      <c r="F739" s="1127" t="s">
        <v>2433</v>
      </c>
      <c r="G739" s="1" t="s">
        <v>45</v>
      </c>
      <c r="H739" s="223"/>
      <c r="I739" s="223"/>
      <c r="J739" s="223"/>
      <c r="K739" s="223"/>
      <c r="L739" s="223"/>
      <c r="M739" s="211"/>
    </row>
    <row r="740" spans="1:13" ht="19.5">
      <c r="A740" s="158">
        <v>464</v>
      </c>
      <c r="B740" s="2" t="s">
        <v>193</v>
      </c>
      <c r="C740" s="1" t="s">
        <v>506</v>
      </c>
      <c r="D740" s="4">
        <v>22621</v>
      </c>
      <c r="E740" s="63">
        <v>850</v>
      </c>
      <c r="F740" s="1127" t="s">
        <v>2433</v>
      </c>
      <c r="G740" s="1" t="s">
        <v>45</v>
      </c>
      <c r="H740" s="223"/>
      <c r="I740" s="223"/>
      <c r="J740" s="223"/>
      <c r="K740" s="223"/>
      <c r="L740" s="223"/>
      <c r="M740" s="211"/>
    </row>
    <row r="741" spans="1:13" ht="19.5">
      <c r="A741" s="158">
        <v>465</v>
      </c>
      <c r="B741" s="2" t="s">
        <v>2973</v>
      </c>
      <c r="C741" s="1" t="s">
        <v>2974</v>
      </c>
      <c r="D741" s="4">
        <v>242132</v>
      </c>
      <c r="E741" s="1120">
        <v>3300</v>
      </c>
      <c r="F741" s="939" t="s">
        <v>2969</v>
      </c>
      <c r="G741" s="1" t="s">
        <v>45</v>
      </c>
      <c r="H741" s="223"/>
      <c r="I741" s="223"/>
      <c r="J741" s="223"/>
      <c r="K741" s="223"/>
      <c r="L741" s="223"/>
      <c r="M741" s="211" t="s">
        <v>3506</v>
      </c>
    </row>
    <row r="742" spans="1:13" ht="19.5">
      <c r="A742" s="158">
        <v>466</v>
      </c>
      <c r="B742" s="2" t="s">
        <v>2423</v>
      </c>
      <c r="C742" s="1" t="s">
        <v>2424</v>
      </c>
      <c r="D742" s="4">
        <v>23003</v>
      </c>
      <c r="E742" s="63">
        <v>3300</v>
      </c>
      <c r="F742" s="1127" t="s">
        <v>2433</v>
      </c>
      <c r="G742" s="1" t="s">
        <v>45</v>
      </c>
      <c r="H742" s="223"/>
      <c r="I742" s="223"/>
      <c r="J742" s="223"/>
      <c r="K742" s="223"/>
      <c r="L742" s="223"/>
      <c r="M742" s="211" t="s">
        <v>3507</v>
      </c>
    </row>
    <row r="743" spans="1:13" ht="19.5">
      <c r="A743" s="158">
        <v>467</v>
      </c>
      <c r="B743" s="2" t="s">
        <v>2423</v>
      </c>
      <c r="C743" s="1" t="s">
        <v>2425</v>
      </c>
      <c r="D743" s="4">
        <v>23003</v>
      </c>
      <c r="E743" s="63">
        <v>3300</v>
      </c>
      <c r="F743" s="1127" t="s">
        <v>2433</v>
      </c>
      <c r="G743" s="1" t="s">
        <v>45</v>
      </c>
      <c r="H743" s="223"/>
      <c r="I743" s="223"/>
      <c r="J743" s="223"/>
      <c r="K743" s="223"/>
      <c r="L743" s="223"/>
      <c r="M743" s="211" t="s">
        <v>3478</v>
      </c>
    </row>
    <row r="744" spans="1:13" ht="19.5">
      <c r="A744" s="158">
        <v>468</v>
      </c>
      <c r="B744" s="2" t="s">
        <v>2423</v>
      </c>
      <c r="C744" s="1" t="s">
        <v>2429</v>
      </c>
      <c r="D744" s="4">
        <v>23014</v>
      </c>
      <c r="E744" s="1097">
        <v>3300</v>
      </c>
      <c r="F744" s="939" t="s">
        <v>2117</v>
      </c>
      <c r="G744" s="1" t="s">
        <v>45</v>
      </c>
      <c r="H744" s="223"/>
      <c r="I744" s="223"/>
      <c r="J744" s="223"/>
      <c r="K744" s="223"/>
      <c r="L744" s="223"/>
      <c r="M744" s="211" t="s">
        <v>3486</v>
      </c>
    </row>
    <row r="745" spans="1:13" ht="19.5">
      <c r="A745" s="158">
        <v>469</v>
      </c>
      <c r="B745" s="2" t="s">
        <v>2975</v>
      </c>
      <c r="C745" s="1" t="s">
        <v>2976</v>
      </c>
      <c r="D745" s="4">
        <v>242739</v>
      </c>
      <c r="E745" s="1120">
        <v>5000</v>
      </c>
      <c r="F745" s="939" t="s">
        <v>2969</v>
      </c>
      <c r="G745" s="1" t="s">
        <v>45</v>
      </c>
      <c r="H745" s="223"/>
      <c r="I745" s="223"/>
      <c r="J745" s="223"/>
      <c r="K745" s="223"/>
      <c r="L745" s="223"/>
      <c r="M745" s="211" t="s">
        <v>3189</v>
      </c>
    </row>
    <row r="746" spans="1:13" ht="19.5">
      <c r="A746" s="158">
        <v>470</v>
      </c>
      <c r="B746" s="2" t="s">
        <v>2738</v>
      </c>
      <c r="C746" s="1" t="s">
        <v>2684</v>
      </c>
      <c r="D746" s="4">
        <v>23595</v>
      </c>
      <c r="E746" s="63">
        <v>3000</v>
      </c>
      <c r="F746" s="1124" t="s">
        <v>2683</v>
      </c>
      <c r="G746" s="1" t="s">
        <v>45</v>
      </c>
      <c r="H746" s="223"/>
      <c r="I746" s="223"/>
      <c r="J746" s="223"/>
      <c r="K746" s="223"/>
      <c r="L746" s="223"/>
      <c r="M746" s="211" t="s">
        <v>3177</v>
      </c>
    </row>
    <row r="747" spans="1:13" ht="19.5">
      <c r="A747" s="158">
        <v>471</v>
      </c>
      <c r="B747" s="2" t="s">
        <v>2738</v>
      </c>
      <c r="C747" s="1" t="s">
        <v>2736</v>
      </c>
      <c r="D747" s="4">
        <v>23581</v>
      </c>
      <c r="E747" s="1097">
        <v>3000</v>
      </c>
      <c r="F747" s="939" t="s">
        <v>2117</v>
      </c>
      <c r="G747" s="1" t="s">
        <v>45</v>
      </c>
      <c r="H747" s="223"/>
      <c r="I747" s="223"/>
      <c r="J747" s="223"/>
      <c r="K747" s="223"/>
      <c r="L747" s="223"/>
      <c r="M747" s="211" t="s">
        <v>3485</v>
      </c>
    </row>
    <row r="748" spans="1:13" ht="19.5">
      <c r="A748" s="158">
        <v>472</v>
      </c>
      <c r="B748" s="2" t="s">
        <v>2738</v>
      </c>
      <c r="C748" s="1" t="s">
        <v>2737</v>
      </c>
      <c r="D748" s="4">
        <v>23581</v>
      </c>
      <c r="E748" s="1097">
        <v>3000</v>
      </c>
      <c r="F748" s="939" t="s">
        <v>2117</v>
      </c>
      <c r="G748" s="1" t="s">
        <v>45</v>
      </c>
      <c r="H748" s="223"/>
      <c r="I748" s="223"/>
      <c r="J748" s="223"/>
      <c r="K748" s="223"/>
      <c r="L748" s="223"/>
      <c r="M748" s="211" t="s">
        <v>3474</v>
      </c>
    </row>
    <row r="749" spans="1:13" ht="19.5">
      <c r="A749" s="158">
        <v>473</v>
      </c>
      <c r="B749" s="2" t="s">
        <v>3</v>
      </c>
      <c r="C749" s="1" t="s">
        <v>2923</v>
      </c>
      <c r="D749" s="4">
        <v>23739</v>
      </c>
      <c r="E749" s="143">
        <v>18000</v>
      </c>
      <c r="F749" s="1127" t="s">
        <v>2922</v>
      </c>
      <c r="G749" s="1" t="s">
        <v>45</v>
      </c>
      <c r="H749" s="223"/>
      <c r="I749" s="223"/>
      <c r="J749" s="223"/>
      <c r="K749" s="223"/>
      <c r="L749" s="223"/>
      <c r="M749" s="211" t="s">
        <v>3495</v>
      </c>
    </row>
    <row r="750" spans="1:13" ht="19.5">
      <c r="A750" s="158">
        <v>474</v>
      </c>
      <c r="B750" s="2" t="s">
        <v>3</v>
      </c>
      <c r="C750" s="1" t="s">
        <v>2924</v>
      </c>
      <c r="D750" s="4">
        <v>23739</v>
      </c>
      <c r="E750" s="143">
        <v>5000</v>
      </c>
      <c r="F750" s="1127" t="s">
        <v>2922</v>
      </c>
      <c r="G750" s="1" t="s">
        <v>45</v>
      </c>
      <c r="H750" s="223"/>
      <c r="I750" s="223"/>
      <c r="J750" s="223"/>
      <c r="K750" s="223"/>
      <c r="L750" s="223"/>
      <c r="M750" s="211" t="s">
        <v>3200</v>
      </c>
    </row>
    <row r="751" spans="1:13" ht="19.5">
      <c r="A751" s="158">
        <v>475</v>
      </c>
      <c r="B751" s="2" t="s">
        <v>3</v>
      </c>
      <c r="C751" s="1" t="s">
        <v>2925</v>
      </c>
      <c r="D751" s="4">
        <v>23739</v>
      </c>
      <c r="E751" s="143">
        <v>5000</v>
      </c>
      <c r="F751" s="1127" t="s">
        <v>2922</v>
      </c>
      <c r="G751" s="1" t="s">
        <v>45</v>
      </c>
      <c r="H751" s="223"/>
      <c r="I751" s="223"/>
      <c r="J751" s="223"/>
      <c r="K751" s="223"/>
      <c r="L751" s="223"/>
      <c r="M751" s="211" t="s">
        <v>3445</v>
      </c>
    </row>
    <row r="752" spans="1:13" ht="19.5">
      <c r="A752" s="158">
        <v>476</v>
      </c>
      <c r="B752" s="2" t="s">
        <v>3</v>
      </c>
      <c r="C752" s="1" t="s">
        <v>2926</v>
      </c>
      <c r="D752" s="4">
        <v>23739</v>
      </c>
      <c r="E752" s="143">
        <v>2900</v>
      </c>
      <c r="F752" s="1127" t="s">
        <v>2922</v>
      </c>
      <c r="G752" s="1" t="s">
        <v>45</v>
      </c>
      <c r="H752" s="223"/>
      <c r="I752" s="223"/>
      <c r="J752" s="223"/>
      <c r="K752" s="223"/>
      <c r="L752" s="223"/>
      <c r="M752" s="211" t="s">
        <v>3496</v>
      </c>
    </row>
    <row r="753" spans="1:13" ht="19.5">
      <c r="A753" s="158">
        <v>477</v>
      </c>
      <c r="B753" s="2" t="s">
        <v>3</v>
      </c>
      <c r="C753" s="1" t="s">
        <v>2927</v>
      </c>
      <c r="D753" s="4">
        <v>23739</v>
      </c>
      <c r="E753" s="143">
        <v>2900</v>
      </c>
      <c r="F753" s="1127" t="s">
        <v>2922</v>
      </c>
      <c r="G753" s="1" t="s">
        <v>45</v>
      </c>
      <c r="H753" s="223"/>
      <c r="I753" s="223"/>
      <c r="J753" s="223"/>
      <c r="K753" s="223"/>
      <c r="L753" s="223"/>
      <c r="M753" s="211" t="s">
        <v>3468</v>
      </c>
    </row>
    <row r="754" spans="1:13" ht="19.5">
      <c r="A754" s="158">
        <v>478</v>
      </c>
      <c r="B754" s="2" t="s">
        <v>3</v>
      </c>
      <c r="C754" s="1" t="s">
        <v>2928</v>
      </c>
      <c r="D754" s="4">
        <v>23739</v>
      </c>
      <c r="E754" s="143">
        <v>2900</v>
      </c>
      <c r="F754" s="1127" t="s">
        <v>2922</v>
      </c>
      <c r="G754" s="1" t="s">
        <v>45</v>
      </c>
      <c r="H754" s="223"/>
      <c r="I754" s="223"/>
      <c r="J754" s="223"/>
      <c r="K754" s="223"/>
      <c r="L754" s="223"/>
      <c r="M754" s="211" t="s">
        <v>3502</v>
      </c>
    </row>
    <row r="755" spans="1:13" ht="19.5">
      <c r="A755" s="158">
        <v>479</v>
      </c>
      <c r="B755" s="2" t="s">
        <v>3</v>
      </c>
      <c r="C755" s="1" t="s">
        <v>2929</v>
      </c>
      <c r="D755" s="4">
        <v>23739</v>
      </c>
      <c r="E755" s="143">
        <v>2900</v>
      </c>
      <c r="F755" s="1127" t="s">
        <v>2922</v>
      </c>
      <c r="G755" s="1" t="s">
        <v>45</v>
      </c>
      <c r="H755" s="223"/>
      <c r="I755" s="223"/>
      <c r="J755" s="223"/>
      <c r="K755" s="223"/>
      <c r="L755" s="223"/>
      <c r="M755" s="211" t="s">
        <v>3497</v>
      </c>
    </row>
    <row r="756" spans="1:13" ht="19.5">
      <c r="A756" s="158">
        <v>480</v>
      </c>
      <c r="B756" s="2" t="s">
        <v>3</v>
      </c>
      <c r="C756" s="1" t="s">
        <v>2930</v>
      </c>
      <c r="D756" s="4">
        <v>23739</v>
      </c>
      <c r="E756" s="143">
        <v>7000</v>
      </c>
      <c r="F756" s="1127" t="s">
        <v>2922</v>
      </c>
      <c r="G756" s="1" t="s">
        <v>45</v>
      </c>
      <c r="H756" s="223"/>
      <c r="I756" s="223"/>
      <c r="J756" s="223"/>
      <c r="K756" s="223"/>
      <c r="L756" s="223"/>
      <c r="M756" s="211" t="s">
        <v>3479</v>
      </c>
    </row>
    <row r="757" spans="1:13" s="44" customFormat="1" ht="19.5">
      <c r="A757" s="158">
        <v>481</v>
      </c>
      <c r="B757" s="2" t="s">
        <v>3</v>
      </c>
      <c r="C757" s="1" t="s">
        <v>2931</v>
      </c>
      <c r="D757" s="4">
        <v>23739</v>
      </c>
      <c r="E757" s="143">
        <v>5000</v>
      </c>
      <c r="F757" s="1127" t="s">
        <v>2922</v>
      </c>
      <c r="G757" s="1" t="s">
        <v>45</v>
      </c>
      <c r="H757" s="223"/>
      <c r="I757" s="223"/>
      <c r="J757" s="223"/>
      <c r="K757" s="223"/>
      <c r="L757" s="223"/>
      <c r="M757" s="211" t="s">
        <v>3499</v>
      </c>
    </row>
    <row r="758" spans="1:13" ht="19.5">
      <c r="A758" s="158">
        <v>482</v>
      </c>
      <c r="B758" s="2" t="s">
        <v>3</v>
      </c>
      <c r="C758" s="1" t="s">
        <v>2932</v>
      </c>
      <c r="D758" s="4">
        <v>23739</v>
      </c>
      <c r="E758" s="143">
        <v>5000</v>
      </c>
      <c r="F758" s="1127" t="s">
        <v>2922</v>
      </c>
      <c r="G758" s="1" t="s">
        <v>45</v>
      </c>
      <c r="H758" s="223"/>
      <c r="I758" s="223"/>
      <c r="J758" s="223"/>
      <c r="K758" s="223"/>
      <c r="L758" s="223"/>
      <c r="M758" s="211" t="s">
        <v>3498</v>
      </c>
    </row>
    <row r="759" spans="1:13" ht="19.5">
      <c r="A759" s="158">
        <v>483</v>
      </c>
      <c r="B759" s="2" t="s">
        <v>3</v>
      </c>
      <c r="C759" s="1" t="s">
        <v>2933</v>
      </c>
      <c r="D759" s="4">
        <v>23739</v>
      </c>
      <c r="E759" s="143">
        <v>5000</v>
      </c>
      <c r="F759" s="1127" t="s">
        <v>2922</v>
      </c>
      <c r="G759" s="1" t="s">
        <v>45</v>
      </c>
      <c r="H759" s="223"/>
      <c r="I759" s="223"/>
      <c r="J759" s="223"/>
      <c r="K759" s="223"/>
      <c r="L759" s="223"/>
      <c r="M759" s="211" t="s">
        <v>3508</v>
      </c>
    </row>
    <row r="760" spans="1:13" ht="19.5">
      <c r="A760" s="158">
        <v>484</v>
      </c>
      <c r="B760" s="2" t="s">
        <v>2875</v>
      </c>
      <c r="C760" s="1" t="s">
        <v>2876</v>
      </c>
      <c r="D760" s="4">
        <v>242914</v>
      </c>
      <c r="E760" s="143">
        <v>12000</v>
      </c>
      <c r="F760" s="1129" t="s">
        <v>1572</v>
      </c>
      <c r="G760" s="1" t="s">
        <v>45</v>
      </c>
      <c r="H760" s="223"/>
      <c r="I760" s="223"/>
      <c r="J760" s="223"/>
      <c r="K760" s="223"/>
      <c r="L760" s="223"/>
      <c r="M760" s="211" t="s">
        <v>3197</v>
      </c>
    </row>
    <row r="761" spans="1:13" ht="19.5">
      <c r="A761" s="158">
        <v>485</v>
      </c>
      <c r="B761" s="2" t="s">
        <v>3280</v>
      </c>
      <c r="C761" s="1" t="s">
        <v>3281</v>
      </c>
      <c r="D761" s="4">
        <v>24043</v>
      </c>
      <c r="E761" s="143">
        <v>5900</v>
      </c>
      <c r="F761" s="1129" t="s">
        <v>2770</v>
      </c>
      <c r="G761" s="1" t="s">
        <v>45</v>
      </c>
      <c r="H761" s="223"/>
      <c r="I761" s="223"/>
      <c r="J761" s="223"/>
      <c r="K761" s="223"/>
      <c r="L761" s="223"/>
      <c r="M761" s="211" t="s">
        <v>3494</v>
      </c>
    </row>
    <row r="762" spans="1:13" ht="19.5">
      <c r="A762" s="158">
        <v>486</v>
      </c>
      <c r="B762" s="2" t="s">
        <v>3551</v>
      </c>
      <c r="C762" s="1" t="s">
        <v>3288</v>
      </c>
      <c r="D762" s="4" t="s">
        <v>3289</v>
      </c>
      <c r="E762" s="143">
        <v>4500</v>
      </c>
      <c r="F762" s="1133" t="s">
        <v>2770</v>
      </c>
      <c r="G762" s="1" t="s">
        <v>45</v>
      </c>
      <c r="H762" s="223"/>
      <c r="I762" s="223"/>
      <c r="J762" s="223"/>
      <c r="K762" s="223"/>
      <c r="L762" s="223"/>
      <c r="M762" s="211" t="s">
        <v>3446</v>
      </c>
    </row>
    <row r="763" spans="1:13" ht="19.5">
      <c r="A763" s="158">
        <v>487</v>
      </c>
      <c r="B763" s="2" t="s">
        <v>3552</v>
      </c>
      <c r="C763" s="1" t="s">
        <v>3290</v>
      </c>
      <c r="D763" s="4" t="s">
        <v>3289</v>
      </c>
      <c r="E763" s="143">
        <v>5500</v>
      </c>
      <c r="F763" s="1133" t="s">
        <v>2770</v>
      </c>
      <c r="G763" s="1" t="s">
        <v>45</v>
      </c>
      <c r="H763" s="223"/>
      <c r="I763" s="223"/>
      <c r="J763" s="223"/>
      <c r="K763" s="223"/>
      <c r="L763" s="223"/>
      <c r="M763" s="211" t="s">
        <v>3509</v>
      </c>
    </row>
    <row r="764" spans="1:13" s="914" customFormat="1" ht="20.25" thickBot="1">
      <c r="A764" s="907">
        <v>487</v>
      </c>
      <c r="B764" s="908"/>
      <c r="C764" s="909"/>
      <c r="D764" s="910" t="s">
        <v>64</v>
      </c>
      <c r="E764" s="911">
        <f>SUM(E277:E763)</f>
        <v>879613.6</v>
      </c>
      <c r="F764" s="909"/>
      <c r="G764" s="909"/>
      <c r="H764" s="912"/>
      <c r="I764" s="912"/>
      <c r="J764" s="912"/>
      <c r="K764" s="912"/>
      <c r="L764" s="912"/>
      <c r="M764" s="913"/>
    </row>
    <row r="765" spans="1:13" ht="20.25" thickTop="1">
      <c r="A765" s="158"/>
      <c r="B765" s="2"/>
      <c r="C765" s="1"/>
      <c r="D765" s="47"/>
      <c r="E765" s="264"/>
      <c r="F765" s="1"/>
      <c r="G765" s="1"/>
      <c r="H765" s="223"/>
      <c r="I765" s="223"/>
      <c r="J765" s="223"/>
      <c r="K765" s="223"/>
      <c r="L765" s="223"/>
      <c r="M765" s="211"/>
    </row>
    <row r="766" spans="1:13" ht="19.5">
      <c r="A766" s="1"/>
      <c r="B766" s="212" t="s">
        <v>507</v>
      </c>
      <c r="C766" s="1"/>
      <c r="D766" s="1"/>
      <c r="E766" s="57"/>
      <c r="F766" s="1"/>
      <c r="G766" s="1"/>
      <c r="H766" s="223"/>
      <c r="I766" s="223"/>
      <c r="J766" s="223"/>
      <c r="K766" s="223"/>
      <c r="L766" s="223"/>
      <c r="M766" s="211"/>
    </row>
    <row r="767" spans="1:13" ht="19.5">
      <c r="A767" s="1">
        <v>1</v>
      </c>
      <c r="B767" s="2" t="s">
        <v>508</v>
      </c>
      <c r="C767" s="1" t="s">
        <v>509</v>
      </c>
      <c r="D767" s="4">
        <v>45655</v>
      </c>
      <c r="E767" s="57">
        <v>4500</v>
      </c>
      <c r="F767" s="1127" t="s">
        <v>2433</v>
      </c>
      <c r="G767" s="1" t="s">
        <v>45</v>
      </c>
      <c r="H767" s="223"/>
      <c r="I767" s="223"/>
      <c r="J767" s="223"/>
      <c r="K767" s="223"/>
      <c r="L767" s="223"/>
      <c r="M767" s="211"/>
    </row>
    <row r="768" spans="1:13" ht="19.5">
      <c r="A768" s="1">
        <v>2</v>
      </c>
      <c r="B768" s="2" t="s">
        <v>508</v>
      </c>
      <c r="C768" s="1" t="s">
        <v>510</v>
      </c>
      <c r="D768" s="4">
        <v>45563</v>
      </c>
      <c r="E768" s="57">
        <v>5000</v>
      </c>
      <c r="F768" s="1127" t="s">
        <v>2433</v>
      </c>
      <c r="G768" s="1" t="s">
        <v>45</v>
      </c>
      <c r="H768" s="223"/>
      <c r="I768" s="223"/>
      <c r="J768" s="223"/>
      <c r="K768" s="223"/>
      <c r="L768" s="223"/>
      <c r="M768" s="211"/>
    </row>
    <row r="769" spans="1:13" ht="19.5">
      <c r="A769" s="1">
        <v>3</v>
      </c>
      <c r="B769" s="2" t="s">
        <v>508</v>
      </c>
      <c r="C769" s="1" t="s">
        <v>511</v>
      </c>
      <c r="D769" s="4">
        <v>45655</v>
      </c>
      <c r="E769" s="57">
        <v>4500</v>
      </c>
      <c r="F769" s="1127" t="s">
        <v>2433</v>
      </c>
      <c r="G769" s="1" t="s">
        <v>45</v>
      </c>
      <c r="H769" s="223"/>
      <c r="I769" s="223"/>
      <c r="J769" s="223"/>
      <c r="K769" s="223"/>
      <c r="L769" s="223"/>
      <c r="M769" s="211"/>
    </row>
    <row r="770" spans="1:13" ht="19.5">
      <c r="A770" s="1">
        <v>4</v>
      </c>
      <c r="B770" s="2" t="s">
        <v>512</v>
      </c>
      <c r="C770" s="1" t="s">
        <v>513</v>
      </c>
      <c r="D770" s="4">
        <v>46105</v>
      </c>
      <c r="E770" s="57">
        <v>5000</v>
      </c>
      <c r="F770" s="1127" t="s">
        <v>2433</v>
      </c>
      <c r="G770" s="1" t="s">
        <v>45</v>
      </c>
      <c r="H770" s="1"/>
      <c r="I770" s="1"/>
      <c r="J770" s="1"/>
      <c r="K770" s="1"/>
      <c r="L770" s="1"/>
      <c r="M770" s="211"/>
    </row>
    <row r="771" spans="1:13" ht="19.5">
      <c r="A771" s="1">
        <v>5</v>
      </c>
      <c r="B771" s="2" t="s">
        <v>508</v>
      </c>
      <c r="C771" s="1" t="s">
        <v>514</v>
      </c>
      <c r="D771" s="4">
        <v>13373</v>
      </c>
      <c r="E771" s="57">
        <v>15000</v>
      </c>
      <c r="F771" s="1127" t="s">
        <v>2433</v>
      </c>
      <c r="G771" s="1" t="s">
        <v>45</v>
      </c>
      <c r="H771" s="1"/>
      <c r="I771" s="1"/>
      <c r="J771" s="1"/>
      <c r="K771" s="1"/>
      <c r="L771" s="1"/>
      <c r="M771" s="211"/>
    </row>
    <row r="772" spans="1:13" ht="19.5">
      <c r="A772" s="1">
        <v>6</v>
      </c>
      <c r="B772" s="3" t="s">
        <v>1442</v>
      </c>
      <c r="C772" s="158" t="s">
        <v>1443</v>
      </c>
      <c r="D772" s="4">
        <v>14925</v>
      </c>
      <c r="E772" s="58">
        <v>20000</v>
      </c>
      <c r="F772" s="1156" t="s">
        <v>1265</v>
      </c>
      <c r="G772" s="1" t="s">
        <v>45</v>
      </c>
      <c r="H772" s="1"/>
      <c r="I772" s="1"/>
      <c r="J772" s="1"/>
      <c r="K772" s="1"/>
      <c r="L772" s="1"/>
      <c r="M772" s="211" t="s">
        <v>3167</v>
      </c>
    </row>
    <row r="773" spans="1:13" ht="19.5">
      <c r="A773" s="1">
        <v>7</v>
      </c>
      <c r="B773" s="2" t="s">
        <v>515</v>
      </c>
      <c r="C773" s="1" t="s">
        <v>516</v>
      </c>
      <c r="D773" s="4">
        <v>14925</v>
      </c>
      <c r="E773" s="57">
        <v>20000</v>
      </c>
      <c r="F773" s="1127" t="s">
        <v>2433</v>
      </c>
      <c r="G773" s="1" t="s">
        <v>45</v>
      </c>
      <c r="H773" s="1"/>
      <c r="I773" s="1"/>
      <c r="J773" s="1"/>
      <c r="K773" s="1"/>
      <c r="L773" s="1"/>
      <c r="M773" s="211"/>
    </row>
    <row r="774" spans="1:13" ht="19.5">
      <c r="A774" s="1">
        <v>8</v>
      </c>
      <c r="B774" s="2" t="s">
        <v>1444</v>
      </c>
      <c r="C774" s="1" t="s">
        <v>518</v>
      </c>
      <c r="D774" s="4">
        <v>14925</v>
      </c>
      <c r="E774" s="57">
        <v>10000</v>
      </c>
      <c r="F774" s="1156" t="s">
        <v>1265</v>
      </c>
      <c r="G774" s="1" t="s">
        <v>45</v>
      </c>
      <c r="H774" s="1"/>
      <c r="I774" s="1"/>
      <c r="J774" s="1"/>
      <c r="K774" s="1"/>
      <c r="L774" s="1"/>
      <c r="M774" s="211" t="s">
        <v>3185</v>
      </c>
    </row>
    <row r="775" spans="1:13" ht="19.5">
      <c r="A775" s="1">
        <v>9</v>
      </c>
      <c r="B775" s="2" t="s">
        <v>517</v>
      </c>
      <c r="C775" s="1" t="s">
        <v>519</v>
      </c>
      <c r="D775" s="4">
        <v>14925</v>
      </c>
      <c r="E775" s="57">
        <v>10000</v>
      </c>
      <c r="F775" s="1127" t="s">
        <v>2433</v>
      </c>
      <c r="G775" s="1" t="s">
        <v>45</v>
      </c>
      <c r="H775" s="1"/>
      <c r="I775" s="1"/>
      <c r="J775" s="1"/>
      <c r="K775" s="1"/>
      <c r="L775" s="1"/>
      <c r="M775" s="211"/>
    </row>
    <row r="776" spans="1:13" ht="19.5">
      <c r="A776" s="1">
        <v>10</v>
      </c>
      <c r="B776" s="2" t="s">
        <v>517</v>
      </c>
      <c r="C776" s="1" t="s">
        <v>520</v>
      </c>
      <c r="D776" s="4">
        <v>14925</v>
      </c>
      <c r="E776" s="57">
        <v>10000</v>
      </c>
      <c r="F776" s="1127" t="s">
        <v>2433</v>
      </c>
      <c r="G776" s="1" t="s">
        <v>45</v>
      </c>
      <c r="H776" s="1"/>
      <c r="I776" s="1"/>
      <c r="J776" s="1"/>
      <c r="K776" s="1"/>
      <c r="L776" s="1"/>
      <c r="M776" s="211"/>
    </row>
    <row r="777" spans="1:13" ht="19.5">
      <c r="A777" s="1">
        <v>11</v>
      </c>
      <c r="B777" s="2" t="s">
        <v>521</v>
      </c>
      <c r="C777" s="1" t="s">
        <v>522</v>
      </c>
      <c r="D777" s="4">
        <v>14964</v>
      </c>
      <c r="E777" s="57">
        <v>9990</v>
      </c>
      <c r="F777" s="1127" t="s">
        <v>2433</v>
      </c>
      <c r="G777" s="1" t="s">
        <v>45</v>
      </c>
      <c r="H777" s="1"/>
      <c r="I777" s="1"/>
      <c r="J777" s="1"/>
      <c r="K777" s="1"/>
      <c r="L777" s="1"/>
      <c r="M777" s="211"/>
    </row>
    <row r="778" spans="1:13" ht="19.5">
      <c r="A778" s="1">
        <v>12</v>
      </c>
      <c r="B778" s="2" t="s">
        <v>521</v>
      </c>
      <c r="C778" s="1" t="s">
        <v>523</v>
      </c>
      <c r="D778" s="4">
        <v>14964</v>
      </c>
      <c r="E778" s="57">
        <v>9990</v>
      </c>
      <c r="F778" s="1127" t="s">
        <v>2433</v>
      </c>
      <c r="G778" s="1" t="s">
        <v>45</v>
      </c>
      <c r="H778" s="1"/>
      <c r="I778" s="1"/>
      <c r="J778" s="1"/>
      <c r="K778" s="1"/>
      <c r="L778" s="1"/>
      <c r="M778" s="211"/>
    </row>
    <row r="779" spans="1:13" ht="19.5">
      <c r="A779" s="1">
        <v>13</v>
      </c>
      <c r="B779" s="2" t="s">
        <v>521</v>
      </c>
      <c r="C779" s="1" t="s">
        <v>524</v>
      </c>
      <c r="D779" s="4">
        <v>14964</v>
      </c>
      <c r="E779" s="57">
        <v>9990</v>
      </c>
      <c r="F779" s="1127" t="s">
        <v>2433</v>
      </c>
      <c r="G779" s="1" t="s">
        <v>45</v>
      </c>
      <c r="H779" s="1"/>
      <c r="I779" s="1"/>
      <c r="J779" s="1"/>
      <c r="K779" s="1"/>
      <c r="L779" s="1"/>
      <c r="M779" s="211"/>
    </row>
    <row r="780" spans="1:13" ht="19.5">
      <c r="A780" s="1">
        <v>14</v>
      </c>
      <c r="B780" s="2" t="s">
        <v>521</v>
      </c>
      <c r="C780" s="1" t="s">
        <v>525</v>
      </c>
      <c r="D780" s="4">
        <v>14964</v>
      </c>
      <c r="E780" s="57">
        <v>9990</v>
      </c>
      <c r="F780" s="1127" t="s">
        <v>2433</v>
      </c>
      <c r="G780" s="1" t="s">
        <v>45</v>
      </c>
      <c r="H780" s="1"/>
      <c r="I780" s="1"/>
      <c r="J780" s="1"/>
      <c r="K780" s="1"/>
      <c r="L780" s="1"/>
      <c r="M780" s="211"/>
    </row>
    <row r="781" spans="1:13" ht="19.5">
      <c r="A781" s="1">
        <v>15</v>
      </c>
      <c r="B781" s="2" t="s">
        <v>526</v>
      </c>
      <c r="C781" s="1" t="s">
        <v>527</v>
      </c>
      <c r="D781" s="4">
        <v>14964</v>
      </c>
      <c r="E781" s="57">
        <v>8000</v>
      </c>
      <c r="F781" s="1011" t="s">
        <v>1649</v>
      </c>
      <c r="G781" s="1" t="s">
        <v>45</v>
      </c>
      <c r="H781" s="1"/>
      <c r="I781" s="1"/>
      <c r="J781" s="1"/>
      <c r="K781" s="1"/>
      <c r="L781" s="1"/>
      <c r="M781" s="211"/>
    </row>
    <row r="782" spans="1:13" ht="19.5">
      <c r="A782" s="1">
        <v>16</v>
      </c>
      <c r="B782" s="2" t="s">
        <v>528</v>
      </c>
      <c r="C782" s="1" t="s">
        <v>529</v>
      </c>
      <c r="D782" s="4">
        <v>17760</v>
      </c>
      <c r="E782" s="57">
        <v>4494</v>
      </c>
      <c r="F782" s="1127" t="s">
        <v>2433</v>
      </c>
      <c r="G782" s="1" t="s">
        <v>45</v>
      </c>
      <c r="H782" s="1"/>
      <c r="I782" s="1"/>
      <c r="J782" s="1"/>
      <c r="K782" s="1"/>
      <c r="L782" s="1"/>
      <c r="M782" s="211"/>
    </row>
    <row r="783" spans="1:13" ht="19.5">
      <c r="A783" s="1">
        <v>17</v>
      </c>
      <c r="B783" s="2" t="s">
        <v>528</v>
      </c>
      <c r="C783" s="1" t="s">
        <v>530</v>
      </c>
      <c r="D783" s="4">
        <v>17760</v>
      </c>
      <c r="E783" s="57">
        <v>4494</v>
      </c>
      <c r="F783" s="1127" t="s">
        <v>2433</v>
      </c>
      <c r="G783" s="1" t="s">
        <v>45</v>
      </c>
      <c r="H783" s="1"/>
      <c r="I783" s="1"/>
      <c r="J783" s="1"/>
      <c r="K783" s="1"/>
      <c r="L783" s="1"/>
      <c r="M783" s="211"/>
    </row>
    <row r="784" spans="1:13" ht="19.5">
      <c r="A784" s="1">
        <v>18</v>
      </c>
      <c r="B784" s="2" t="s">
        <v>531</v>
      </c>
      <c r="C784" s="1" t="s">
        <v>532</v>
      </c>
      <c r="D784" s="4">
        <v>17760</v>
      </c>
      <c r="E784" s="57">
        <v>4494</v>
      </c>
      <c r="F784" s="1127" t="s">
        <v>2433</v>
      </c>
      <c r="G784" s="1" t="s">
        <v>45</v>
      </c>
      <c r="H784" s="1"/>
      <c r="I784" s="1"/>
      <c r="J784" s="1"/>
      <c r="K784" s="1"/>
      <c r="L784" s="1"/>
      <c r="M784" s="211"/>
    </row>
    <row r="785" spans="1:13" ht="19.5">
      <c r="A785" s="1">
        <v>19</v>
      </c>
      <c r="B785" s="2" t="s">
        <v>531</v>
      </c>
      <c r="C785" s="1" t="s">
        <v>533</v>
      </c>
      <c r="D785" s="4">
        <v>17760</v>
      </c>
      <c r="E785" s="57">
        <v>4494</v>
      </c>
      <c r="F785" s="1127" t="s">
        <v>2433</v>
      </c>
      <c r="G785" s="1" t="s">
        <v>45</v>
      </c>
      <c r="H785" s="1"/>
      <c r="I785" s="1"/>
      <c r="J785" s="1"/>
      <c r="K785" s="1"/>
      <c r="L785" s="1"/>
      <c r="M785" s="211"/>
    </row>
    <row r="786" spans="1:13" ht="19.5">
      <c r="A786" s="1">
        <v>20</v>
      </c>
      <c r="B786" s="239" t="s">
        <v>87</v>
      </c>
      <c r="C786" s="1" t="s">
        <v>534</v>
      </c>
      <c r="D786" s="4">
        <v>17533</v>
      </c>
      <c r="E786" s="57">
        <v>14500</v>
      </c>
      <c r="F786" s="1129" t="s">
        <v>1583</v>
      </c>
      <c r="G786" s="1" t="s">
        <v>45</v>
      </c>
      <c r="H786" s="1"/>
      <c r="I786" s="1"/>
      <c r="J786" s="1"/>
      <c r="K786" s="1"/>
      <c r="L786" s="1"/>
      <c r="M786" s="211" t="s">
        <v>3200</v>
      </c>
    </row>
    <row r="787" spans="1:13" ht="21">
      <c r="A787" s="1">
        <v>21</v>
      </c>
      <c r="B787" s="265" t="s">
        <v>1584</v>
      </c>
      <c r="C787" s="1" t="s">
        <v>535</v>
      </c>
      <c r="D787" s="4">
        <v>17880</v>
      </c>
      <c r="E787" s="57">
        <v>32000</v>
      </c>
      <c r="F787" s="1129" t="s">
        <v>1583</v>
      </c>
      <c r="G787" s="1" t="s">
        <v>45</v>
      </c>
      <c r="H787" s="1"/>
      <c r="I787" s="1"/>
      <c r="J787" s="1"/>
      <c r="K787" s="1"/>
      <c r="L787" s="1"/>
      <c r="M787" s="211" t="s">
        <v>3200</v>
      </c>
    </row>
    <row r="788" spans="1:13" ht="21">
      <c r="A788" s="1">
        <v>22</v>
      </c>
      <c r="B788" s="265" t="s">
        <v>1584</v>
      </c>
      <c r="C788" s="1" t="s">
        <v>536</v>
      </c>
      <c r="D788" s="4">
        <v>17880</v>
      </c>
      <c r="E788" s="57">
        <v>32000</v>
      </c>
      <c r="F788" s="1129" t="s">
        <v>1583</v>
      </c>
      <c r="G788" s="1" t="s">
        <v>45</v>
      </c>
      <c r="H788" s="1"/>
      <c r="I788" s="1"/>
      <c r="J788" s="1"/>
      <c r="K788" s="1"/>
      <c r="L788" s="1"/>
      <c r="M788" s="211" t="s">
        <v>3200</v>
      </c>
    </row>
    <row r="789" spans="1:13" ht="21">
      <c r="A789" s="1">
        <v>23</v>
      </c>
      <c r="B789" s="265" t="s">
        <v>1585</v>
      </c>
      <c r="C789" s="1" t="s">
        <v>537</v>
      </c>
      <c r="D789" s="4">
        <v>17880</v>
      </c>
      <c r="E789" s="57">
        <v>8000</v>
      </c>
      <c r="F789" s="1129" t="s">
        <v>1583</v>
      </c>
      <c r="G789" s="1" t="s">
        <v>45</v>
      </c>
      <c r="H789" s="1"/>
      <c r="I789" s="1"/>
      <c r="J789" s="1"/>
      <c r="K789" s="1"/>
      <c r="L789" s="1"/>
      <c r="M789" s="211" t="s">
        <v>3200</v>
      </c>
    </row>
    <row r="790" spans="1:13" ht="21">
      <c r="A790" s="1">
        <v>24</v>
      </c>
      <c r="B790" s="265" t="s">
        <v>1585</v>
      </c>
      <c r="C790" s="1" t="s">
        <v>538</v>
      </c>
      <c r="D790" s="4">
        <v>17880</v>
      </c>
      <c r="E790" s="57">
        <v>8000</v>
      </c>
      <c r="F790" s="1129" t="s">
        <v>1583</v>
      </c>
      <c r="G790" s="1" t="s">
        <v>45</v>
      </c>
      <c r="H790" s="1"/>
      <c r="I790" s="1"/>
      <c r="J790" s="1"/>
      <c r="K790" s="1"/>
      <c r="L790" s="1"/>
      <c r="M790" s="211" t="s">
        <v>3200</v>
      </c>
    </row>
    <row r="791" spans="1:13" ht="21">
      <c r="A791" s="1">
        <v>25</v>
      </c>
      <c r="B791" s="265" t="s">
        <v>1585</v>
      </c>
      <c r="C791" s="1" t="s">
        <v>539</v>
      </c>
      <c r="D791" s="4">
        <v>17880</v>
      </c>
      <c r="E791" s="57">
        <v>8000</v>
      </c>
      <c r="F791" s="1129" t="s">
        <v>1583</v>
      </c>
      <c r="G791" s="1" t="s">
        <v>45</v>
      </c>
      <c r="H791" s="1"/>
      <c r="I791" s="1"/>
      <c r="J791" s="1"/>
      <c r="K791" s="1"/>
      <c r="L791" s="1"/>
      <c r="M791" s="211" t="s">
        <v>3200</v>
      </c>
    </row>
    <row r="792" spans="1:13" ht="19.5">
      <c r="A792" s="1">
        <v>26</v>
      </c>
      <c r="B792" s="2" t="s">
        <v>540</v>
      </c>
      <c r="C792" s="1" t="s">
        <v>541</v>
      </c>
      <c r="D792" s="4">
        <v>17880</v>
      </c>
      <c r="E792" s="57">
        <v>9500</v>
      </c>
      <c r="F792" s="1127" t="s">
        <v>2433</v>
      </c>
      <c r="G792" s="1" t="s">
        <v>45</v>
      </c>
      <c r="H792" s="1"/>
      <c r="I792" s="1"/>
      <c r="J792" s="1"/>
      <c r="K792" s="1"/>
      <c r="L792" s="1"/>
      <c r="M792" s="211"/>
    </row>
    <row r="793" spans="1:13" ht="21">
      <c r="A793" s="1">
        <v>27</v>
      </c>
      <c r="B793" s="265" t="s">
        <v>1588</v>
      </c>
      <c r="C793" s="1" t="s">
        <v>542</v>
      </c>
      <c r="D793" s="4">
        <v>17533</v>
      </c>
      <c r="E793" s="57">
        <v>16000</v>
      </c>
      <c r="F793" s="1129" t="s">
        <v>1583</v>
      </c>
      <c r="G793" s="1" t="s">
        <v>45</v>
      </c>
      <c r="H793" s="1"/>
      <c r="I793" s="1"/>
      <c r="J793" s="1"/>
      <c r="K793" s="1"/>
      <c r="L793" s="1"/>
      <c r="M793" s="211" t="s">
        <v>3200</v>
      </c>
    </row>
    <row r="794" spans="1:13" ht="21">
      <c r="A794" s="1">
        <v>28</v>
      </c>
      <c r="B794" s="265" t="s">
        <v>1586</v>
      </c>
      <c r="C794" s="1" t="s">
        <v>543</v>
      </c>
      <c r="D794" s="4">
        <v>17880</v>
      </c>
      <c r="E794" s="57">
        <v>8000</v>
      </c>
      <c r="F794" s="1129" t="s">
        <v>1583</v>
      </c>
      <c r="G794" s="1" t="s">
        <v>45</v>
      </c>
      <c r="H794" s="1"/>
      <c r="I794" s="1"/>
      <c r="J794" s="1"/>
      <c r="K794" s="1"/>
      <c r="L794" s="1"/>
      <c r="M794" s="211" t="s">
        <v>3200</v>
      </c>
    </row>
    <row r="795" spans="1:13" ht="21">
      <c r="A795" s="1">
        <v>29</v>
      </c>
      <c r="B795" s="265" t="s">
        <v>1586</v>
      </c>
      <c r="C795" s="1" t="s">
        <v>544</v>
      </c>
      <c r="D795" s="4">
        <v>17880</v>
      </c>
      <c r="E795" s="57">
        <v>8000</v>
      </c>
      <c r="F795" s="1129" t="s">
        <v>1583</v>
      </c>
      <c r="G795" s="1" t="s">
        <v>45</v>
      </c>
      <c r="H795" s="1"/>
      <c r="I795" s="1"/>
      <c r="J795" s="1"/>
      <c r="K795" s="1"/>
      <c r="L795" s="1"/>
      <c r="M795" s="211" t="s">
        <v>3200</v>
      </c>
    </row>
    <row r="796" spans="1:13" ht="21">
      <c r="A796" s="1">
        <v>30</v>
      </c>
      <c r="B796" s="265" t="s">
        <v>1586</v>
      </c>
      <c r="C796" s="1" t="s">
        <v>545</v>
      </c>
      <c r="D796" s="4">
        <v>17880</v>
      </c>
      <c r="E796" s="57">
        <v>8000</v>
      </c>
      <c r="F796" s="1129" t="s">
        <v>1583</v>
      </c>
      <c r="G796" s="1" t="s">
        <v>45</v>
      </c>
      <c r="H796" s="1"/>
      <c r="I796" s="1"/>
      <c r="J796" s="1"/>
      <c r="K796" s="1"/>
      <c r="L796" s="1"/>
      <c r="M796" s="211" t="s">
        <v>3200</v>
      </c>
    </row>
    <row r="797" spans="1:13" ht="21">
      <c r="A797" s="1">
        <v>31</v>
      </c>
      <c r="B797" s="265" t="s">
        <v>1586</v>
      </c>
      <c r="C797" s="1" t="s">
        <v>546</v>
      </c>
      <c r="D797" s="4">
        <v>17880</v>
      </c>
      <c r="E797" s="57">
        <v>8000</v>
      </c>
      <c r="F797" s="1129" t="s">
        <v>1583</v>
      </c>
      <c r="G797" s="1" t="s">
        <v>45</v>
      </c>
      <c r="H797" s="1"/>
      <c r="I797" s="1"/>
      <c r="J797" s="1"/>
      <c r="K797" s="1"/>
      <c r="L797" s="1"/>
      <c r="M797" s="211" t="s">
        <v>3200</v>
      </c>
    </row>
    <row r="798" spans="1:13" ht="19.5">
      <c r="A798" s="1">
        <v>32</v>
      </c>
      <c r="B798" s="2" t="s">
        <v>508</v>
      </c>
      <c r="C798" s="1" t="s">
        <v>2341</v>
      </c>
      <c r="D798" s="4">
        <v>17932</v>
      </c>
      <c r="E798" s="57">
        <v>22000</v>
      </c>
      <c r="F798" s="1127" t="s">
        <v>2433</v>
      </c>
      <c r="G798" s="1" t="s">
        <v>45</v>
      </c>
      <c r="H798" s="1"/>
      <c r="I798" s="1"/>
      <c r="J798" s="1"/>
      <c r="K798" s="1"/>
      <c r="L798" s="1"/>
      <c r="M798" s="211"/>
    </row>
    <row r="799" spans="1:13" ht="19.5">
      <c r="A799" s="1">
        <v>33</v>
      </c>
      <c r="B799" s="183" t="s">
        <v>1100</v>
      </c>
      <c r="C799" s="266" t="s">
        <v>1101</v>
      </c>
      <c r="D799" s="4">
        <v>18861</v>
      </c>
      <c r="E799" s="1079">
        <v>25000</v>
      </c>
      <c r="F799" s="939" t="s">
        <v>999</v>
      </c>
      <c r="G799" s="1" t="s">
        <v>45</v>
      </c>
      <c r="H799" s="1"/>
      <c r="I799" s="1"/>
      <c r="J799" s="1"/>
      <c r="K799" s="1"/>
      <c r="L799" s="1"/>
      <c r="M799" s="211"/>
    </row>
    <row r="800" spans="1:13" ht="19.5">
      <c r="A800" s="1">
        <v>34</v>
      </c>
      <c r="B800" s="267" t="s">
        <v>2934</v>
      </c>
      <c r="C800" s="158" t="s">
        <v>2935</v>
      </c>
      <c r="D800" s="4">
        <v>242885</v>
      </c>
      <c r="E800" s="187">
        <v>39500</v>
      </c>
      <c r="F800" s="1127" t="s">
        <v>2922</v>
      </c>
      <c r="G800" s="1" t="s">
        <v>45</v>
      </c>
      <c r="H800" s="1"/>
      <c r="I800" s="1"/>
      <c r="J800" s="1"/>
      <c r="K800" s="1"/>
      <c r="L800" s="1"/>
      <c r="M800" s="211" t="s">
        <v>3495</v>
      </c>
    </row>
    <row r="801" spans="1:13" s="891" customFormat="1" ht="19.5">
      <c r="A801" s="857">
        <v>35</v>
      </c>
      <c r="B801" s="892" t="s">
        <v>508</v>
      </c>
      <c r="C801" s="859" t="s">
        <v>3735</v>
      </c>
      <c r="D801" s="866">
        <v>243536</v>
      </c>
      <c r="E801" s="893">
        <v>34500</v>
      </c>
      <c r="F801" s="873" t="s">
        <v>2770</v>
      </c>
      <c r="G801" s="857" t="s">
        <v>45</v>
      </c>
      <c r="H801" s="857"/>
      <c r="I801" s="857"/>
      <c r="J801" s="857"/>
      <c r="K801" s="857"/>
      <c r="L801" s="857"/>
      <c r="M801" s="860" t="s">
        <v>3549</v>
      </c>
    </row>
    <row r="802" spans="1:13" s="914" customFormat="1" ht="20.25" thickBot="1">
      <c r="A802" s="909">
        <v>35</v>
      </c>
      <c r="B802" s="918"/>
      <c r="C802" s="909"/>
      <c r="D802" s="910" t="s">
        <v>64</v>
      </c>
      <c r="E802" s="911">
        <f>SUM(E767:E801)</f>
        <v>450936</v>
      </c>
      <c r="F802" s="909"/>
      <c r="G802" s="919"/>
      <c r="H802" s="909"/>
      <c r="I802" s="909"/>
      <c r="J802" s="909"/>
      <c r="K802" s="909"/>
      <c r="L802" s="909"/>
      <c r="M802" s="913"/>
    </row>
    <row r="803" spans="1:13" ht="20.25" thickTop="1">
      <c r="A803" s="1"/>
      <c r="B803" s="48"/>
      <c r="C803" s="1"/>
      <c r="D803" s="47"/>
      <c r="E803" s="269"/>
      <c r="F803" s="1"/>
      <c r="G803" s="268"/>
      <c r="H803" s="1"/>
      <c r="I803" s="1"/>
      <c r="J803" s="1"/>
      <c r="K803" s="1"/>
      <c r="L803" s="1"/>
      <c r="M803" s="211"/>
    </row>
    <row r="804" spans="1:13" ht="19.5">
      <c r="A804" s="1"/>
      <c r="B804" s="212" t="s">
        <v>547</v>
      </c>
      <c r="C804" s="1"/>
      <c r="D804" s="47"/>
      <c r="E804" s="264"/>
      <c r="F804" s="1"/>
      <c r="G804" s="268"/>
      <c r="H804" s="1"/>
      <c r="I804" s="1"/>
      <c r="J804" s="1"/>
      <c r="K804" s="1"/>
      <c r="L804" s="1"/>
      <c r="M804" s="211"/>
    </row>
    <row r="805" spans="1:13" ht="19.5">
      <c r="A805" s="1">
        <v>1</v>
      </c>
      <c r="B805" s="3" t="s">
        <v>1445</v>
      </c>
      <c r="C805" s="158" t="s">
        <v>1446</v>
      </c>
      <c r="D805" s="270">
        <v>11586</v>
      </c>
      <c r="E805" s="58">
        <v>1600</v>
      </c>
      <c r="F805" s="1131" t="s">
        <v>1265</v>
      </c>
      <c r="G805" s="1" t="s">
        <v>45</v>
      </c>
      <c r="H805" s="1"/>
      <c r="I805" s="1"/>
      <c r="J805" s="1"/>
      <c r="K805" s="1"/>
      <c r="L805" s="1"/>
      <c r="M805" s="211" t="s">
        <v>3186</v>
      </c>
    </row>
    <row r="806" spans="1:13" ht="19.5">
      <c r="A806" s="1">
        <v>2</v>
      </c>
      <c r="B806" s="3" t="s">
        <v>739</v>
      </c>
      <c r="C806" s="158" t="s">
        <v>2337</v>
      </c>
      <c r="D806" s="270">
        <v>14665</v>
      </c>
      <c r="E806" s="58">
        <v>500</v>
      </c>
      <c r="F806" s="1127" t="s">
        <v>2433</v>
      </c>
      <c r="G806" s="1" t="s">
        <v>45</v>
      </c>
      <c r="H806" s="1"/>
      <c r="I806" s="1"/>
      <c r="J806" s="1"/>
      <c r="K806" s="1"/>
      <c r="L806" s="1"/>
      <c r="M806" s="211"/>
    </row>
    <row r="807" spans="1:13" ht="19.5">
      <c r="A807" s="1">
        <v>3</v>
      </c>
      <c r="B807" s="3" t="s">
        <v>739</v>
      </c>
      <c r="C807" s="158" t="s">
        <v>2338</v>
      </c>
      <c r="D807" s="270">
        <v>14665</v>
      </c>
      <c r="E807" s="58">
        <v>500</v>
      </c>
      <c r="F807" s="1127" t="s">
        <v>2433</v>
      </c>
      <c r="G807" s="1" t="s">
        <v>45</v>
      </c>
      <c r="H807" s="1"/>
      <c r="I807" s="1"/>
      <c r="J807" s="1"/>
      <c r="K807" s="1"/>
      <c r="L807" s="1"/>
      <c r="M807" s="211"/>
    </row>
    <row r="808" spans="1:13" ht="19.5">
      <c r="A808" s="1">
        <v>4</v>
      </c>
      <c r="B808" s="3" t="s">
        <v>2739</v>
      </c>
      <c r="C808" s="158" t="s">
        <v>2740</v>
      </c>
      <c r="D808" s="270">
        <v>19743</v>
      </c>
      <c r="E808" s="1078">
        <v>6500</v>
      </c>
      <c r="F808" s="1173" t="s">
        <v>2117</v>
      </c>
      <c r="G808" s="1" t="s">
        <v>45</v>
      </c>
      <c r="H808" s="1"/>
      <c r="I808" s="1"/>
      <c r="J808" s="1"/>
      <c r="K808" s="1"/>
      <c r="L808" s="1"/>
      <c r="M808" s="211" t="s">
        <v>3516</v>
      </c>
    </row>
    <row r="809" spans="1:13" ht="19.5">
      <c r="A809" s="1">
        <v>5</v>
      </c>
      <c r="B809" s="3" t="s">
        <v>2739</v>
      </c>
      <c r="C809" s="158" t="s">
        <v>2741</v>
      </c>
      <c r="D809" s="270">
        <v>19743</v>
      </c>
      <c r="E809" s="1078">
        <v>6500</v>
      </c>
      <c r="F809" s="1173" t="s">
        <v>2117</v>
      </c>
      <c r="G809" s="1" t="s">
        <v>45</v>
      </c>
      <c r="H809" s="1"/>
      <c r="I809" s="1"/>
      <c r="J809" s="1"/>
      <c r="K809" s="1"/>
      <c r="L809" s="1"/>
      <c r="M809" s="211" t="s">
        <v>3516</v>
      </c>
    </row>
    <row r="810" spans="1:13" ht="19.5">
      <c r="A810" s="1">
        <v>6</v>
      </c>
      <c r="B810" s="3" t="s">
        <v>2739</v>
      </c>
      <c r="C810" s="158" t="s">
        <v>2742</v>
      </c>
      <c r="D810" s="270">
        <v>19743</v>
      </c>
      <c r="E810" s="1078">
        <v>6500</v>
      </c>
      <c r="F810" s="1173" t="s">
        <v>2117</v>
      </c>
      <c r="G810" s="1" t="s">
        <v>45</v>
      </c>
      <c r="H810" s="1"/>
      <c r="I810" s="1"/>
      <c r="J810" s="1"/>
      <c r="K810" s="1"/>
      <c r="L810" s="1"/>
      <c r="M810" s="211" t="s">
        <v>3516</v>
      </c>
    </row>
    <row r="811" spans="1:13" ht="19.5">
      <c r="A811" s="1">
        <v>7</v>
      </c>
      <c r="B811" s="3" t="s">
        <v>2739</v>
      </c>
      <c r="C811" s="158" t="s">
        <v>2743</v>
      </c>
      <c r="D811" s="270">
        <v>19743</v>
      </c>
      <c r="E811" s="1078">
        <v>6500</v>
      </c>
      <c r="F811" s="1173" t="s">
        <v>2117</v>
      </c>
      <c r="G811" s="1" t="s">
        <v>45</v>
      </c>
      <c r="H811" s="1"/>
      <c r="I811" s="1"/>
      <c r="J811" s="1"/>
      <c r="K811" s="1"/>
      <c r="L811" s="1"/>
      <c r="M811" s="211" t="s">
        <v>3516</v>
      </c>
    </row>
    <row r="812" spans="1:13" ht="39">
      <c r="A812" s="223">
        <v>8</v>
      </c>
      <c r="B812" s="271" t="s">
        <v>1102</v>
      </c>
      <c r="C812" s="223" t="s">
        <v>1103</v>
      </c>
      <c r="D812" s="270">
        <v>21983</v>
      </c>
      <c r="E812" s="1080">
        <v>6350</v>
      </c>
      <c r="F812" s="1179" t="s">
        <v>999</v>
      </c>
      <c r="G812" s="223" t="s">
        <v>45</v>
      </c>
      <c r="H812" s="1"/>
      <c r="I812" s="1"/>
      <c r="J812" s="1"/>
      <c r="K812" s="1"/>
      <c r="L812" s="1"/>
      <c r="M812" s="211"/>
    </row>
    <row r="813" spans="1:13" ht="39">
      <c r="A813" s="223">
        <v>9</v>
      </c>
      <c r="B813" s="271" t="s">
        <v>1102</v>
      </c>
      <c r="C813" s="223" t="s">
        <v>1104</v>
      </c>
      <c r="D813" s="270">
        <v>21983</v>
      </c>
      <c r="E813" s="1080">
        <v>6350</v>
      </c>
      <c r="F813" s="1179" t="s">
        <v>999</v>
      </c>
      <c r="G813" s="223" t="s">
        <v>45</v>
      </c>
      <c r="H813" s="1"/>
      <c r="I813" s="1"/>
      <c r="J813" s="1"/>
      <c r="K813" s="1"/>
      <c r="L813" s="1"/>
      <c r="M813" s="211"/>
    </row>
    <row r="814" spans="1:13" ht="39">
      <c r="A814" s="223">
        <v>10</v>
      </c>
      <c r="B814" s="271" t="s">
        <v>1102</v>
      </c>
      <c r="C814" s="223" t="s">
        <v>1105</v>
      </c>
      <c r="D814" s="270">
        <v>21983</v>
      </c>
      <c r="E814" s="1080">
        <v>6350</v>
      </c>
      <c r="F814" s="1179" t="s">
        <v>999</v>
      </c>
      <c r="G814" s="223" t="s">
        <v>45</v>
      </c>
      <c r="H814" s="1"/>
      <c r="I814" s="1"/>
      <c r="J814" s="1"/>
      <c r="K814" s="1"/>
      <c r="L814" s="1"/>
      <c r="M814" s="211"/>
    </row>
    <row r="815" spans="1:13" ht="39">
      <c r="A815" s="223">
        <v>11</v>
      </c>
      <c r="B815" s="271" t="s">
        <v>1102</v>
      </c>
      <c r="C815" s="223" t="s">
        <v>1106</v>
      </c>
      <c r="D815" s="270">
        <v>21983</v>
      </c>
      <c r="E815" s="1080">
        <v>6350</v>
      </c>
      <c r="F815" s="1179" t="s">
        <v>999</v>
      </c>
      <c r="G815" s="223" t="s">
        <v>45</v>
      </c>
      <c r="H815" s="1"/>
      <c r="I815" s="1"/>
      <c r="J815" s="1"/>
      <c r="K815" s="1"/>
      <c r="L815" s="1"/>
      <c r="M815" s="211"/>
    </row>
    <row r="816" spans="1:13" ht="39">
      <c r="A816" s="223">
        <v>12</v>
      </c>
      <c r="B816" s="271" t="s">
        <v>1102</v>
      </c>
      <c r="C816" s="223" t="s">
        <v>1107</v>
      </c>
      <c r="D816" s="270">
        <v>21983</v>
      </c>
      <c r="E816" s="1080">
        <v>6350</v>
      </c>
      <c r="F816" s="1179" t="s">
        <v>999</v>
      </c>
      <c r="G816" s="223" t="s">
        <v>45</v>
      </c>
      <c r="H816" s="1"/>
      <c r="I816" s="1"/>
      <c r="J816" s="1"/>
      <c r="K816" s="1"/>
      <c r="L816" s="1"/>
      <c r="M816" s="211"/>
    </row>
    <row r="817" spans="1:13" ht="39">
      <c r="A817" s="223">
        <v>13</v>
      </c>
      <c r="B817" s="271" t="s">
        <v>1102</v>
      </c>
      <c r="C817" s="223" t="s">
        <v>1108</v>
      </c>
      <c r="D817" s="270">
        <v>21983</v>
      </c>
      <c r="E817" s="1080">
        <v>6350</v>
      </c>
      <c r="F817" s="1179" t="s">
        <v>999</v>
      </c>
      <c r="G817" s="223" t="s">
        <v>45</v>
      </c>
      <c r="H817" s="1"/>
      <c r="I817" s="1"/>
      <c r="J817" s="1"/>
      <c r="K817" s="1"/>
      <c r="L817" s="1"/>
      <c r="M817" s="211"/>
    </row>
    <row r="818" spans="1:13" ht="39">
      <c r="A818" s="223">
        <v>14</v>
      </c>
      <c r="B818" s="271" t="s">
        <v>1102</v>
      </c>
      <c r="C818" s="223" t="s">
        <v>1109</v>
      </c>
      <c r="D818" s="270">
        <v>21983</v>
      </c>
      <c r="E818" s="1080">
        <v>6350</v>
      </c>
      <c r="F818" s="1179" t="s">
        <v>999</v>
      </c>
      <c r="G818" s="223" t="s">
        <v>45</v>
      </c>
      <c r="H818" s="1"/>
      <c r="I818" s="1"/>
      <c r="J818" s="1"/>
      <c r="K818" s="1"/>
      <c r="L818" s="1"/>
      <c r="M818" s="211"/>
    </row>
    <row r="819" spans="1:13" ht="39">
      <c r="A819" s="223">
        <v>15</v>
      </c>
      <c r="B819" s="271" t="s">
        <v>1102</v>
      </c>
      <c r="C819" s="223" t="s">
        <v>1110</v>
      </c>
      <c r="D819" s="270">
        <v>21983</v>
      </c>
      <c r="E819" s="1080">
        <v>6350</v>
      </c>
      <c r="F819" s="1179" t="s">
        <v>999</v>
      </c>
      <c r="G819" s="223" t="s">
        <v>45</v>
      </c>
      <c r="H819" s="1"/>
      <c r="I819" s="1"/>
      <c r="J819" s="1"/>
      <c r="K819" s="1"/>
      <c r="L819" s="1"/>
      <c r="M819" s="211"/>
    </row>
    <row r="820" spans="1:13" ht="39">
      <c r="A820" s="223">
        <v>16</v>
      </c>
      <c r="B820" s="271" t="s">
        <v>1102</v>
      </c>
      <c r="C820" s="223" t="s">
        <v>1111</v>
      </c>
      <c r="D820" s="270">
        <v>21983</v>
      </c>
      <c r="E820" s="1080">
        <v>6350</v>
      </c>
      <c r="F820" s="1179" t="s">
        <v>999</v>
      </c>
      <c r="G820" s="223" t="s">
        <v>45</v>
      </c>
      <c r="H820" s="1"/>
      <c r="I820" s="1"/>
      <c r="J820" s="1"/>
      <c r="K820" s="1"/>
      <c r="L820" s="1"/>
      <c r="M820" s="211"/>
    </row>
    <row r="821" spans="1:13" ht="39">
      <c r="A821" s="223">
        <v>17</v>
      </c>
      <c r="B821" s="271" t="s">
        <v>1102</v>
      </c>
      <c r="C821" s="223" t="s">
        <v>1112</v>
      </c>
      <c r="D821" s="270">
        <v>21983</v>
      </c>
      <c r="E821" s="1080">
        <v>6350</v>
      </c>
      <c r="F821" s="1179" t="s">
        <v>999</v>
      </c>
      <c r="G821" s="223" t="s">
        <v>45</v>
      </c>
      <c r="H821" s="1"/>
      <c r="I821" s="1"/>
      <c r="J821" s="1"/>
      <c r="K821" s="1"/>
      <c r="L821" s="1"/>
      <c r="M821" s="211"/>
    </row>
    <row r="822" spans="1:13" ht="39">
      <c r="A822" s="223">
        <v>18</v>
      </c>
      <c r="B822" s="271" t="s">
        <v>1102</v>
      </c>
      <c r="C822" s="223" t="s">
        <v>1113</v>
      </c>
      <c r="D822" s="270">
        <v>21983</v>
      </c>
      <c r="E822" s="1080">
        <v>6350</v>
      </c>
      <c r="F822" s="1179" t="s">
        <v>999</v>
      </c>
      <c r="G822" s="223" t="s">
        <v>45</v>
      </c>
      <c r="H822" s="1"/>
      <c r="I822" s="1"/>
      <c r="J822" s="1"/>
      <c r="K822" s="1"/>
      <c r="L822" s="1"/>
      <c r="M822" s="211"/>
    </row>
    <row r="823" spans="1:13" s="44" customFormat="1" ht="39">
      <c r="A823" s="223">
        <v>19</v>
      </c>
      <c r="B823" s="271" t="s">
        <v>1102</v>
      </c>
      <c r="C823" s="223" t="s">
        <v>1114</v>
      </c>
      <c r="D823" s="270">
        <v>21983</v>
      </c>
      <c r="E823" s="1080">
        <v>6350</v>
      </c>
      <c r="F823" s="1179" t="s">
        <v>999</v>
      </c>
      <c r="G823" s="223" t="s">
        <v>45</v>
      </c>
      <c r="H823" s="1"/>
      <c r="I823" s="1"/>
      <c r="J823" s="1"/>
      <c r="K823" s="1"/>
      <c r="L823" s="1"/>
      <c r="M823" s="211"/>
    </row>
    <row r="824" spans="1:13" s="44" customFormat="1" ht="39">
      <c r="A824" s="223">
        <v>20</v>
      </c>
      <c r="B824" s="271" t="s">
        <v>1102</v>
      </c>
      <c r="C824" s="223" t="s">
        <v>1115</v>
      </c>
      <c r="D824" s="270">
        <v>21983</v>
      </c>
      <c r="E824" s="1080">
        <v>6350</v>
      </c>
      <c r="F824" s="1179" t="s">
        <v>999</v>
      </c>
      <c r="G824" s="223" t="s">
        <v>45</v>
      </c>
      <c r="H824" s="1"/>
      <c r="I824" s="1"/>
      <c r="J824" s="1"/>
      <c r="K824" s="1"/>
      <c r="L824" s="1"/>
      <c r="M824" s="211"/>
    </row>
    <row r="825" spans="1:13" ht="39">
      <c r="A825" s="223">
        <v>21</v>
      </c>
      <c r="B825" s="271" t="s">
        <v>1102</v>
      </c>
      <c r="C825" s="223" t="s">
        <v>1116</v>
      </c>
      <c r="D825" s="270">
        <v>21983</v>
      </c>
      <c r="E825" s="1080">
        <v>6350</v>
      </c>
      <c r="F825" s="1179" t="s">
        <v>999</v>
      </c>
      <c r="G825" s="223" t="s">
        <v>45</v>
      </c>
      <c r="H825" s="1"/>
      <c r="I825" s="1"/>
      <c r="J825" s="1"/>
      <c r="K825" s="1"/>
      <c r="L825" s="1"/>
      <c r="M825" s="211"/>
    </row>
    <row r="826" spans="1:13" ht="39">
      <c r="A826" s="223">
        <v>22</v>
      </c>
      <c r="B826" s="271" t="s">
        <v>1102</v>
      </c>
      <c r="C826" s="223" t="s">
        <v>1117</v>
      </c>
      <c r="D826" s="270">
        <v>21983</v>
      </c>
      <c r="E826" s="1080">
        <v>6350</v>
      </c>
      <c r="F826" s="1179" t="s">
        <v>999</v>
      </c>
      <c r="G826" s="223" t="s">
        <v>45</v>
      </c>
      <c r="H826" s="1"/>
      <c r="I826" s="1"/>
      <c r="J826" s="1"/>
      <c r="K826" s="1"/>
      <c r="L826" s="1"/>
      <c r="M826" s="211"/>
    </row>
    <row r="827" spans="1:13" s="914" customFormat="1" ht="20.25" thickBot="1">
      <c r="A827" s="909">
        <v>22</v>
      </c>
      <c r="B827" s="908"/>
      <c r="C827" s="909"/>
      <c r="D827" s="910" t="s">
        <v>64</v>
      </c>
      <c r="E827" s="911">
        <f>SUM(E805:E826)</f>
        <v>123850</v>
      </c>
      <c r="F827" s="909"/>
      <c r="G827" s="909"/>
      <c r="H827" s="909"/>
      <c r="I827" s="909"/>
      <c r="J827" s="909"/>
      <c r="K827" s="909"/>
      <c r="L827" s="909"/>
      <c r="M827" s="913"/>
    </row>
    <row r="828" spans="1:13" ht="20.25" thickTop="1">
      <c r="A828" s="1"/>
      <c r="B828" s="2"/>
      <c r="C828" s="1"/>
      <c r="D828" s="47"/>
      <c r="E828" s="264"/>
      <c r="F828" s="1"/>
      <c r="G828" s="1"/>
      <c r="H828" s="1"/>
      <c r="I828" s="1"/>
      <c r="J828" s="1"/>
      <c r="K828" s="1"/>
      <c r="L828" s="1"/>
      <c r="M828" s="211"/>
    </row>
    <row r="829" spans="1:13" ht="19.5">
      <c r="A829" s="238"/>
      <c r="B829" s="212" t="s">
        <v>548</v>
      </c>
      <c r="C829" s="1"/>
      <c r="D829" s="1"/>
      <c r="E829" s="57"/>
      <c r="F829" s="1"/>
      <c r="G829" s="1"/>
      <c r="H829" s="1"/>
      <c r="I829" s="1"/>
      <c r="J829" s="1"/>
      <c r="K829" s="1"/>
      <c r="L829" s="1"/>
      <c r="M829" s="211"/>
    </row>
    <row r="830" spans="1:13" ht="19.5">
      <c r="A830" s="1">
        <v>1</v>
      </c>
      <c r="B830" s="2" t="s">
        <v>549</v>
      </c>
      <c r="C830" s="1" t="s">
        <v>550</v>
      </c>
      <c r="D830" s="270">
        <v>17890</v>
      </c>
      <c r="E830" s="57">
        <v>30000</v>
      </c>
      <c r="F830" s="1127" t="s">
        <v>2433</v>
      </c>
      <c r="G830" s="1" t="s">
        <v>45</v>
      </c>
      <c r="H830" s="1"/>
      <c r="I830" s="1"/>
      <c r="J830" s="1"/>
      <c r="K830" s="1"/>
      <c r="L830" s="1"/>
      <c r="M830" s="211"/>
    </row>
    <row r="831" spans="1:13" s="914" customFormat="1" ht="20.25" thickBot="1">
      <c r="A831" s="909">
        <v>1</v>
      </c>
      <c r="B831" s="908"/>
      <c r="C831" s="909"/>
      <c r="D831" s="910" t="s">
        <v>64</v>
      </c>
      <c r="E831" s="911">
        <f>SUM(E830:E830)</f>
        <v>30000</v>
      </c>
      <c r="F831" s="909"/>
      <c r="G831" s="909"/>
      <c r="H831" s="909"/>
      <c r="I831" s="909"/>
      <c r="J831" s="909"/>
      <c r="K831" s="909"/>
      <c r="L831" s="909"/>
      <c r="M831" s="913"/>
    </row>
    <row r="832" spans="1:13" ht="20.25" thickTop="1">
      <c r="A832" s="1"/>
      <c r="B832" s="212" t="s">
        <v>551</v>
      </c>
      <c r="C832" s="1"/>
      <c r="D832" s="47"/>
      <c r="E832" s="264"/>
      <c r="F832" s="1"/>
      <c r="G832" s="268"/>
      <c r="H832" s="1"/>
      <c r="I832" s="1"/>
      <c r="J832" s="1"/>
      <c r="K832" s="1"/>
      <c r="L832" s="1"/>
      <c r="M832" s="211"/>
    </row>
    <row r="833" spans="1:13" ht="19.5">
      <c r="A833" s="1">
        <v>1</v>
      </c>
      <c r="B833" s="2" t="s">
        <v>552</v>
      </c>
      <c r="C833" s="1" t="s">
        <v>553</v>
      </c>
      <c r="D833" s="4">
        <v>40544</v>
      </c>
      <c r="E833" s="57">
        <v>3000</v>
      </c>
      <c r="F833" s="1127" t="s">
        <v>2433</v>
      </c>
      <c r="G833" s="1" t="s">
        <v>45</v>
      </c>
      <c r="H833" s="1"/>
      <c r="I833" s="1"/>
      <c r="J833" s="1"/>
      <c r="K833" s="1"/>
      <c r="L833" s="1"/>
      <c r="M833" s="211"/>
    </row>
    <row r="834" spans="1:13" ht="19.5">
      <c r="A834" s="1">
        <v>2</v>
      </c>
      <c r="B834" s="273" t="s">
        <v>1592</v>
      </c>
      <c r="C834" s="274" t="s">
        <v>1593</v>
      </c>
      <c r="D834" s="4">
        <v>40909</v>
      </c>
      <c r="E834" s="275">
        <v>2200</v>
      </c>
      <c r="F834" s="1129" t="s">
        <v>1572</v>
      </c>
      <c r="G834" s="1" t="s">
        <v>45</v>
      </c>
      <c r="H834" s="2"/>
      <c r="I834" s="2"/>
      <c r="J834" s="2"/>
      <c r="K834" s="2"/>
      <c r="L834" s="2"/>
      <c r="M834" s="211"/>
    </row>
    <row r="835" spans="1:13" ht="19.5">
      <c r="A835" s="1">
        <v>3</v>
      </c>
      <c r="B835" s="2" t="s">
        <v>1118</v>
      </c>
      <c r="C835" s="1" t="s">
        <v>1119</v>
      </c>
      <c r="D835" s="4">
        <v>41275</v>
      </c>
      <c r="E835" s="187" t="s">
        <v>1120</v>
      </c>
      <c r="F835" s="1011" t="s">
        <v>999</v>
      </c>
      <c r="G835" s="1" t="s">
        <v>45</v>
      </c>
      <c r="H835" s="1"/>
      <c r="I835" s="1"/>
      <c r="J835" s="1"/>
      <c r="K835" s="1"/>
      <c r="L835" s="1"/>
      <c r="M835" s="211"/>
    </row>
    <row r="836" spans="1:13" ht="19.5">
      <c r="A836" s="1">
        <v>4</v>
      </c>
      <c r="B836" s="2" t="s">
        <v>554</v>
      </c>
      <c r="C836" s="1" t="s">
        <v>555</v>
      </c>
      <c r="D836" s="4">
        <v>42543</v>
      </c>
      <c r="E836" s="57">
        <v>950</v>
      </c>
      <c r="F836" s="1127" t="s">
        <v>2433</v>
      </c>
      <c r="G836" s="1" t="s">
        <v>45</v>
      </c>
      <c r="H836" s="1"/>
      <c r="I836" s="1"/>
      <c r="J836" s="1"/>
      <c r="K836" s="1"/>
      <c r="L836" s="1"/>
      <c r="M836" s="211"/>
    </row>
    <row r="837" spans="1:13" ht="19.5">
      <c r="A837" s="1">
        <v>5</v>
      </c>
      <c r="B837" s="2" t="s">
        <v>1118</v>
      </c>
      <c r="C837" s="1" t="s">
        <v>1121</v>
      </c>
      <c r="D837" s="4">
        <v>42618</v>
      </c>
      <c r="E837" s="1077">
        <v>1000</v>
      </c>
      <c r="F837" s="939" t="s">
        <v>999</v>
      </c>
      <c r="G837" s="1" t="s">
        <v>45</v>
      </c>
      <c r="H837" s="1"/>
      <c r="I837" s="1"/>
      <c r="J837" s="1"/>
      <c r="K837" s="1"/>
      <c r="L837" s="1"/>
      <c r="M837" s="211"/>
    </row>
    <row r="838" spans="1:13" ht="19.5">
      <c r="A838" s="1">
        <v>6</v>
      </c>
      <c r="B838" s="2" t="s">
        <v>1118</v>
      </c>
      <c r="C838" s="1" t="s">
        <v>1122</v>
      </c>
      <c r="D838" s="4">
        <v>42618</v>
      </c>
      <c r="E838" s="1077">
        <v>1000</v>
      </c>
      <c r="F838" s="939" t="s">
        <v>999</v>
      </c>
      <c r="G838" s="1" t="s">
        <v>45</v>
      </c>
      <c r="H838" s="1"/>
      <c r="I838" s="1"/>
      <c r="J838" s="1"/>
      <c r="K838" s="1"/>
      <c r="L838" s="1"/>
      <c r="M838" s="211"/>
    </row>
    <row r="839" spans="1:13" ht="19.5">
      <c r="A839" s="1">
        <v>7</v>
      </c>
      <c r="B839" s="2" t="s">
        <v>2623</v>
      </c>
      <c r="C839" s="1" t="s">
        <v>2276</v>
      </c>
      <c r="D839" s="4">
        <v>43054</v>
      </c>
      <c r="E839" s="187">
        <v>1200</v>
      </c>
      <c r="F839" s="1127" t="s">
        <v>2433</v>
      </c>
      <c r="G839" s="1" t="s">
        <v>45</v>
      </c>
      <c r="H839" s="1"/>
      <c r="I839" s="1"/>
      <c r="J839" s="1"/>
      <c r="K839" s="1"/>
      <c r="L839" s="1"/>
      <c r="M839" s="211" t="s">
        <v>3173</v>
      </c>
    </row>
    <row r="840" spans="1:13" ht="19.5">
      <c r="A840" s="1">
        <v>8</v>
      </c>
      <c r="B840" s="2" t="s">
        <v>1123</v>
      </c>
      <c r="C840" s="1" t="s">
        <v>1124</v>
      </c>
      <c r="D840" s="4">
        <v>43784</v>
      </c>
      <c r="E840" s="1077">
        <v>1100</v>
      </c>
      <c r="F840" s="939" t="s">
        <v>999</v>
      </c>
      <c r="G840" s="1" t="s">
        <v>45</v>
      </c>
      <c r="H840" s="1"/>
      <c r="I840" s="1"/>
      <c r="J840" s="1"/>
      <c r="K840" s="1"/>
      <c r="L840" s="1"/>
      <c r="M840" s="211"/>
    </row>
    <row r="841" spans="1:13" ht="19.5">
      <c r="A841" s="1">
        <v>9</v>
      </c>
      <c r="B841" s="2" t="s">
        <v>557</v>
      </c>
      <c r="C841" s="1" t="s">
        <v>2977</v>
      </c>
      <c r="D841" s="4">
        <v>228145</v>
      </c>
      <c r="E841" s="1113">
        <v>1600</v>
      </c>
      <c r="F841" s="939" t="s">
        <v>2957</v>
      </c>
      <c r="G841" s="1" t="s">
        <v>45</v>
      </c>
      <c r="H841" s="1"/>
      <c r="I841" s="1"/>
      <c r="J841" s="1"/>
      <c r="K841" s="1"/>
      <c r="L841" s="1"/>
      <c r="M841" s="211" t="s">
        <v>3190</v>
      </c>
    </row>
    <row r="842" spans="1:13" ht="19.5">
      <c r="A842" s="1">
        <v>10</v>
      </c>
      <c r="B842" s="2" t="s">
        <v>557</v>
      </c>
      <c r="C842" s="1" t="s">
        <v>2978</v>
      </c>
      <c r="D842" s="4">
        <v>228176</v>
      </c>
      <c r="E842" s="1113">
        <v>1600</v>
      </c>
      <c r="F842" s="939" t="s">
        <v>2957</v>
      </c>
      <c r="G842" s="1" t="s">
        <v>45</v>
      </c>
      <c r="H842" s="1"/>
      <c r="I842" s="1"/>
      <c r="J842" s="1"/>
      <c r="K842" s="1"/>
      <c r="L842" s="1"/>
      <c r="M842" s="211" t="s">
        <v>3190</v>
      </c>
    </row>
    <row r="843" spans="1:13" ht="19.5">
      <c r="A843" s="1">
        <v>11</v>
      </c>
      <c r="B843" s="2" t="s">
        <v>1125</v>
      </c>
      <c r="C843" s="1" t="s">
        <v>1126</v>
      </c>
      <c r="D843" s="4">
        <v>45840</v>
      </c>
      <c r="E843" s="1077">
        <v>1350</v>
      </c>
      <c r="F843" s="939" t="s">
        <v>999</v>
      </c>
      <c r="G843" s="1" t="s">
        <v>45</v>
      </c>
      <c r="H843" s="1"/>
      <c r="I843" s="1"/>
      <c r="J843" s="1"/>
      <c r="K843" s="1"/>
      <c r="L843" s="1"/>
      <c r="M843" s="211"/>
    </row>
    <row r="844" spans="1:13" ht="19.5">
      <c r="A844" s="1">
        <v>12</v>
      </c>
      <c r="B844" s="2" t="s">
        <v>1125</v>
      </c>
      <c r="C844" s="1" t="s">
        <v>1127</v>
      </c>
      <c r="D844" s="4">
        <v>45840</v>
      </c>
      <c r="E844" s="1077">
        <v>1350</v>
      </c>
      <c r="F844" s="939" t="s">
        <v>999</v>
      </c>
      <c r="G844" s="1" t="s">
        <v>45</v>
      </c>
      <c r="H844" s="1"/>
      <c r="I844" s="1"/>
      <c r="J844" s="1"/>
      <c r="K844" s="1"/>
      <c r="L844" s="1"/>
      <c r="M844" s="211" t="s">
        <v>3453</v>
      </c>
    </row>
    <row r="845" spans="1:13" ht="19.5">
      <c r="A845" s="1">
        <v>13</v>
      </c>
      <c r="B845" s="2" t="s">
        <v>1123</v>
      </c>
      <c r="C845" s="1" t="s">
        <v>1128</v>
      </c>
      <c r="D845" s="4">
        <v>46074</v>
      </c>
      <c r="E845" s="1077">
        <v>1340</v>
      </c>
      <c r="F845" s="939" t="s">
        <v>999</v>
      </c>
      <c r="G845" s="1" t="s">
        <v>45</v>
      </c>
      <c r="H845" s="1"/>
      <c r="I845" s="1"/>
      <c r="J845" s="1"/>
      <c r="K845" s="1"/>
      <c r="L845" s="1"/>
      <c r="M845" s="211"/>
    </row>
    <row r="846" spans="1:13" ht="19.5">
      <c r="A846" s="1">
        <v>14</v>
      </c>
      <c r="B846" s="2" t="s">
        <v>1123</v>
      </c>
      <c r="C846" s="1" t="s">
        <v>1129</v>
      </c>
      <c r="D846" s="4">
        <v>46074</v>
      </c>
      <c r="E846" s="1077">
        <v>1340</v>
      </c>
      <c r="F846" s="939" t="s">
        <v>999</v>
      </c>
      <c r="G846" s="1" t="s">
        <v>45</v>
      </c>
      <c r="H846" s="1"/>
      <c r="I846" s="1"/>
      <c r="J846" s="1"/>
      <c r="K846" s="1"/>
      <c r="L846" s="1"/>
      <c r="M846" s="211"/>
    </row>
    <row r="847" spans="1:13" ht="19.5">
      <c r="A847" s="1">
        <v>15</v>
      </c>
      <c r="B847" s="2" t="s">
        <v>557</v>
      </c>
      <c r="C847" s="1" t="s">
        <v>2979</v>
      </c>
      <c r="D847" s="4">
        <v>229462</v>
      </c>
      <c r="E847" s="1113">
        <v>1400</v>
      </c>
      <c r="F847" s="939" t="s">
        <v>2957</v>
      </c>
      <c r="G847" s="1" t="s">
        <v>45</v>
      </c>
      <c r="H847" s="1"/>
      <c r="I847" s="1"/>
      <c r="J847" s="1"/>
      <c r="K847" s="1"/>
      <c r="L847" s="1"/>
      <c r="M847" s="211" t="s">
        <v>3193</v>
      </c>
    </row>
    <row r="848" spans="1:13" ht="19.5">
      <c r="A848" s="1">
        <v>16</v>
      </c>
      <c r="B848" s="2" t="s">
        <v>1123</v>
      </c>
      <c r="C848" s="1" t="s">
        <v>1130</v>
      </c>
      <c r="D848" s="4">
        <v>47201</v>
      </c>
      <c r="E848" s="1077">
        <v>1400</v>
      </c>
      <c r="F848" s="939" t="s">
        <v>999</v>
      </c>
      <c r="G848" s="1" t="s">
        <v>45</v>
      </c>
      <c r="H848" s="1"/>
      <c r="I848" s="1"/>
      <c r="J848" s="1"/>
      <c r="K848" s="1"/>
      <c r="L848" s="1"/>
      <c r="M848" s="211"/>
    </row>
    <row r="849" spans="1:13" ht="19.5">
      <c r="A849" s="1">
        <v>17</v>
      </c>
      <c r="B849" s="2" t="s">
        <v>1123</v>
      </c>
      <c r="C849" s="1" t="s">
        <v>1131</v>
      </c>
      <c r="D849" s="4">
        <v>47201</v>
      </c>
      <c r="E849" s="1077">
        <v>1400</v>
      </c>
      <c r="F849" s="939" t="s">
        <v>999</v>
      </c>
      <c r="G849" s="1" t="s">
        <v>45</v>
      </c>
      <c r="H849" s="1"/>
      <c r="I849" s="1"/>
      <c r="J849" s="1"/>
      <c r="K849" s="1"/>
      <c r="L849" s="1"/>
      <c r="M849" s="211"/>
    </row>
    <row r="850" spans="1:13" ht="19.5">
      <c r="A850" s="1">
        <v>18</v>
      </c>
      <c r="B850" s="2" t="s">
        <v>1132</v>
      </c>
      <c r="C850" s="1" t="s">
        <v>1133</v>
      </c>
      <c r="D850" s="4">
        <v>11400</v>
      </c>
      <c r="E850" s="1077">
        <v>1600</v>
      </c>
      <c r="F850" s="939" t="s">
        <v>999</v>
      </c>
      <c r="G850" s="1" t="s">
        <v>45</v>
      </c>
      <c r="H850" s="1"/>
      <c r="I850" s="1"/>
      <c r="J850" s="1"/>
      <c r="K850" s="1"/>
      <c r="L850" s="1"/>
      <c r="M850" s="211"/>
    </row>
    <row r="851" spans="1:13" ht="19.5">
      <c r="A851" s="1">
        <v>19</v>
      </c>
      <c r="B851" s="2" t="s">
        <v>1132</v>
      </c>
      <c r="C851" s="1" t="s">
        <v>1134</v>
      </c>
      <c r="D851" s="4">
        <v>11400</v>
      </c>
      <c r="E851" s="1077">
        <v>1600</v>
      </c>
      <c r="F851" s="939" t="s">
        <v>999</v>
      </c>
      <c r="G851" s="1" t="s">
        <v>45</v>
      </c>
      <c r="H851" s="1"/>
      <c r="I851" s="1"/>
      <c r="J851" s="1"/>
      <c r="K851" s="1"/>
      <c r="L851" s="1"/>
      <c r="M851" s="211"/>
    </row>
    <row r="852" spans="1:13" ht="19.5">
      <c r="A852" s="1">
        <v>20</v>
      </c>
      <c r="B852" s="2" t="s">
        <v>1132</v>
      </c>
      <c r="C852" s="1" t="s">
        <v>1135</v>
      </c>
      <c r="D852" s="4">
        <v>11400</v>
      </c>
      <c r="E852" s="1077">
        <v>1600</v>
      </c>
      <c r="F852" s="939" t="s">
        <v>999</v>
      </c>
      <c r="G852" s="1" t="s">
        <v>45</v>
      </c>
      <c r="H852" s="1"/>
      <c r="I852" s="1"/>
      <c r="J852" s="1"/>
      <c r="K852" s="1"/>
      <c r="L852" s="1"/>
      <c r="M852" s="211"/>
    </row>
    <row r="853" spans="1:13" ht="19.5">
      <c r="A853" s="1">
        <v>21</v>
      </c>
      <c r="B853" s="2" t="s">
        <v>1132</v>
      </c>
      <c r="C853" s="1" t="s">
        <v>1136</v>
      </c>
      <c r="D853" s="4">
        <v>11400</v>
      </c>
      <c r="E853" s="1077">
        <v>1600</v>
      </c>
      <c r="F853" s="939" t="s">
        <v>999</v>
      </c>
      <c r="G853" s="1" t="s">
        <v>45</v>
      </c>
      <c r="H853" s="1"/>
      <c r="I853" s="1"/>
      <c r="J853" s="1"/>
      <c r="K853" s="1"/>
      <c r="L853" s="1"/>
      <c r="M853" s="211"/>
    </row>
    <row r="854" spans="1:13" ht="19.5">
      <c r="A854" s="1">
        <v>22</v>
      </c>
      <c r="B854" s="2" t="s">
        <v>2355</v>
      </c>
      <c r="C854" s="1" t="s">
        <v>556</v>
      </c>
      <c r="D854" s="4">
        <v>11659</v>
      </c>
      <c r="E854" s="57">
        <v>520</v>
      </c>
      <c r="F854" s="1127" t="s">
        <v>2433</v>
      </c>
      <c r="G854" s="1" t="s">
        <v>45</v>
      </c>
      <c r="H854" s="1"/>
      <c r="I854" s="1"/>
      <c r="J854" s="1"/>
      <c r="K854" s="1"/>
      <c r="L854" s="1"/>
      <c r="M854" s="211"/>
    </row>
    <row r="855" spans="1:13" ht="19.5">
      <c r="A855" s="1">
        <v>23</v>
      </c>
      <c r="B855" s="2" t="s">
        <v>1137</v>
      </c>
      <c r="C855" s="1" t="s">
        <v>1138</v>
      </c>
      <c r="D855" s="4">
        <v>11324</v>
      </c>
      <c r="E855" s="1077" t="s">
        <v>1139</v>
      </c>
      <c r="F855" s="939" t="s">
        <v>999</v>
      </c>
      <c r="G855" s="1" t="s">
        <v>45</v>
      </c>
      <c r="H855" s="1"/>
      <c r="I855" s="1"/>
      <c r="J855" s="1"/>
      <c r="K855" s="1"/>
      <c r="L855" s="1"/>
      <c r="M855" s="211"/>
    </row>
    <row r="856" spans="1:13" ht="19.5">
      <c r="A856" s="1">
        <v>24</v>
      </c>
      <c r="B856" s="2" t="s">
        <v>1137</v>
      </c>
      <c r="C856" s="1" t="s">
        <v>1140</v>
      </c>
      <c r="D856" s="4">
        <v>11324</v>
      </c>
      <c r="E856" s="1077" t="s">
        <v>1139</v>
      </c>
      <c r="F856" s="939" t="s">
        <v>999</v>
      </c>
      <c r="G856" s="1" t="s">
        <v>45</v>
      </c>
      <c r="H856" s="1"/>
      <c r="I856" s="1"/>
      <c r="J856" s="1"/>
      <c r="K856" s="1"/>
      <c r="L856" s="1"/>
      <c r="M856" s="211"/>
    </row>
    <row r="857" spans="1:13" ht="19.5">
      <c r="A857" s="1">
        <v>25</v>
      </c>
      <c r="B857" s="2" t="s">
        <v>1137</v>
      </c>
      <c r="C857" s="1" t="s">
        <v>1141</v>
      </c>
      <c r="D857" s="4">
        <v>11324</v>
      </c>
      <c r="E857" s="1077" t="s">
        <v>1139</v>
      </c>
      <c r="F857" s="939" t="s">
        <v>999</v>
      </c>
      <c r="G857" s="1" t="s">
        <v>45</v>
      </c>
      <c r="H857" s="1"/>
      <c r="I857" s="1"/>
      <c r="J857" s="1"/>
      <c r="K857" s="1"/>
      <c r="L857" s="1"/>
      <c r="M857" s="211"/>
    </row>
    <row r="858" spans="1:13" ht="19.5">
      <c r="A858" s="1">
        <v>26</v>
      </c>
      <c r="B858" s="2" t="s">
        <v>1123</v>
      </c>
      <c r="C858" s="1" t="s">
        <v>1142</v>
      </c>
      <c r="D858" s="4">
        <v>11355</v>
      </c>
      <c r="E858" s="1077">
        <v>1400</v>
      </c>
      <c r="F858" s="939" t="s">
        <v>999</v>
      </c>
      <c r="G858" s="1" t="s">
        <v>45</v>
      </c>
      <c r="H858" s="1"/>
      <c r="I858" s="1"/>
      <c r="J858" s="1"/>
      <c r="K858" s="1"/>
      <c r="L858" s="1"/>
      <c r="M858" s="211"/>
    </row>
    <row r="859" spans="1:13" ht="19.5">
      <c r="A859" s="1">
        <v>27</v>
      </c>
      <c r="B859" s="2" t="s">
        <v>557</v>
      </c>
      <c r="C859" s="1" t="s">
        <v>558</v>
      </c>
      <c r="D859" s="4">
        <v>11756</v>
      </c>
      <c r="E859" s="57">
        <v>1800</v>
      </c>
      <c r="F859" s="1127" t="s">
        <v>2433</v>
      </c>
      <c r="G859" s="1" t="s">
        <v>45</v>
      </c>
      <c r="H859" s="1"/>
      <c r="I859" s="1"/>
      <c r="J859" s="1"/>
      <c r="K859" s="1"/>
      <c r="L859" s="1"/>
      <c r="M859" s="211"/>
    </row>
    <row r="860" spans="1:13" ht="19.5">
      <c r="A860" s="1">
        <v>28</v>
      </c>
      <c r="B860" s="2" t="s">
        <v>1118</v>
      </c>
      <c r="C860" s="1" t="s">
        <v>2277</v>
      </c>
      <c r="D860" s="4">
        <v>11756</v>
      </c>
      <c r="E860" s="1083">
        <v>2300</v>
      </c>
      <c r="F860" s="939" t="s">
        <v>1649</v>
      </c>
      <c r="G860" s="1" t="s">
        <v>45</v>
      </c>
      <c r="H860" s="1"/>
      <c r="I860" s="1"/>
      <c r="J860" s="1"/>
      <c r="K860" s="1"/>
      <c r="L860" s="1"/>
      <c r="M860" s="211" t="s">
        <v>3205</v>
      </c>
    </row>
    <row r="861" spans="1:13" ht="19.5">
      <c r="A861" s="1">
        <v>29</v>
      </c>
      <c r="B861" s="2" t="s">
        <v>1143</v>
      </c>
      <c r="C861" s="1" t="s">
        <v>2278</v>
      </c>
      <c r="D861" s="4">
        <v>12119</v>
      </c>
      <c r="E861" s="1077">
        <v>1800</v>
      </c>
      <c r="F861" s="939" t="s">
        <v>999</v>
      </c>
      <c r="G861" s="1" t="s">
        <v>45</v>
      </c>
      <c r="H861" s="1"/>
      <c r="I861" s="1"/>
      <c r="J861" s="1"/>
      <c r="K861" s="1"/>
      <c r="L861" s="1"/>
      <c r="M861" s="211"/>
    </row>
    <row r="862" spans="1:13" s="46" customFormat="1" ht="19.5">
      <c r="A862" s="1">
        <v>30</v>
      </c>
      <c r="B862" s="2" t="s">
        <v>1143</v>
      </c>
      <c r="C862" s="1" t="s">
        <v>2279</v>
      </c>
      <c r="D862" s="4">
        <v>12119</v>
      </c>
      <c r="E862" s="1077">
        <v>1800</v>
      </c>
      <c r="F862" s="939" t="s">
        <v>999</v>
      </c>
      <c r="G862" s="1" t="s">
        <v>45</v>
      </c>
      <c r="H862" s="1"/>
      <c r="I862" s="1"/>
      <c r="J862" s="1"/>
      <c r="K862" s="1"/>
      <c r="L862" s="1"/>
      <c r="M862" s="211"/>
    </row>
    <row r="863" spans="1:13" s="46" customFormat="1" ht="19.5">
      <c r="A863" s="1">
        <v>31</v>
      </c>
      <c r="B863" s="2" t="s">
        <v>1118</v>
      </c>
      <c r="C863" s="242" t="s">
        <v>2280</v>
      </c>
      <c r="D863" s="243">
        <v>12568</v>
      </c>
      <c r="E863" s="187">
        <v>2200</v>
      </c>
      <c r="F863" s="1011" t="s">
        <v>1649</v>
      </c>
      <c r="G863" s="1" t="s">
        <v>45</v>
      </c>
      <c r="H863" s="1"/>
      <c r="I863" s="1"/>
      <c r="J863" s="1"/>
      <c r="K863" s="1"/>
      <c r="L863" s="1"/>
      <c r="M863" s="211"/>
    </row>
    <row r="864" spans="1:13" s="46" customFormat="1" ht="19.5">
      <c r="A864" s="1">
        <v>32</v>
      </c>
      <c r="B864" s="2" t="s">
        <v>1118</v>
      </c>
      <c r="C864" s="242" t="s">
        <v>2281</v>
      </c>
      <c r="D864" s="243">
        <v>12568</v>
      </c>
      <c r="E864" s="1077">
        <v>2000</v>
      </c>
      <c r="F864" s="939" t="s">
        <v>1649</v>
      </c>
      <c r="G864" s="1" t="s">
        <v>45</v>
      </c>
      <c r="H864" s="1"/>
      <c r="I864" s="1"/>
      <c r="J864" s="1"/>
      <c r="K864" s="1"/>
      <c r="L864" s="1"/>
      <c r="M864" s="211" t="s">
        <v>3205</v>
      </c>
    </row>
    <row r="865" spans="1:13" ht="19.5">
      <c r="A865" s="1">
        <v>33</v>
      </c>
      <c r="B865" s="2" t="s">
        <v>1143</v>
      </c>
      <c r="C865" s="1" t="s">
        <v>1144</v>
      </c>
      <c r="D865" s="4">
        <v>12426</v>
      </c>
      <c r="E865" s="1077">
        <v>2200</v>
      </c>
      <c r="F865" s="939" t="s">
        <v>999</v>
      </c>
      <c r="G865" s="1" t="s">
        <v>45</v>
      </c>
      <c r="H865" s="1"/>
      <c r="I865" s="1"/>
      <c r="J865" s="1"/>
      <c r="K865" s="1"/>
      <c r="L865" s="1"/>
      <c r="M865" s="211"/>
    </row>
    <row r="866" spans="1:13" ht="19.5">
      <c r="A866" s="1">
        <v>34</v>
      </c>
      <c r="B866" s="2" t="s">
        <v>1145</v>
      </c>
      <c r="C866" s="1" t="s">
        <v>1146</v>
      </c>
      <c r="D866" s="4">
        <v>12426</v>
      </c>
      <c r="E866" s="1077">
        <v>2200</v>
      </c>
      <c r="F866" s="939" t="s">
        <v>999</v>
      </c>
      <c r="G866" s="1" t="s">
        <v>45</v>
      </c>
      <c r="H866" s="1"/>
      <c r="I866" s="1"/>
      <c r="J866" s="1"/>
      <c r="K866" s="1"/>
      <c r="L866" s="1"/>
      <c r="M866" s="211"/>
    </row>
    <row r="867" spans="1:13" s="44" customFormat="1" ht="19.5">
      <c r="A867" s="1">
        <v>35</v>
      </c>
      <c r="B867" s="2" t="s">
        <v>1145</v>
      </c>
      <c r="C867" s="1" t="s">
        <v>1147</v>
      </c>
      <c r="D867" s="4">
        <v>12426</v>
      </c>
      <c r="E867" s="1077">
        <v>2200</v>
      </c>
      <c r="F867" s="939" t="s">
        <v>999</v>
      </c>
      <c r="G867" s="1" t="s">
        <v>45</v>
      </c>
      <c r="H867" s="1"/>
      <c r="I867" s="1"/>
      <c r="J867" s="1"/>
      <c r="K867" s="1"/>
      <c r="L867" s="1"/>
      <c r="M867" s="211"/>
    </row>
    <row r="868" spans="1:13" s="44" customFormat="1" ht="19.5">
      <c r="A868" s="1">
        <v>36</v>
      </c>
      <c r="B868" s="2" t="s">
        <v>557</v>
      </c>
      <c r="C868" s="1" t="s">
        <v>2980</v>
      </c>
      <c r="D868" s="4">
        <v>231714</v>
      </c>
      <c r="E868" s="1113">
        <v>2200</v>
      </c>
      <c r="F868" s="939" t="s">
        <v>2957</v>
      </c>
      <c r="G868" s="1" t="s">
        <v>45</v>
      </c>
      <c r="H868" s="1"/>
      <c r="I868" s="1"/>
      <c r="J868" s="1"/>
      <c r="K868" s="1"/>
      <c r="L868" s="1"/>
      <c r="M868" s="211" t="s">
        <v>3191</v>
      </c>
    </row>
    <row r="869" spans="1:13" s="44" customFormat="1" ht="19.5">
      <c r="A869" s="1">
        <v>37</v>
      </c>
      <c r="B869" s="2" t="s">
        <v>1145</v>
      </c>
      <c r="C869" s="1" t="s">
        <v>1148</v>
      </c>
      <c r="D869" s="4">
        <v>12978</v>
      </c>
      <c r="E869" s="1077">
        <v>3666.66</v>
      </c>
      <c r="F869" s="939" t="s">
        <v>999</v>
      </c>
      <c r="G869" s="1" t="s">
        <v>45</v>
      </c>
      <c r="H869" s="1"/>
      <c r="I869" s="1"/>
      <c r="J869" s="1"/>
      <c r="K869" s="1"/>
      <c r="L869" s="1"/>
      <c r="M869" s="211"/>
    </row>
    <row r="870" spans="1:13" ht="19.5">
      <c r="A870" s="1">
        <v>38</v>
      </c>
      <c r="B870" s="2" t="s">
        <v>1145</v>
      </c>
      <c r="C870" s="1" t="s">
        <v>1149</v>
      </c>
      <c r="D870" s="4">
        <v>12978</v>
      </c>
      <c r="E870" s="1077">
        <v>3666.66</v>
      </c>
      <c r="F870" s="939" t="s">
        <v>999</v>
      </c>
      <c r="G870" s="1" t="s">
        <v>45</v>
      </c>
      <c r="H870" s="1"/>
      <c r="I870" s="1"/>
      <c r="J870" s="1"/>
      <c r="K870" s="1"/>
      <c r="L870" s="1"/>
      <c r="M870" s="211"/>
    </row>
    <row r="871" spans="1:13" ht="19.5">
      <c r="A871" s="1">
        <v>39</v>
      </c>
      <c r="B871" s="2" t="s">
        <v>1145</v>
      </c>
      <c r="C871" s="1" t="s">
        <v>1150</v>
      </c>
      <c r="D871" s="4">
        <v>12978</v>
      </c>
      <c r="E871" s="1077">
        <v>3666.68</v>
      </c>
      <c r="F871" s="939" t="s">
        <v>999</v>
      </c>
      <c r="G871" s="1" t="s">
        <v>45</v>
      </c>
      <c r="H871" s="1"/>
      <c r="I871" s="1"/>
      <c r="J871" s="1"/>
      <c r="K871" s="1"/>
      <c r="L871" s="1"/>
      <c r="M871" s="211"/>
    </row>
    <row r="872" spans="1:13" ht="19.5">
      <c r="A872" s="1">
        <v>40</v>
      </c>
      <c r="B872" s="2" t="s">
        <v>1151</v>
      </c>
      <c r="C872" s="1" t="s">
        <v>1152</v>
      </c>
      <c r="D872" s="4">
        <v>12834</v>
      </c>
      <c r="E872" s="1077">
        <v>2000</v>
      </c>
      <c r="F872" s="939" t="s">
        <v>999</v>
      </c>
      <c r="G872" s="1" t="s">
        <v>45</v>
      </c>
      <c r="H872" s="1"/>
      <c r="I872" s="1"/>
      <c r="J872" s="1"/>
      <c r="K872" s="1"/>
      <c r="L872" s="1"/>
      <c r="M872" s="211"/>
    </row>
    <row r="873" spans="1:13" s="44" customFormat="1" ht="19.5">
      <c r="A873" s="1">
        <v>41</v>
      </c>
      <c r="B873" s="2" t="s">
        <v>2285</v>
      </c>
      <c r="C873" s="1" t="s">
        <v>2299</v>
      </c>
      <c r="D873" s="4">
        <v>13541</v>
      </c>
      <c r="E873" s="1077">
        <v>8000</v>
      </c>
      <c r="F873" s="939" t="s">
        <v>1649</v>
      </c>
      <c r="G873" s="1" t="s">
        <v>45</v>
      </c>
      <c r="H873" s="1"/>
      <c r="I873" s="1"/>
      <c r="J873" s="1"/>
      <c r="K873" s="1"/>
      <c r="L873" s="1"/>
      <c r="M873" s="211" t="s">
        <v>3205</v>
      </c>
    </row>
    <row r="874" spans="1:13" s="44" customFormat="1" ht="19.5">
      <c r="A874" s="1">
        <v>42</v>
      </c>
      <c r="B874" s="2" t="s">
        <v>2285</v>
      </c>
      <c r="C874" s="1" t="s">
        <v>2300</v>
      </c>
      <c r="D874" s="4">
        <v>13541</v>
      </c>
      <c r="E874" s="1077">
        <v>8000</v>
      </c>
      <c r="F874" s="939" t="s">
        <v>1649</v>
      </c>
      <c r="G874" s="1" t="s">
        <v>45</v>
      </c>
      <c r="H874" s="1"/>
      <c r="I874" s="1"/>
      <c r="J874" s="1"/>
      <c r="K874" s="1"/>
      <c r="L874" s="1"/>
      <c r="M874" s="211" t="s">
        <v>3207</v>
      </c>
    </row>
    <row r="875" spans="1:13" s="44" customFormat="1" ht="19.5">
      <c r="A875" s="1">
        <v>43</v>
      </c>
      <c r="B875" s="2" t="s">
        <v>2285</v>
      </c>
      <c r="C875" s="1" t="s">
        <v>2282</v>
      </c>
      <c r="D875" s="4">
        <v>13541</v>
      </c>
      <c r="E875" s="1077">
        <v>8000</v>
      </c>
      <c r="F875" s="939" t="s">
        <v>1649</v>
      </c>
      <c r="G875" s="1" t="s">
        <v>45</v>
      </c>
      <c r="H875" s="1"/>
      <c r="I875" s="1"/>
      <c r="J875" s="1"/>
      <c r="K875" s="1"/>
      <c r="L875" s="1"/>
      <c r="M875" s="211" t="s">
        <v>3206</v>
      </c>
    </row>
    <row r="876" spans="1:13" ht="19.5">
      <c r="A876" s="1">
        <v>44</v>
      </c>
      <c r="B876" s="2" t="s">
        <v>2285</v>
      </c>
      <c r="C876" s="1" t="s">
        <v>2283</v>
      </c>
      <c r="D876" s="4">
        <v>13541</v>
      </c>
      <c r="E876" s="1077">
        <v>8000</v>
      </c>
      <c r="F876" s="939" t="s">
        <v>1649</v>
      </c>
      <c r="G876" s="1" t="s">
        <v>45</v>
      </c>
      <c r="H876" s="1"/>
      <c r="I876" s="1"/>
      <c r="J876" s="1"/>
      <c r="K876" s="1"/>
      <c r="L876" s="1"/>
      <c r="M876" s="211" t="s">
        <v>3205</v>
      </c>
    </row>
    <row r="877" spans="1:13" ht="19.5">
      <c r="A877" s="1">
        <v>45</v>
      </c>
      <c r="B877" s="2" t="s">
        <v>2285</v>
      </c>
      <c r="C877" s="1" t="s">
        <v>2284</v>
      </c>
      <c r="D877" s="4">
        <v>13541</v>
      </c>
      <c r="E877" s="1077">
        <v>8000</v>
      </c>
      <c r="F877" s="939" t="s">
        <v>1649</v>
      </c>
      <c r="G877" s="1" t="s">
        <v>45</v>
      </c>
      <c r="H877" s="1"/>
      <c r="I877" s="1"/>
      <c r="J877" s="1"/>
      <c r="K877" s="1"/>
      <c r="L877" s="1"/>
      <c r="M877" s="211" t="s">
        <v>3205</v>
      </c>
    </row>
    <row r="878" spans="1:13" ht="19.5">
      <c r="A878" s="1">
        <v>46</v>
      </c>
      <c r="B878" s="2" t="s">
        <v>2285</v>
      </c>
      <c r="C878" s="1" t="s">
        <v>2301</v>
      </c>
      <c r="D878" s="4">
        <v>13541</v>
      </c>
      <c r="E878" s="187">
        <v>8000</v>
      </c>
      <c r="F878" s="1011" t="s">
        <v>1649</v>
      </c>
      <c r="G878" s="1" t="s">
        <v>45</v>
      </c>
      <c r="H878" s="1"/>
      <c r="I878" s="1"/>
      <c r="J878" s="1"/>
      <c r="K878" s="1"/>
      <c r="L878" s="1"/>
      <c r="M878" s="211"/>
    </row>
    <row r="879" spans="1:13" ht="19.5">
      <c r="A879" s="1">
        <v>47</v>
      </c>
      <c r="B879" s="2" t="s">
        <v>557</v>
      </c>
      <c r="C879" s="1" t="s">
        <v>2286</v>
      </c>
      <c r="D879" s="4">
        <v>13913</v>
      </c>
      <c r="E879" s="1077">
        <v>3210</v>
      </c>
      <c r="F879" s="939" t="s">
        <v>1649</v>
      </c>
      <c r="G879" s="1" t="s">
        <v>45</v>
      </c>
      <c r="H879" s="1"/>
      <c r="I879" s="1"/>
      <c r="J879" s="1"/>
      <c r="K879" s="1"/>
      <c r="L879" s="1"/>
      <c r="M879" s="211" t="s">
        <v>3527</v>
      </c>
    </row>
    <row r="880" spans="1:13" ht="19.5">
      <c r="A880" s="1">
        <v>48</v>
      </c>
      <c r="B880" s="2" t="s">
        <v>557</v>
      </c>
      <c r="C880" s="1" t="s">
        <v>2287</v>
      </c>
      <c r="D880" s="4">
        <v>13913</v>
      </c>
      <c r="E880" s="1077">
        <v>3210</v>
      </c>
      <c r="F880" s="939" t="s">
        <v>1649</v>
      </c>
      <c r="G880" s="1" t="s">
        <v>45</v>
      </c>
      <c r="H880" s="1"/>
      <c r="I880" s="1"/>
      <c r="J880" s="1"/>
      <c r="K880" s="1"/>
      <c r="L880" s="1"/>
      <c r="M880" s="211" t="s">
        <v>3205</v>
      </c>
    </row>
    <row r="881" spans="1:13" ht="19.5">
      <c r="A881" s="1">
        <v>49</v>
      </c>
      <c r="B881" s="2" t="s">
        <v>557</v>
      </c>
      <c r="C881" s="1" t="s">
        <v>2288</v>
      </c>
      <c r="D881" s="4">
        <v>14939</v>
      </c>
      <c r="E881" s="1077">
        <v>3300</v>
      </c>
      <c r="F881" s="939" t="s">
        <v>1508</v>
      </c>
      <c r="G881" s="1" t="s">
        <v>45</v>
      </c>
      <c r="H881" s="1"/>
      <c r="I881" s="1"/>
      <c r="J881" s="1"/>
      <c r="K881" s="1"/>
      <c r="L881" s="1"/>
      <c r="M881" s="211"/>
    </row>
    <row r="882" spans="1:13" ht="19.5">
      <c r="A882" s="1">
        <v>50</v>
      </c>
      <c r="B882" s="2" t="s">
        <v>557</v>
      </c>
      <c r="C882" s="1" t="s">
        <v>2289</v>
      </c>
      <c r="D882" s="4">
        <v>14939</v>
      </c>
      <c r="E882" s="187">
        <v>3300</v>
      </c>
      <c r="F882" s="1011" t="s">
        <v>1649</v>
      </c>
      <c r="G882" s="1" t="s">
        <v>45</v>
      </c>
      <c r="H882" s="1"/>
      <c r="I882" s="1"/>
      <c r="J882" s="1"/>
      <c r="K882" s="1"/>
      <c r="L882" s="1"/>
      <c r="M882" s="211" t="s">
        <v>3528</v>
      </c>
    </row>
    <row r="883" spans="1:13" ht="19.5">
      <c r="A883" s="1">
        <v>51</v>
      </c>
      <c r="B883" s="2" t="s">
        <v>557</v>
      </c>
      <c r="C883" s="1" t="s">
        <v>2290</v>
      </c>
      <c r="D883" s="4">
        <v>14939</v>
      </c>
      <c r="E883" s="1077">
        <v>3300</v>
      </c>
      <c r="F883" s="939" t="s">
        <v>1649</v>
      </c>
      <c r="G883" s="1" t="s">
        <v>45</v>
      </c>
      <c r="H883" s="1"/>
      <c r="I883" s="1"/>
      <c r="J883" s="1"/>
      <c r="K883" s="1"/>
      <c r="L883" s="1"/>
      <c r="M883" s="211" t="s">
        <v>3205</v>
      </c>
    </row>
    <row r="884" spans="1:13" ht="39">
      <c r="A884" s="223">
        <v>52</v>
      </c>
      <c r="B884" s="511" t="s">
        <v>557</v>
      </c>
      <c r="C884" s="223" t="s">
        <v>2291</v>
      </c>
      <c r="D884" s="270">
        <v>14939</v>
      </c>
      <c r="E884" s="1080">
        <v>3300</v>
      </c>
      <c r="F884" s="1179" t="s">
        <v>1649</v>
      </c>
      <c r="G884" s="223" t="s">
        <v>45</v>
      </c>
      <c r="H884" s="223"/>
      <c r="I884" s="223"/>
      <c r="J884" s="223"/>
      <c r="K884" s="223"/>
      <c r="L884" s="223"/>
      <c r="M884" s="289" t="s">
        <v>3529</v>
      </c>
    </row>
    <row r="885" spans="1:13" ht="19.5">
      <c r="A885" s="1">
        <v>53</v>
      </c>
      <c r="B885" s="2" t="s">
        <v>1681</v>
      </c>
      <c r="C885" s="1" t="s">
        <v>566</v>
      </c>
      <c r="D885" s="4">
        <v>14765</v>
      </c>
      <c r="E885" s="1083">
        <v>2300</v>
      </c>
      <c r="F885" s="939" t="s">
        <v>1649</v>
      </c>
      <c r="G885" s="1" t="s">
        <v>45</v>
      </c>
      <c r="H885" s="1"/>
      <c r="I885" s="1"/>
      <c r="J885" s="1"/>
      <c r="K885" s="1"/>
      <c r="L885" s="1"/>
      <c r="M885" s="211" t="s">
        <v>3205</v>
      </c>
    </row>
    <row r="886" spans="1:13" ht="19.5">
      <c r="A886" s="1">
        <v>54</v>
      </c>
      <c r="B886" s="2" t="s">
        <v>2981</v>
      </c>
      <c r="C886" s="1" t="s">
        <v>2982</v>
      </c>
      <c r="D886" s="4">
        <v>234347</v>
      </c>
      <c r="E886" s="1113">
        <v>2600</v>
      </c>
      <c r="F886" s="939" t="s">
        <v>2957</v>
      </c>
      <c r="G886" s="1" t="s">
        <v>45</v>
      </c>
      <c r="H886" s="1"/>
      <c r="I886" s="1"/>
      <c r="J886" s="1"/>
      <c r="K886" s="1"/>
      <c r="L886" s="1"/>
      <c r="M886" s="211" t="s">
        <v>3192</v>
      </c>
    </row>
    <row r="887" spans="1:13" ht="19.5">
      <c r="A887" s="1">
        <v>55</v>
      </c>
      <c r="B887" s="2" t="s">
        <v>2983</v>
      </c>
      <c r="C887" s="1" t="s">
        <v>2984</v>
      </c>
      <c r="D887" s="4">
        <v>234347</v>
      </c>
      <c r="E887" s="1113">
        <v>3600</v>
      </c>
      <c r="F887" s="939" t="s">
        <v>2957</v>
      </c>
      <c r="G887" s="1" t="s">
        <v>45</v>
      </c>
      <c r="H887" s="1"/>
      <c r="I887" s="1"/>
      <c r="J887" s="1"/>
      <c r="K887" s="1"/>
      <c r="L887" s="1"/>
      <c r="M887" s="211" t="s">
        <v>3192</v>
      </c>
    </row>
    <row r="888" spans="1:13" ht="19.5">
      <c r="A888" s="1">
        <v>56</v>
      </c>
      <c r="B888" s="2" t="s">
        <v>557</v>
      </c>
      <c r="C888" s="1" t="s">
        <v>2292</v>
      </c>
      <c r="D888" s="4">
        <v>15180</v>
      </c>
      <c r="E888" s="1083">
        <v>2200</v>
      </c>
      <c r="F888" s="939" t="s">
        <v>1508</v>
      </c>
      <c r="G888" s="1" t="s">
        <v>45</v>
      </c>
      <c r="H888" s="1"/>
      <c r="I888" s="1"/>
      <c r="J888" s="1"/>
      <c r="K888" s="1"/>
      <c r="L888" s="1"/>
      <c r="M888" s="211"/>
    </row>
    <row r="889" spans="1:13" ht="19.5">
      <c r="A889" s="1">
        <v>57</v>
      </c>
      <c r="B889" s="2" t="s">
        <v>559</v>
      </c>
      <c r="C889" s="1" t="s">
        <v>560</v>
      </c>
      <c r="D889" s="4">
        <v>15515</v>
      </c>
      <c r="E889" s="57">
        <v>2800</v>
      </c>
      <c r="F889" s="1127" t="s">
        <v>2433</v>
      </c>
      <c r="G889" s="1" t="s">
        <v>45</v>
      </c>
      <c r="H889" s="1"/>
      <c r="I889" s="1"/>
      <c r="J889" s="1"/>
      <c r="K889" s="1"/>
      <c r="L889" s="1"/>
      <c r="M889" s="211"/>
    </row>
    <row r="890" spans="1:13" ht="19.5">
      <c r="A890" s="1">
        <v>58</v>
      </c>
      <c r="B890" s="2" t="s">
        <v>559</v>
      </c>
      <c r="C890" s="1" t="s">
        <v>561</v>
      </c>
      <c r="D890" s="4">
        <v>15515</v>
      </c>
      <c r="E890" s="57">
        <v>2800</v>
      </c>
      <c r="F890" s="1127" t="s">
        <v>2433</v>
      </c>
      <c r="G890" s="1" t="s">
        <v>45</v>
      </c>
      <c r="H890" s="1"/>
      <c r="I890" s="1"/>
      <c r="J890" s="1"/>
      <c r="K890" s="1"/>
      <c r="L890" s="1"/>
      <c r="M890" s="211"/>
    </row>
    <row r="891" spans="1:13" ht="19.5">
      <c r="A891" s="1">
        <v>59</v>
      </c>
      <c r="B891" s="2" t="s">
        <v>563</v>
      </c>
      <c r="C891" s="1" t="s">
        <v>564</v>
      </c>
      <c r="D891" s="4">
        <v>15604</v>
      </c>
      <c r="E891" s="57">
        <v>13000</v>
      </c>
      <c r="F891" s="1127" t="s">
        <v>2433</v>
      </c>
      <c r="G891" s="1" t="s">
        <v>45</v>
      </c>
      <c r="H891" s="1"/>
      <c r="I891" s="1"/>
      <c r="J891" s="1"/>
      <c r="K891" s="1"/>
      <c r="L891" s="1"/>
      <c r="M891" s="211"/>
    </row>
    <row r="892" spans="1:13" ht="19.5">
      <c r="A892" s="1">
        <v>60</v>
      </c>
      <c r="B892" s="2" t="s">
        <v>563</v>
      </c>
      <c r="C892" s="1" t="s">
        <v>565</v>
      </c>
      <c r="D892" s="4">
        <v>15604</v>
      </c>
      <c r="E892" s="57">
        <v>9000</v>
      </c>
      <c r="F892" s="1127" t="s">
        <v>2433</v>
      </c>
      <c r="G892" s="1" t="s">
        <v>45</v>
      </c>
      <c r="H892" s="1"/>
      <c r="I892" s="1"/>
      <c r="J892" s="1"/>
      <c r="K892" s="1"/>
      <c r="L892" s="1"/>
      <c r="M892" s="211"/>
    </row>
    <row r="893" spans="1:13" ht="19.5">
      <c r="A893" s="1">
        <v>61</v>
      </c>
      <c r="B893" s="2" t="s">
        <v>557</v>
      </c>
      <c r="C893" s="1" t="s">
        <v>562</v>
      </c>
      <c r="D893" s="4">
        <v>15759</v>
      </c>
      <c r="E893" s="57">
        <v>3600</v>
      </c>
      <c r="F893" s="1127" t="s">
        <v>2433</v>
      </c>
      <c r="G893" s="1" t="s">
        <v>45</v>
      </c>
      <c r="H893" s="1"/>
      <c r="I893" s="1"/>
      <c r="J893" s="1"/>
      <c r="K893" s="1"/>
      <c r="L893" s="1"/>
      <c r="M893" s="211"/>
    </row>
    <row r="894" spans="1:13" ht="19.5">
      <c r="A894" s="1">
        <v>62</v>
      </c>
      <c r="B894" s="182" t="s">
        <v>1511</v>
      </c>
      <c r="C894" s="1" t="s">
        <v>1512</v>
      </c>
      <c r="D894" s="4">
        <v>15759</v>
      </c>
      <c r="E894" s="1095">
        <v>2600</v>
      </c>
      <c r="F894" s="939" t="s">
        <v>1508</v>
      </c>
      <c r="G894" s="1" t="s">
        <v>45</v>
      </c>
      <c r="H894" s="1"/>
      <c r="I894" s="1"/>
      <c r="J894" s="1"/>
      <c r="K894" s="1"/>
      <c r="L894" s="1"/>
      <c r="M894" s="211"/>
    </row>
    <row r="895" spans="1:13" ht="19.5">
      <c r="A895" s="1">
        <v>63</v>
      </c>
      <c r="B895" s="182" t="s">
        <v>1515</v>
      </c>
      <c r="C895" s="1" t="s">
        <v>1516</v>
      </c>
      <c r="D895" s="4">
        <v>15759</v>
      </c>
      <c r="E895" s="1095">
        <v>3600</v>
      </c>
      <c r="F895" s="939" t="s">
        <v>1508</v>
      </c>
      <c r="G895" s="1" t="s">
        <v>45</v>
      </c>
      <c r="H895" s="1"/>
      <c r="I895" s="1"/>
      <c r="J895" s="1"/>
      <c r="K895" s="1"/>
      <c r="L895" s="1"/>
      <c r="M895" s="211"/>
    </row>
    <row r="896" spans="1:13" ht="19.5">
      <c r="A896" s="1">
        <v>64</v>
      </c>
      <c r="B896" s="182" t="s">
        <v>1513</v>
      </c>
      <c r="C896" s="1" t="s">
        <v>1514</v>
      </c>
      <c r="D896" s="4">
        <v>15759</v>
      </c>
      <c r="E896" s="1095">
        <v>2200</v>
      </c>
      <c r="F896" s="939" t="s">
        <v>1508</v>
      </c>
      <c r="G896" s="1" t="s">
        <v>45</v>
      </c>
      <c r="H896" s="1"/>
      <c r="I896" s="1"/>
      <c r="J896" s="1"/>
      <c r="K896" s="1"/>
      <c r="L896" s="1"/>
      <c r="M896" s="211"/>
    </row>
    <row r="897" spans="1:13" ht="19.5">
      <c r="A897" s="1">
        <v>65</v>
      </c>
      <c r="B897" s="2" t="s">
        <v>567</v>
      </c>
      <c r="C897" s="1" t="s">
        <v>568</v>
      </c>
      <c r="D897" s="4">
        <v>16129</v>
      </c>
      <c r="E897" s="57">
        <v>3500</v>
      </c>
      <c r="F897" s="1127" t="s">
        <v>2433</v>
      </c>
      <c r="G897" s="1" t="s">
        <v>45</v>
      </c>
      <c r="H897" s="1"/>
      <c r="I897" s="1"/>
      <c r="J897" s="1"/>
      <c r="K897" s="1"/>
      <c r="L897" s="1"/>
      <c r="M897" s="211"/>
    </row>
    <row r="898" spans="1:13" ht="19.5">
      <c r="A898" s="1">
        <v>66</v>
      </c>
      <c r="B898" s="2" t="s">
        <v>569</v>
      </c>
      <c r="C898" s="1" t="s">
        <v>570</v>
      </c>
      <c r="D898" s="4">
        <v>16129</v>
      </c>
      <c r="E898" s="57">
        <v>2300</v>
      </c>
      <c r="F898" s="1127" t="s">
        <v>2433</v>
      </c>
      <c r="G898" s="1" t="s">
        <v>45</v>
      </c>
      <c r="H898" s="1"/>
      <c r="I898" s="1"/>
      <c r="J898" s="1"/>
      <c r="K898" s="1"/>
      <c r="L898" s="1"/>
      <c r="M898" s="211"/>
    </row>
    <row r="899" spans="1:13" ht="19.5">
      <c r="A899" s="1">
        <v>67</v>
      </c>
      <c r="B899" s="2" t="s">
        <v>569</v>
      </c>
      <c r="C899" s="1" t="s">
        <v>571</v>
      </c>
      <c r="D899" s="4">
        <v>16129</v>
      </c>
      <c r="E899" s="57">
        <v>2300</v>
      </c>
      <c r="F899" s="1127" t="s">
        <v>2433</v>
      </c>
      <c r="G899" s="1" t="s">
        <v>45</v>
      </c>
      <c r="H899" s="1"/>
      <c r="I899" s="1"/>
      <c r="J899" s="1"/>
      <c r="K899" s="1"/>
      <c r="L899" s="1"/>
      <c r="M899" s="211"/>
    </row>
    <row r="900" spans="1:13" ht="19.5">
      <c r="A900" s="1">
        <v>68</v>
      </c>
      <c r="B900" s="2" t="s">
        <v>572</v>
      </c>
      <c r="C900" s="1" t="s">
        <v>573</v>
      </c>
      <c r="D900" s="4">
        <v>16129</v>
      </c>
      <c r="E900" s="57">
        <v>3000</v>
      </c>
      <c r="F900" s="1127" t="s">
        <v>2433</v>
      </c>
      <c r="G900" s="1" t="s">
        <v>45</v>
      </c>
      <c r="H900" s="1"/>
      <c r="I900" s="1"/>
      <c r="J900" s="1"/>
      <c r="K900" s="1"/>
      <c r="L900" s="1"/>
      <c r="M900" s="211"/>
    </row>
    <row r="901" spans="1:13" ht="19.5">
      <c r="A901" s="1">
        <v>69</v>
      </c>
      <c r="B901" s="2" t="s">
        <v>574</v>
      </c>
      <c r="C901" s="1" t="s">
        <v>575</v>
      </c>
      <c r="D901" s="4">
        <v>16325</v>
      </c>
      <c r="E901" s="57">
        <v>35000</v>
      </c>
      <c r="F901" s="1127" t="s">
        <v>2433</v>
      </c>
      <c r="G901" s="1" t="s">
        <v>45</v>
      </c>
      <c r="H901" s="1"/>
      <c r="I901" s="1"/>
      <c r="J901" s="1"/>
      <c r="K901" s="1"/>
      <c r="L901" s="1"/>
      <c r="M901" s="211"/>
    </row>
    <row r="902" spans="1:13" ht="19.5">
      <c r="A902" s="1">
        <v>70</v>
      </c>
      <c r="B902" s="3" t="s">
        <v>1160</v>
      </c>
      <c r="C902" s="158" t="s">
        <v>1161</v>
      </c>
      <c r="D902" s="4">
        <v>16127</v>
      </c>
      <c r="E902" s="1077">
        <v>3000</v>
      </c>
      <c r="F902" s="939" t="s">
        <v>999</v>
      </c>
      <c r="G902" s="1" t="s">
        <v>45</v>
      </c>
      <c r="H902" s="1"/>
      <c r="I902" s="1"/>
      <c r="J902" s="1"/>
      <c r="K902" s="1"/>
      <c r="L902" s="1"/>
      <c r="M902" s="211"/>
    </row>
    <row r="903" spans="1:13" ht="19.5">
      <c r="A903" s="1">
        <v>71</v>
      </c>
      <c r="B903" s="2" t="s">
        <v>572</v>
      </c>
      <c r="C903" s="1" t="s">
        <v>576</v>
      </c>
      <c r="D903" s="4">
        <v>16129</v>
      </c>
      <c r="E903" s="57">
        <v>3000</v>
      </c>
      <c r="F903" s="1127" t="s">
        <v>2433</v>
      </c>
      <c r="G903" s="1" t="s">
        <v>45</v>
      </c>
      <c r="H903" s="1"/>
      <c r="I903" s="1"/>
      <c r="J903" s="1"/>
      <c r="K903" s="1"/>
      <c r="L903" s="1"/>
      <c r="M903" s="211"/>
    </row>
    <row r="904" spans="1:13" ht="19.5">
      <c r="A904" s="1">
        <v>72</v>
      </c>
      <c r="B904" s="182" t="s">
        <v>1509</v>
      </c>
      <c r="C904" s="1" t="s">
        <v>1510</v>
      </c>
      <c r="D904" s="4">
        <v>16285</v>
      </c>
      <c r="E904" s="1095">
        <v>3000</v>
      </c>
      <c r="F904" s="939" t="s">
        <v>1508</v>
      </c>
      <c r="G904" s="1" t="s">
        <v>45</v>
      </c>
      <c r="H904" s="1"/>
      <c r="I904" s="1"/>
      <c r="J904" s="1"/>
      <c r="K904" s="1"/>
      <c r="L904" s="1"/>
      <c r="M904" s="211"/>
    </row>
    <row r="905" spans="1:13" ht="19.5">
      <c r="A905" s="1">
        <v>73</v>
      </c>
      <c r="B905" s="2" t="s">
        <v>569</v>
      </c>
      <c r="C905" s="1" t="s">
        <v>2293</v>
      </c>
      <c r="D905" s="4">
        <v>16416</v>
      </c>
      <c r="E905" s="1095">
        <v>2300</v>
      </c>
      <c r="F905" s="939" t="s">
        <v>1649</v>
      </c>
      <c r="G905" s="1" t="s">
        <v>45</v>
      </c>
      <c r="H905" s="1"/>
      <c r="I905" s="1"/>
      <c r="J905" s="1"/>
      <c r="K905" s="1"/>
      <c r="L905" s="1"/>
      <c r="M905" s="211" t="s">
        <v>3205</v>
      </c>
    </row>
    <row r="906" spans="1:13" ht="19.5">
      <c r="A906" s="1">
        <v>74</v>
      </c>
      <c r="B906" s="2" t="s">
        <v>569</v>
      </c>
      <c r="C906" s="1" t="s">
        <v>2294</v>
      </c>
      <c r="D906" s="4">
        <v>16416</v>
      </c>
      <c r="E906" s="1095">
        <v>2300</v>
      </c>
      <c r="F906" s="939" t="s">
        <v>1649</v>
      </c>
      <c r="G906" s="1" t="s">
        <v>45</v>
      </c>
      <c r="H906" s="1"/>
      <c r="I906" s="1"/>
      <c r="J906" s="1"/>
      <c r="K906" s="1"/>
      <c r="L906" s="1"/>
      <c r="M906" s="211" t="s">
        <v>3205</v>
      </c>
    </row>
    <row r="907" spans="1:13" ht="19.5">
      <c r="A907" s="1">
        <v>75</v>
      </c>
      <c r="B907" s="2" t="s">
        <v>557</v>
      </c>
      <c r="C907" s="1" t="s">
        <v>577</v>
      </c>
      <c r="D907" s="4">
        <v>16493</v>
      </c>
      <c r="E907" s="57">
        <v>3600</v>
      </c>
      <c r="F907" s="1127" t="s">
        <v>2433</v>
      </c>
      <c r="G907" s="1" t="s">
        <v>45</v>
      </c>
      <c r="H907" s="1"/>
      <c r="I907" s="1"/>
      <c r="J907" s="1"/>
      <c r="K907" s="1"/>
      <c r="L907" s="1"/>
      <c r="M907" s="211"/>
    </row>
    <row r="908" spans="1:13" ht="19.5">
      <c r="A908" s="1">
        <v>76</v>
      </c>
      <c r="B908" s="2" t="s">
        <v>578</v>
      </c>
      <c r="C908" s="1" t="s">
        <v>579</v>
      </c>
      <c r="D908" s="4">
        <v>16493</v>
      </c>
      <c r="E908" s="57">
        <v>3600</v>
      </c>
      <c r="F908" s="1127" t="s">
        <v>2433</v>
      </c>
      <c r="G908" s="1" t="s">
        <v>45</v>
      </c>
      <c r="H908" s="1"/>
      <c r="I908" s="1"/>
      <c r="J908" s="1"/>
      <c r="K908" s="1"/>
      <c r="L908" s="1"/>
      <c r="M908" s="211"/>
    </row>
    <row r="909" spans="1:13" ht="19.5">
      <c r="A909" s="1">
        <v>77</v>
      </c>
      <c r="B909" s="2" t="s">
        <v>2296</v>
      </c>
      <c r="C909" s="1" t="s">
        <v>2295</v>
      </c>
      <c r="D909" s="4">
        <v>16530</v>
      </c>
      <c r="E909" s="248">
        <v>18000</v>
      </c>
      <c r="F909" s="1011" t="s">
        <v>1649</v>
      </c>
      <c r="G909" s="1" t="s">
        <v>45</v>
      </c>
      <c r="H909" s="1"/>
      <c r="I909" s="1"/>
      <c r="J909" s="1"/>
      <c r="K909" s="1"/>
      <c r="L909" s="1"/>
      <c r="M909" s="211"/>
    </row>
    <row r="910" spans="1:13" ht="19.5">
      <c r="A910" s="1">
        <v>78</v>
      </c>
      <c r="B910" s="2" t="s">
        <v>2985</v>
      </c>
      <c r="C910" s="1" t="s">
        <v>2986</v>
      </c>
      <c r="D910" s="4">
        <v>236361</v>
      </c>
      <c r="E910" s="1113">
        <v>3200</v>
      </c>
      <c r="F910" s="939" t="s">
        <v>2957</v>
      </c>
      <c r="G910" s="1" t="s">
        <v>45</v>
      </c>
      <c r="H910" s="1"/>
      <c r="I910" s="1"/>
      <c r="J910" s="1"/>
      <c r="K910" s="1"/>
      <c r="L910" s="1"/>
      <c r="M910" s="211" t="s">
        <v>3193</v>
      </c>
    </row>
    <row r="911" spans="1:13" ht="19.5">
      <c r="A911" s="1">
        <v>79</v>
      </c>
      <c r="B911" s="2" t="s">
        <v>2985</v>
      </c>
      <c r="C911" s="1" t="s">
        <v>2987</v>
      </c>
      <c r="D911" s="4">
        <v>236361</v>
      </c>
      <c r="E911" s="1113">
        <v>3200</v>
      </c>
      <c r="F911" s="939" t="s">
        <v>2957</v>
      </c>
      <c r="G911" s="1" t="s">
        <v>45</v>
      </c>
      <c r="H911" s="1"/>
      <c r="I911" s="1"/>
      <c r="J911" s="1"/>
      <c r="K911" s="1"/>
      <c r="L911" s="1"/>
      <c r="M911" s="211" t="s">
        <v>3193</v>
      </c>
    </row>
    <row r="912" spans="1:13" ht="19.5">
      <c r="A912" s="1">
        <v>80</v>
      </c>
      <c r="B912" s="3" t="s">
        <v>1447</v>
      </c>
      <c r="C912" s="158" t="s">
        <v>1448</v>
      </c>
      <c r="D912" s="4">
        <v>17259</v>
      </c>
      <c r="E912" s="58">
        <v>3000</v>
      </c>
      <c r="F912" s="1131" t="s">
        <v>1265</v>
      </c>
      <c r="G912" s="1" t="s">
        <v>45</v>
      </c>
      <c r="H912" s="1"/>
      <c r="I912" s="1"/>
      <c r="J912" s="1"/>
      <c r="K912" s="1"/>
      <c r="L912" s="1"/>
      <c r="M912" s="211" t="s">
        <v>3178</v>
      </c>
    </row>
    <row r="913" spans="1:13" s="44" customFormat="1" ht="19.5">
      <c r="A913" s="1">
        <v>81</v>
      </c>
      <c r="B913" s="2" t="s">
        <v>1594</v>
      </c>
      <c r="C913" s="1" t="s">
        <v>1596</v>
      </c>
      <c r="D913" s="4">
        <v>17259</v>
      </c>
      <c r="E913" s="185">
        <v>3000</v>
      </c>
      <c r="F913" s="1129" t="s">
        <v>1572</v>
      </c>
      <c r="G913" s="1" t="s">
        <v>45</v>
      </c>
      <c r="H913" s="1"/>
      <c r="I913" s="1"/>
      <c r="J913" s="1"/>
      <c r="K913" s="1"/>
      <c r="L913" s="1"/>
      <c r="M913" s="211"/>
    </row>
    <row r="914" spans="1:13" s="44" customFormat="1" ht="19.5">
      <c r="A914" s="1">
        <v>82</v>
      </c>
      <c r="B914" s="273" t="s">
        <v>1594</v>
      </c>
      <c r="C914" s="274" t="s">
        <v>1595</v>
      </c>
      <c r="D914" s="4">
        <v>17259</v>
      </c>
      <c r="E914" s="275">
        <v>3200</v>
      </c>
      <c r="F914" s="1129" t="s">
        <v>1572</v>
      </c>
      <c r="G914" s="1" t="s">
        <v>45</v>
      </c>
      <c r="H914" s="1"/>
      <c r="I914" s="1"/>
      <c r="J914" s="1"/>
      <c r="K914" s="1"/>
      <c r="L914" s="1"/>
      <c r="M914" s="211"/>
    </row>
    <row r="915" spans="1:13" s="44" customFormat="1" ht="19.5">
      <c r="A915" s="1">
        <v>83</v>
      </c>
      <c r="B915" s="273" t="s">
        <v>2768</v>
      </c>
      <c r="C915" s="274" t="s">
        <v>1589</v>
      </c>
      <c r="D915" s="4">
        <v>17259</v>
      </c>
      <c r="E915" s="275">
        <v>3200</v>
      </c>
      <c r="F915" s="1129" t="s">
        <v>2769</v>
      </c>
      <c r="G915" s="1" t="s">
        <v>45</v>
      </c>
      <c r="H915" s="1"/>
      <c r="I915" s="1"/>
      <c r="J915" s="1"/>
      <c r="K915" s="1"/>
      <c r="L915" s="1"/>
      <c r="M915" s="211" t="s">
        <v>3501</v>
      </c>
    </row>
    <row r="916" spans="1:13" s="44" customFormat="1" ht="19.5">
      <c r="A916" s="1">
        <v>84</v>
      </c>
      <c r="B916" s="2" t="s">
        <v>2771</v>
      </c>
      <c r="C916" s="1" t="s">
        <v>580</v>
      </c>
      <c r="D916" s="4">
        <v>17430</v>
      </c>
      <c r="E916" s="57">
        <v>23000</v>
      </c>
      <c r="F916" s="1129" t="s">
        <v>2770</v>
      </c>
      <c r="G916" s="1" t="s">
        <v>45</v>
      </c>
      <c r="H916" s="1"/>
      <c r="I916" s="1"/>
      <c r="J916" s="1"/>
      <c r="K916" s="1"/>
      <c r="L916" s="1"/>
      <c r="M916" s="211"/>
    </row>
    <row r="917" spans="1:13" s="44" customFormat="1" ht="19.5">
      <c r="A917" s="1">
        <v>85</v>
      </c>
      <c r="B917" s="2" t="s">
        <v>2771</v>
      </c>
      <c r="C917" s="1" t="s">
        <v>581</v>
      </c>
      <c r="D917" s="4">
        <v>17430</v>
      </c>
      <c r="E917" s="57">
        <v>46000</v>
      </c>
      <c r="F917" s="1129" t="s">
        <v>2770</v>
      </c>
      <c r="G917" s="1" t="s">
        <v>45</v>
      </c>
      <c r="H917" s="1"/>
      <c r="I917" s="1"/>
      <c r="J917" s="1"/>
      <c r="K917" s="1"/>
      <c r="L917" s="1"/>
      <c r="M917" s="211"/>
    </row>
    <row r="918" spans="1:13" ht="19.5">
      <c r="A918" s="1">
        <v>86</v>
      </c>
      <c r="B918" s="2" t="s">
        <v>2771</v>
      </c>
      <c r="C918" s="1" t="s">
        <v>582</v>
      </c>
      <c r="D918" s="4">
        <v>17430</v>
      </c>
      <c r="E918" s="57">
        <v>30000</v>
      </c>
      <c r="F918" s="1129" t="s">
        <v>2770</v>
      </c>
      <c r="G918" s="1" t="s">
        <v>45</v>
      </c>
      <c r="H918" s="1"/>
      <c r="I918" s="1"/>
      <c r="J918" s="1"/>
      <c r="K918" s="1"/>
      <c r="L918" s="1"/>
      <c r="M918" s="211"/>
    </row>
    <row r="919" spans="1:13" ht="19.5">
      <c r="A919" s="1">
        <v>87</v>
      </c>
      <c r="B919" s="2" t="s">
        <v>583</v>
      </c>
      <c r="C919" s="1" t="s">
        <v>584</v>
      </c>
      <c r="D919" s="4">
        <v>17760</v>
      </c>
      <c r="E919" s="57">
        <v>3210</v>
      </c>
      <c r="F919" s="1127" t="s">
        <v>2433</v>
      </c>
      <c r="G919" s="1" t="s">
        <v>45</v>
      </c>
      <c r="H919" s="1"/>
      <c r="I919" s="1"/>
      <c r="J919" s="1"/>
      <c r="K919" s="1"/>
      <c r="L919" s="1"/>
      <c r="M919" s="211"/>
    </row>
    <row r="920" spans="1:13" ht="19.5">
      <c r="A920" s="1">
        <v>88</v>
      </c>
      <c r="B920" s="273" t="s">
        <v>1590</v>
      </c>
      <c r="C920" s="274" t="s">
        <v>1591</v>
      </c>
      <c r="D920" s="4">
        <v>17533</v>
      </c>
      <c r="E920" s="275">
        <v>2782</v>
      </c>
      <c r="F920" s="1129" t="s">
        <v>1572</v>
      </c>
      <c r="G920" s="1" t="s">
        <v>45</v>
      </c>
      <c r="H920" s="1"/>
      <c r="I920" s="1"/>
      <c r="J920" s="1"/>
      <c r="K920" s="1"/>
      <c r="L920" s="1"/>
      <c r="M920" s="211" t="s">
        <v>3468</v>
      </c>
    </row>
    <row r="921" spans="1:13" ht="19.5">
      <c r="A921" s="1">
        <v>89</v>
      </c>
      <c r="B921" s="2" t="s">
        <v>585</v>
      </c>
      <c r="C921" s="1" t="s">
        <v>586</v>
      </c>
      <c r="D921" s="4">
        <v>17788</v>
      </c>
      <c r="E921" s="57">
        <v>1605</v>
      </c>
      <c r="F921" s="1127" t="s">
        <v>2433</v>
      </c>
      <c r="G921" s="1" t="s">
        <v>45</v>
      </c>
      <c r="H921" s="1"/>
      <c r="I921" s="1"/>
      <c r="J921" s="1"/>
      <c r="K921" s="1"/>
      <c r="L921" s="1"/>
      <c r="M921" s="211"/>
    </row>
    <row r="922" spans="1:13" ht="19.5">
      <c r="A922" s="1">
        <v>90</v>
      </c>
      <c r="B922" s="2" t="s">
        <v>585</v>
      </c>
      <c r="C922" s="1" t="s">
        <v>587</v>
      </c>
      <c r="D922" s="4">
        <v>17788</v>
      </c>
      <c r="E922" s="57">
        <v>1444.5</v>
      </c>
      <c r="F922" s="1127" t="s">
        <v>2433</v>
      </c>
      <c r="G922" s="1" t="s">
        <v>45</v>
      </c>
      <c r="H922" s="1"/>
      <c r="I922" s="1"/>
      <c r="J922" s="1"/>
      <c r="K922" s="1"/>
      <c r="L922" s="1"/>
      <c r="M922" s="211"/>
    </row>
    <row r="923" spans="1:13" ht="19.5">
      <c r="A923" s="1">
        <v>91</v>
      </c>
      <c r="B923" s="3" t="s">
        <v>1449</v>
      </c>
      <c r="C923" s="158" t="s">
        <v>1450</v>
      </c>
      <c r="D923" s="4">
        <v>17788</v>
      </c>
      <c r="E923" s="58">
        <v>1444.5</v>
      </c>
      <c r="F923" s="1131" t="s">
        <v>1265</v>
      </c>
      <c r="G923" s="1" t="s">
        <v>45</v>
      </c>
      <c r="H923" s="1"/>
      <c r="I923" s="1"/>
      <c r="J923" s="1"/>
      <c r="K923" s="1"/>
      <c r="L923" s="1"/>
      <c r="M923" s="211" t="s">
        <v>3170</v>
      </c>
    </row>
    <row r="924" spans="1:13" ht="19.5">
      <c r="A924" s="1">
        <v>92</v>
      </c>
      <c r="B924" s="2" t="s">
        <v>600</v>
      </c>
      <c r="C924" s="1" t="s">
        <v>601</v>
      </c>
      <c r="D924" s="4">
        <v>17873</v>
      </c>
      <c r="E924" s="57">
        <v>23800</v>
      </c>
      <c r="F924" s="1127" t="s">
        <v>2433</v>
      </c>
      <c r="G924" s="1" t="s">
        <v>45</v>
      </c>
      <c r="H924" s="1"/>
      <c r="I924" s="1"/>
      <c r="J924" s="1"/>
      <c r="K924" s="1"/>
      <c r="L924" s="1"/>
      <c r="M924" s="211"/>
    </row>
    <row r="925" spans="1:13" ht="19.5">
      <c r="A925" s="1">
        <v>93</v>
      </c>
      <c r="B925" s="2" t="s">
        <v>600</v>
      </c>
      <c r="C925" s="1" t="s">
        <v>602</v>
      </c>
      <c r="D925" s="4">
        <v>17873</v>
      </c>
      <c r="E925" s="57">
        <v>23800</v>
      </c>
      <c r="F925" s="1127" t="s">
        <v>2433</v>
      </c>
      <c r="G925" s="1" t="s">
        <v>45</v>
      </c>
      <c r="H925" s="1"/>
      <c r="I925" s="1"/>
      <c r="J925" s="1"/>
      <c r="K925" s="1"/>
      <c r="L925" s="1"/>
      <c r="M925" s="211"/>
    </row>
    <row r="926" spans="1:13" ht="19.5">
      <c r="A926" s="1">
        <v>94</v>
      </c>
      <c r="B926" s="2" t="s">
        <v>588</v>
      </c>
      <c r="C926" s="1" t="s">
        <v>589</v>
      </c>
      <c r="D926" s="4">
        <v>17932</v>
      </c>
      <c r="E926" s="57">
        <v>4500</v>
      </c>
      <c r="F926" s="1127" t="s">
        <v>2433</v>
      </c>
      <c r="G926" s="1" t="s">
        <v>45</v>
      </c>
      <c r="H926" s="1"/>
      <c r="I926" s="1"/>
      <c r="J926" s="1"/>
      <c r="K926" s="1"/>
      <c r="L926" s="1"/>
      <c r="M926" s="211"/>
    </row>
    <row r="927" spans="1:13" ht="19.5">
      <c r="A927" s="1">
        <v>95</v>
      </c>
      <c r="B927" s="2" t="s">
        <v>588</v>
      </c>
      <c r="C927" s="1" t="s">
        <v>590</v>
      </c>
      <c r="D927" s="4">
        <v>17932</v>
      </c>
      <c r="E927" s="57">
        <v>4500</v>
      </c>
      <c r="F927" s="1127" t="s">
        <v>2433</v>
      </c>
      <c r="G927" s="1" t="s">
        <v>45</v>
      </c>
      <c r="H927" s="1"/>
      <c r="I927" s="1"/>
      <c r="J927" s="1"/>
      <c r="K927" s="1"/>
      <c r="L927" s="1"/>
      <c r="M927" s="211"/>
    </row>
    <row r="928" spans="1:13" ht="19.5">
      <c r="A928" s="1">
        <v>96</v>
      </c>
      <c r="B928" s="2" t="s">
        <v>591</v>
      </c>
      <c r="C928" s="1" t="s">
        <v>592</v>
      </c>
      <c r="D928" s="4">
        <v>17932</v>
      </c>
      <c r="E928" s="57">
        <v>3900</v>
      </c>
      <c r="F928" s="1127" t="s">
        <v>2433</v>
      </c>
      <c r="G928" s="1" t="s">
        <v>45</v>
      </c>
      <c r="H928" s="1"/>
      <c r="I928" s="1"/>
      <c r="J928" s="1"/>
      <c r="K928" s="1"/>
      <c r="L928" s="1"/>
      <c r="M928" s="211"/>
    </row>
    <row r="929" spans="1:13" ht="19.5">
      <c r="A929" s="1">
        <v>97</v>
      </c>
      <c r="B929" s="2" t="s">
        <v>593</v>
      </c>
      <c r="C929" s="1" t="s">
        <v>594</v>
      </c>
      <c r="D929" s="4">
        <v>17932</v>
      </c>
      <c r="E929" s="57">
        <v>2000</v>
      </c>
      <c r="F929" s="1127" t="s">
        <v>2433</v>
      </c>
      <c r="G929" s="1" t="s">
        <v>45</v>
      </c>
      <c r="H929" s="1"/>
      <c r="I929" s="1"/>
      <c r="J929" s="1"/>
      <c r="K929" s="1"/>
      <c r="L929" s="1"/>
      <c r="M929" s="211"/>
    </row>
    <row r="930" spans="1:13" ht="19.5">
      <c r="A930" s="1">
        <v>98</v>
      </c>
      <c r="B930" s="2" t="s">
        <v>595</v>
      </c>
      <c r="C930" s="1" t="s">
        <v>596</v>
      </c>
      <c r="D930" s="4">
        <v>17932</v>
      </c>
      <c r="E930" s="57">
        <v>4500</v>
      </c>
      <c r="F930" s="1127" t="s">
        <v>2433</v>
      </c>
      <c r="G930" s="1" t="s">
        <v>45</v>
      </c>
      <c r="H930" s="1"/>
      <c r="I930" s="1"/>
      <c r="J930" s="1"/>
      <c r="K930" s="1"/>
      <c r="L930" s="1"/>
      <c r="M930" s="211"/>
    </row>
    <row r="931" spans="1:13" ht="19.5">
      <c r="A931" s="1">
        <v>99</v>
      </c>
      <c r="B931" s="2" t="s">
        <v>597</v>
      </c>
      <c r="C931" s="1" t="s">
        <v>598</v>
      </c>
      <c r="D931" s="4">
        <v>17932</v>
      </c>
      <c r="E931" s="57">
        <v>4000</v>
      </c>
      <c r="F931" s="1127" t="s">
        <v>2433</v>
      </c>
      <c r="G931" s="1" t="s">
        <v>45</v>
      </c>
      <c r="H931" s="1"/>
      <c r="I931" s="1"/>
      <c r="J931" s="1"/>
      <c r="K931" s="1"/>
      <c r="L931" s="1"/>
      <c r="M931" s="211"/>
    </row>
    <row r="932" spans="1:13" s="44" customFormat="1" ht="19.5">
      <c r="A932" s="1">
        <v>100</v>
      </c>
      <c r="B932" s="2" t="s">
        <v>588</v>
      </c>
      <c r="C932" s="1" t="s">
        <v>599</v>
      </c>
      <c r="D932" s="4">
        <v>17932</v>
      </c>
      <c r="E932" s="57">
        <v>4500</v>
      </c>
      <c r="F932" s="1127" t="s">
        <v>2433</v>
      </c>
      <c r="G932" s="1" t="s">
        <v>45</v>
      </c>
      <c r="H932" s="1"/>
      <c r="I932" s="1"/>
      <c r="J932" s="1"/>
      <c r="K932" s="1"/>
      <c r="L932" s="1"/>
      <c r="M932" s="211"/>
    </row>
    <row r="933" spans="1:13" ht="19.5">
      <c r="A933" s="1">
        <v>101</v>
      </c>
      <c r="B933" s="2" t="s">
        <v>603</v>
      </c>
      <c r="C933" s="1" t="s">
        <v>604</v>
      </c>
      <c r="D933" s="4">
        <v>18851</v>
      </c>
      <c r="E933" s="57">
        <v>15000</v>
      </c>
      <c r="F933" s="1127" t="s">
        <v>2433</v>
      </c>
      <c r="G933" s="1" t="s">
        <v>45</v>
      </c>
      <c r="H933" s="1"/>
      <c r="I933" s="1"/>
      <c r="J933" s="1"/>
      <c r="K933" s="1"/>
      <c r="L933" s="1"/>
      <c r="M933" s="211"/>
    </row>
    <row r="934" spans="1:13" ht="19.5">
      <c r="A934" s="1">
        <v>102</v>
      </c>
      <c r="B934" s="2" t="s">
        <v>1153</v>
      </c>
      <c r="C934" s="1" t="s">
        <v>1154</v>
      </c>
      <c r="D934" s="4">
        <v>19041</v>
      </c>
      <c r="E934" s="1077">
        <v>3010</v>
      </c>
      <c r="F934" s="1129" t="s">
        <v>999</v>
      </c>
      <c r="G934" s="1" t="s">
        <v>45</v>
      </c>
      <c r="H934" s="1"/>
      <c r="I934" s="1"/>
      <c r="J934" s="1"/>
      <c r="K934" s="1"/>
      <c r="L934" s="1"/>
      <c r="M934" s="211"/>
    </row>
    <row r="935" spans="1:13" ht="19.5">
      <c r="A935" s="1">
        <v>103</v>
      </c>
      <c r="B935" s="2" t="s">
        <v>1153</v>
      </c>
      <c r="C935" s="1" t="s">
        <v>1155</v>
      </c>
      <c r="D935" s="4">
        <v>19041</v>
      </c>
      <c r="E935" s="1077">
        <v>3010</v>
      </c>
      <c r="F935" s="1129" t="s">
        <v>999</v>
      </c>
      <c r="G935" s="1" t="s">
        <v>45</v>
      </c>
      <c r="H935" s="1"/>
      <c r="I935" s="1"/>
      <c r="J935" s="1"/>
      <c r="K935" s="1"/>
      <c r="L935" s="1"/>
      <c r="M935" s="211"/>
    </row>
    <row r="936" spans="1:13" ht="19.5">
      <c r="A936" s="1">
        <v>104</v>
      </c>
      <c r="B936" s="2" t="s">
        <v>1153</v>
      </c>
      <c r="C936" s="1" t="s">
        <v>1156</v>
      </c>
      <c r="D936" s="4">
        <v>19041</v>
      </c>
      <c r="E936" s="1077">
        <v>3010</v>
      </c>
      <c r="F936" s="1129" t="s">
        <v>999</v>
      </c>
      <c r="G936" s="1" t="s">
        <v>45</v>
      </c>
      <c r="H936" s="1"/>
      <c r="I936" s="1"/>
      <c r="J936" s="1"/>
      <c r="K936" s="1"/>
      <c r="L936" s="1"/>
      <c r="M936" s="211"/>
    </row>
    <row r="937" spans="1:13" ht="19.5">
      <c r="A937" s="1">
        <v>105</v>
      </c>
      <c r="B937" s="2" t="s">
        <v>1153</v>
      </c>
      <c r="C937" s="1" t="s">
        <v>1157</v>
      </c>
      <c r="D937" s="4">
        <v>19041</v>
      </c>
      <c r="E937" s="1077">
        <v>3010</v>
      </c>
      <c r="F937" s="1129" t="s">
        <v>999</v>
      </c>
      <c r="G937" s="1" t="s">
        <v>45</v>
      </c>
      <c r="H937" s="1"/>
      <c r="I937" s="1"/>
      <c r="J937" s="1"/>
      <c r="K937" s="1"/>
      <c r="L937" s="1"/>
      <c r="M937" s="211"/>
    </row>
    <row r="938" spans="1:13" ht="19.5">
      <c r="A938" s="1">
        <v>106</v>
      </c>
      <c r="B938" s="2" t="s">
        <v>1153</v>
      </c>
      <c r="C938" s="1" t="s">
        <v>1158</v>
      </c>
      <c r="D938" s="4">
        <v>19041</v>
      </c>
      <c r="E938" s="1077">
        <v>3010</v>
      </c>
      <c r="F938" s="1129" t="s">
        <v>999</v>
      </c>
      <c r="G938" s="1" t="s">
        <v>45</v>
      </c>
      <c r="H938" s="1"/>
      <c r="I938" s="1"/>
      <c r="J938" s="1"/>
      <c r="K938" s="1"/>
      <c r="L938" s="1"/>
      <c r="M938" s="211"/>
    </row>
    <row r="939" spans="1:13" ht="19.5">
      <c r="A939" s="1">
        <v>107</v>
      </c>
      <c r="B939" s="2" t="s">
        <v>1153</v>
      </c>
      <c r="C939" s="1" t="s">
        <v>1159</v>
      </c>
      <c r="D939" s="4">
        <v>19041</v>
      </c>
      <c r="E939" s="1077">
        <v>3010</v>
      </c>
      <c r="F939" s="1129" t="s">
        <v>999</v>
      </c>
      <c r="G939" s="1" t="s">
        <v>45</v>
      </c>
      <c r="H939" s="1"/>
      <c r="I939" s="1"/>
      <c r="J939" s="1"/>
      <c r="K939" s="1"/>
      <c r="L939" s="1"/>
      <c r="M939" s="211"/>
    </row>
    <row r="940" spans="1:13" ht="19.5">
      <c r="A940" s="1">
        <v>108</v>
      </c>
      <c r="B940" s="3" t="s">
        <v>1451</v>
      </c>
      <c r="C940" s="158" t="s">
        <v>1452</v>
      </c>
      <c r="D940" s="4">
        <v>19625</v>
      </c>
      <c r="E940" s="58">
        <v>15000</v>
      </c>
      <c r="F940" s="1156" t="s">
        <v>1265</v>
      </c>
      <c r="G940" s="1" t="s">
        <v>45</v>
      </c>
      <c r="H940" s="1"/>
      <c r="I940" s="1"/>
      <c r="J940" s="1"/>
      <c r="K940" s="1"/>
      <c r="L940" s="1"/>
      <c r="M940" s="211" t="s">
        <v>3186</v>
      </c>
    </row>
    <row r="941" spans="1:13" ht="19.5">
      <c r="A941" s="1">
        <v>109</v>
      </c>
      <c r="B941" s="2" t="s">
        <v>1597</v>
      </c>
      <c r="C941" s="1" t="s">
        <v>1598</v>
      </c>
      <c r="D941" s="4">
        <v>20612</v>
      </c>
      <c r="E941" s="276">
        <v>100965</v>
      </c>
      <c r="F941" s="1132" t="s">
        <v>1633</v>
      </c>
      <c r="G941" s="1" t="s">
        <v>45</v>
      </c>
      <c r="H941" s="1"/>
      <c r="I941" s="1"/>
      <c r="J941" s="1"/>
      <c r="K941" s="1"/>
      <c r="L941" s="1"/>
      <c r="M941" s="211"/>
    </row>
    <row r="942" spans="1:13" ht="19.5">
      <c r="A942" s="1">
        <v>110</v>
      </c>
      <c r="B942" s="2" t="s">
        <v>605</v>
      </c>
      <c r="C942" s="1" t="s">
        <v>606</v>
      </c>
      <c r="D942" s="4">
        <v>21002</v>
      </c>
      <c r="E942" s="57">
        <v>20009</v>
      </c>
      <c r="F942" s="1127" t="s">
        <v>2433</v>
      </c>
      <c r="G942" s="1" t="s">
        <v>45</v>
      </c>
      <c r="H942" s="1"/>
      <c r="I942" s="1"/>
      <c r="J942" s="1"/>
      <c r="K942" s="1"/>
      <c r="L942" s="1"/>
      <c r="M942" s="211"/>
    </row>
    <row r="943" spans="1:13" ht="19.5">
      <c r="A943" s="1">
        <v>111</v>
      </c>
      <c r="B943" s="2" t="s">
        <v>2297</v>
      </c>
      <c r="C943" s="1" t="s">
        <v>2298</v>
      </c>
      <c r="D943" s="4">
        <v>21735</v>
      </c>
      <c r="E943" s="57">
        <v>20865</v>
      </c>
      <c r="F943" s="1011" t="s">
        <v>1649</v>
      </c>
      <c r="G943" s="1" t="s">
        <v>45</v>
      </c>
      <c r="H943" s="1"/>
      <c r="I943" s="1"/>
      <c r="J943" s="1"/>
      <c r="K943" s="1"/>
      <c r="L943" s="1"/>
      <c r="M943" s="211" t="s">
        <v>1508</v>
      </c>
    </row>
    <row r="944" spans="1:13" ht="19.5">
      <c r="A944" s="1">
        <v>112</v>
      </c>
      <c r="B944" s="2" t="s">
        <v>607</v>
      </c>
      <c r="C944" s="1" t="s">
        <v>608</v>
      </c>
      <c r="D944" s="4">
        <v>21940</v>
      </c>
      <c r="E944" s="57">
        <v>5000</v>
      </c>
      <c r="F944" s="1127" t="s">
        <v>2433</v>
      </c>
      <c r="G944" s="1" t="s">
        <v>45</v>
      </c>
      <c r="H944" s="1"/>
      <c r="I944" s="1"/>
      <c r="J944" s="1"/>
      <c r="K944" s="1"/>
      <c r="L944" s="1"/>
      <c r="M944" s="211"/>
    </row>
    <row r="945" spans="1:13" ht="19.5">
      <c r="A945" s="1">
        <v>113</v>
      </c>
      <c r="B945" s="2" t="s">
        <v>607</v>
      </c>
      <c r="C945" s="1" t="s">
        <v>609</v>
      </c>
      <c r="D945" s="4">
        <v>21940</v>
      </c>
      <c r="E945" s="57">
        <v>5000</v>
      </c>
      <c r="F945" s="1127" t="s">
        <v>2433</v>
      </c>
      <c r="G945" s="1" t="s">
        <v>45</v>
      </c>
      <c r="H945" s="1"/>
      <c r="I945" s="1"/>
      <c r="J945" s="1"/>
      <c r="K945" s="1"/>
      <c r="L945" s="1"/>
      <c r="M945" s="211" t="s">
        <v>3481</v>
      </c>
    </row>
    <row r="946" spans="1:13" ht="19.5">
      <c r="A946" s="1">
        <v>114</v>
      </c>
      <c r="B946" s="2" t="s">
        <v>2426</v>
      </c>
      <c r="C946" s="1" t="s">
        <v>2427</v>
      </c>
      <c r="D946" s="4">
        <v>23003</v>
      </c>
      <c r="E946" s="253">
        <v>4400</v>
      </c>
      <c r="F946" s="1127" t="s">
        <v>2433</v>
      </c>
      <c r="G946" s="1" t="s">
        <v>45</v>
      </c>
      <c r="H946" s="1"/>
      <c r="I946" s="1"/>
      <c r="J946" s="1"/>
      <c r="K946" s="1"/>
      <c r="L946" s="1"/>
      <c r="M946" s="211" t="s">
        <v>3494</v>
      </c>
    </row>
    <row r="947" spans="1:13" ht="19.5">
      <c r="A947" s="1">
        <v>115</v>
      </c>
      <c r="B947" s="2" t="s">
        <v>2669</v>
      </c>
      <c r="C947" s="1" t="s">
        <v>2670</v>
      </c>
      <c r="D947" s="4">
        <v>23591</v>
      </c>
      <c r="E947" s="1096">
        <v>5900</v>
      </c>
      <c r="F947" s="939" t="s">
        <v>1508</v>
      </c>
      <c r="G947" s="1" t="s">
        <v>45</v>
      </c>
      <c r="I947" s="1"/>
      <c r="J947" s="1"/>
      <c r="K947" s="1"/>
      <c r="L947" s="1"/>
      <c r="M947" s="182" t="s">
        <v>3511</v>
      </c>
    </row>
    <row r="948" spans="1:13" ht="19.5">
      <c r="A948" s="1">
        <v>116</v>
      </c>
      <c r="B948" s="2" t="s">
        <v>2669</v>
      </c>
      <c r="C948" s="1" t="s">
        <v>2671</v>
      </c>
      <c r="D948" s="4">
        <v>23591</v>
      </c>
      <c r="E948" s="1096">
        <v>5900</v>
      </c>
      <c r="F948" s="939" t="s">
        <v>1508</v>
      </c>
      <c r="G948" s="1" t="s">
        <v>45</v>
      </c>
      <c r="H948" s="1"/>
      <c r="I948" s="1"/>
      <c r="J948" s="1"/>
      <c r="K948" s="1"/>
      <c r="L948" s="1"/>
      <c r="M948" s="182" t="s">
        <v>3511</v>
      </c>
    </row>
    <row r="949" spans="1:13" ht="19.5">
      <c r="A949" s="1">
        <v>117</v>
      </c>
      <c r="B949" s="2" t="s">
        <v>2669</v>
      </c>
      <c r="C949" s="1" t="s">
        <v>2672</v>
      </c>
      <c r="D949" s="4">
        <v>23591</v>
      </c>
      <c r="E949" s="1096">
        <v>5900</v>
      </c>
      <c r="F949" s="939" t="s">
        <v>1508</v>
      </c>
      <c r="G949" s="1" t="s">
        <v>45</v>
      </c>
      <c r="H949" s="1"/>
      <c r="I949" s="1"/>
      <c r="J949" s="1"/>
      <c r="K949" s="1"/>
      <c r="L949" s="1"/>
      <c r="M949" s="182" t="s">
        <v>3511</v>
      </c>
    </row>
    <row r="950" spans="1:13" ht="19.5">
      <c r="A950" s="1">
        <v>118</v>
      </c>
      <c r="B950" s="2" t="s">
        <v>2955</v>
      </c>
      <c r="C950" s="1" t="s">
        <v>2956</v>
      </c>
      <c r="D950" s="4">
        <v>242859</v>
      </c>
      <c r="E950" s="1113">
        <v>5500</v>
      </c>
      <c r="F950" s="939" t="s">
        <v>2957</v>
      </c>
      <c r="G950" s="1" t="s">
        <v>45</v>
      </c>
      <c r="H950" s="1"/>
      <c r="I950" s="1"/>
      <c r="J950" s="1"/>
      <c r="K950" s="1"/>
      <c r="L950" s="1"/>
      <c r="M950" s="211" t="s">
        <v>3193</v>
      </c>
    </row>
    <row r="951" spans="1:13" ht="19.5">
      <c r="A951" s="1">
        <v>119</v>
      </c>
      <c r="B951" s="2" t="s">
        <v>2936</v>
      </c>
      <c r="C951" s="1" t="s">
        <v>2937</v>
      </c>
      <c r="D951" s="4">
        <v>242883</v>
      </c>
      <c r="E951" s="258">
        <v>2000</v>
      </c>
      <c r="F951" s="1127" t="s">
        <v>2922</v>
      </c>
      <c r="G951" s="1" t="s">
        <v>45</v>
      </c>
      <c r="H951" s="1"/>
      <c r="I951" s="1"/>
      <c r="J951" s="1"/>
      <c r="K951" s="1"/>
      <c r="L951" s="1"/>
      <c r="M951" s="211" t="s">
        <v>3498</v>
      </c>
    </row>
    <row r="952" spans="1:13" ht="19.5">
      <c r="A952" s="1">
        <v>120</v>
      </c>
      <c r="B952" s="2" t="s">
        <v>2936</v>
      </c>
      <c r="C952" s="1" t="s">
        <v>2938</v>
      </c>
      <c r="D952" s="4">
        <v>242883</v>
      </c>
      <c r="E952" s="258">
        <v>2000</v>
      </c>
      <c r="F952" s="1127" t="s">
        <v>2922</v>
      </c>
      <c r="G952" s="1" t="s">
        <v>45</v>
      </c>
      <c r="H952" s="1"/>
      <c r="I952" s="1"/>
      <c r="J952" s="1"/>
      <c r="K952" s="1"/>
      <c r="L952" s="1"/>
      <c r="M952" s="211" t="s">
        <v>3499</v>
      </c>
    </row>
    <row r="953" spans="1:13" ht="19.5">
      <c r="A953" s="1">
        <v>121</v>
      </c>
      <c r="B953" s="2" t="s">
        <v>2936</v>
      </c>
      <c r="C953" s="1" t="s">
        <v>2939</v>
      </c>
      <c r="D953" s="4">
        <v>242885</v>
      </c>
      <c r="E953" s="258">
        <v>2000</v>
      </c>
      <c r="F953" s="1127" t="s">
        <v>2922</v>
      </c>
      <c r="G953" s="1" t="s">
        <v>45</v>
      </c>
      <c r="H953" s="1"/>
      <c r="I953" s="1"/>
      <c r="J953" s="1"/>
      <c r="K953" s="1"/>
      <c r="L953" s="1"/>
      <c r="M953" s="211" t="s">
        <v>3468</v>
      </c>
    </row>
    <row r="954" spans="1:13" ht="19.5">
      <c r="A954" s="1">
        <v>122</v>
      </c>
      <c r="B954" s="2" t="s">
        <v>2940</v>
      </c>
      <c r="C954" s="1" t="s">
        <v>2941</v>
      </c>
      <c r="D954" s="4">
        <v>242885</v>
      </c>
      <c r="E954" s="258">
        <v>4700</v>
      </c>
      <c r="F954" s="1127" t="s">
        <v>2922</v>
      </c>
      <c r="G954" s="1" t="s">
        <v>45</v>
      </c>
      <c r="H954" s="1"/>
      <c r="I954" s="1"/>
      <c r="J954" s="1"/>
      <c r="K954" s="1"/>
      <c r="L954" s="1"/>
      <c r="M954" s="211" t="s">
        <v>3495</v>
      </c>
    </row>
    <row r="955" spans="1:13" ht="19.5">
      <c r="A955" s="1">
        <v>123</v>
      </c>
      <c r="B955" s="2" t="s">
        <v>2940</v>
      </c>
      <c r="C955" s="1" t="s">
        <v>2942</v>
      </c>
      <c r="D955" s="4">
        <v>242885</v>
      </c>
      <c r="E955" s="258">
        <v>4700</v>
      </c>
      <c r="F955" s="1127" t="s">
        <v>2922</v>
      </c>
      <c r="G955" s="1" t="s">
        <v>45</v>
      </c>
      <c r="H955" s="1"/>
      <c r="I955" s="1"/>
      <c r="J955" s="1"/>
      <c r="K955" s="1"/>
      <c r="L955" s="1"/>
      <c r="M955" s="211" t="s">
        <v>3500</v>
      </c>
    </row>
    <row r="956" spans="1:13" ht="19.5">
      <c r="A956" s="1">
        <v>124</v>
      </c>
      <c r="B956" s="2" t="s">
        <v>2940</v>
      </c>
      <c r="C956" s="1" t="s">
        <v>2943</v>
      </c>
      <c r="D956" s="4">
        <v>242885</v>
      </c>
      <c r="E956" s="258">
        <v>4700</v>
      </c>
      <c r="F956" s="1127" t="s">
        <v>2922</v>
      </c>
      <c r="G956" s="1" t="s">
        <v>45</v>
      </c>
      <c r="H956" s="1"/>
      <c r="I956" s="1"/>
      <c r="J956" s="1"/>
      <c r="K956" s="1"/>
      <c r="L956" s="1"/>
      <c r="M956" s="211" t="s">
        <v>3479</v>
      </c>
    </row>
    <row r="957" spans="1:13" ht="19.5">
      <c r="A957" s="1">
        <v>125</v>
      </c>
      <c r="B957" s="2" t="s">
        <v>2944</v>
      </c>
      <c r="C957" s="1" t="s">
        <v>2945</v>
      </c>
      <c r="D957" s="4">
        <v>242885</v>
      </c>
      <c r="E957" s="258">
        <v>4600</v>
      </c>
      <c r="F957" s="1127" t="s">
        <v>2922</v>
      </c>
      <c r="G957" s="1" t="s">
        <v>45</v>
      </c>
      <c r="H957" s="1"/>
      <c r="I957" s="1"/>
      <c r="J957" s="1"/>
      <c r="K957" s="1"/>
      <c r="L957" s="1"/>
      <c r="M957" s="211" t="s">
        <v>3495</v>
      </c>
    </row>
    <row r="958" spans="1:13" ht="19.5">
      <c r="A958" s="1">
        <v>126</v>
      </c>
      <c r="B958" s="2" t="s">
        <v>2944</v>
      </c>
      <c r="C958" s="1" t="s">
        <v>2946</v>
      </c>
      <c r="D958" s="4">
        <v>242885</v>
      </c>
      <c r="E958" s="258">
        <v>4600</v>
      </c>
      <c r="F958" s="1127" t="s">
        <v>2922</v>
      </c>
      <c r="G958" s="1" t="s">
        <v>45</v>
      </c>
      <c r="H958" s="1"/>
      <c r="I958" s="1"/>
      <c r="J958" s="1"/>
      <c r="K958" s="1"/>
      <c r="L958" s="1"/>
      <c r="M958" s="211" t="s">
        <v>3458</v>
      </c>
    </row>
    <row r="959" spans="1:13" ht="19.5">
      <c r="A959" s="1">
        <v>127</v>
      </c>
      <c r="B959" s="2" t="s">
        <v>2944</v>
      </c>
      <c r="C959" s="1" t="s">
        <v>2947</v>
      </c>
      <c r="D959" s="4">
        <v>242885</v>
      </c>
      <c r="E959" s="258">
        <v>4600</v>
      </c>
      <c r="F959" s="1127" t="s">
        <v>2922</v>
      </c>
      <c r="G959" s="1" t="s">
        <v>45</v>
      </c>
      <c r="H959" s="1"/>
      <c r="I959" s="1"/>
      <c r="J959" s="1"/>
      <c r="K959" s="1"/>
      <c r="L959" s="1"/>
      <c r="M959" s="211" t="s">
        <v>3479</v>
      </c>
    </row>
    <row r="960" spans="1:13" ht="19.5">
      <c r="A960" s="1">
        <v>128</v>
      </c>
      <c r="B960" s="2" t="s">
        <v>1118</v>
      </c>
      <c r="C960" s="1" t="s">
        <v>2948</v>
      </c>
      <c r="D960" s="4">
        <v>242885</v>
      </c>
      <c r="E960" s="258">
        <v>3000</v>
      </c>
      <c r="F960" s="1127" t="s">
        <v>2922</v>
      </c>
      <c r="G960" s="1" t="s">
        <v>45</v>
      </c>
      <c r="H960" s="1"/>
      <c r="I960" s="1"/>
      <c r="J960" s="1"/>
      <c r="K960" s="1"/>
      <c r="L960" s="1"/>
      <c r="M960" s="211" t="s">
        <v>3510</v>
      </c>
    </row>
    <row r="961" spans="1:13" ht="19.5">
      <c r="A961" s="1">
        <v>129</v>
      </c>
      <c r="B961" s="2" t="s">
        <v>1118</v>
      </c>
      <c r="C961" s="1" t="s">
        <v>2949</v>
      </c>
      <c r="D961" s="4">
        <v>242885</v>
      </c>
      <c r="E961" s="258">
        <v>4000</v>
      </c>
      <c r="F961" s="1127" t="s">
        <v>2922</v>
      </c>
      <c r="G961" s="1" t="s">
        <v>45</v>
      </c>
      <c r="H961" s="1"/>
      <c r="I961" s="1"/>
      <c r="J961" s="1"/>
      <c r="K961" s="1"/>
      <c r="L961" s="1"/>
      <c r="M961" s="211" t="s">
        <v>3498</v>
      </c>
    </row>
    <row r="962" spans="1:13" ht="19.5">
      <c r="A962" s="1">
        <v>130</v>
      </c>
      <c r="B962" s="2" t="s">
        <v>1118</v>
      </c>
      <c r="C962" s="1" t="s">
        <v>2950</v>
      </c>
      <c r="D962" s="4">
        <v>242885</v>
      </c>
      <c r="E962" s="258">
        <v>4000</v>
      </c>
      <c r="F962" s="1127" t="s">
        <v>2922</v>
      </c>
      <c r="G962" s="1" t="s">
        <v>45</v>
      </c>
      <c r="H962" s="1"/>
      <c r="I962" s="1"/>
      <c r="J962" s="1"/>
      <c r="K962" s="1"/>
      <c r="L962" s="1"/>
      <c r="M962" s="211" t="s">
        <v>3499</v>
      </c>
    </row>
    <row r="963" spans="1:13" ht="19.5">
      <c r="A963" s="1">
        <v>131</v>
      </c>
      <c r="B963" s="2" t="s">
        <v>2877</v>
      </c>
      <c r="C963" s="1" t="s">
        <v>2878</v>
      </c>
      <c r="D963" s="4">
        <v>242914</v>
      </c>
      <c r="E963" s="258">
        <v>35310</v>
      </c>
      <c r="F963" s="1129" t="s">
        <v>1572</v>
      </c>
      <c r="G963" s="1" t="s">
        <v>45</v>
      </c>
      <c r="H963" s="1"/>
      <c r="I963" s="1"/>
      <c r="J963" s="1"/>
      <c r="K963" s="1"/>
      <c r="L963" s="1"/>
      <c r="M963" s="211" t="s">
        <v>3197</v>
      </c>
    </row>
    <row r="964" spans="1:13" ht="19.5">
      <c r="A964" s="1">
        <v>132</v>
      </c>
      <c r="B964" s="2" t="s">
        <v>2877</v>
      </c>
      <c r="C964" s="1" t="s">
        <v>2879</v>
      </c>
      <c r="D964" s="4">
        <v>242914</v>
      </c>
      <c r="E964" s="258">
        <v>41409</v>
      </c>
      <c r="F964" s="1129" t="s">
        <v>1572</v>
      </c>
      <c r="G964" s="1" t="s">
        <v>45</v>
      </c>
      <c r="H964" s="1"/>
      <c r="I964" s="1"/>
      <c r="J964" s="1"/>
      <c r="K964" s="1"/>
      <c r="L964" s="1"/>
      <c r="M964" s="211" t="s">
        <v>3197</v>
      </c>
    </row>
    <row r="965" spans="1:13" ht="19.5">
      <c r="A965" s="1">
        <v>133</v>
      </c>
      <c r="B965" s="2" t="s">
        <v>2880</v>
      </c>
      <c r="C965" s="1" t="s">
        <v>2881</v>
      </c>
      <c r="D965" s="4">
        <v>242914</v>
      </c>
      <c r="E965" s="258">
        <v>41730</v>
      </c>
      <c r="F965" s="1129" t="s">
        <v>1572</v>
      </c>
      <c r="G965" s="1" t="s">
        <v>45</v>
      </c>
      <c r="H965" s="1"/>
      <c r="I965" s="1"/>
      <c r="J965" s="1"/>
      <c r="K965" s="1"/>
      <c r="L965" s="1"/>
      <c r="M965" s="211" t="s">
        <v>3197</v>
      </c>
    </row>
    <row r="966" spans="1:13" ht="19.5">
      <c r="A966" s="1">
        <v>134</v>
      </c>
      <c r="B966" s="2" t="s">
        <v>2955</v>
      </c>
      <c r="C966" s="1" t="s">
        <v>3279</v>
      </c>
      <c r="D966" s="4">
        <v>24043</v>
      </c>
      <c r="E966" s="258">
        <v>5500</v>
      </c>
      <c r="F966" s="1129" t="s">
        <v>2770</v>
      </c>
      <c r="G966" s="1" t="s">
        <v>45</v>
      </c>
      <c r="H966" s="1"/>
      <c r="I966" s="1"/>
      <c r="J966" s="1"/>
      <c r="K966" s="1"/>
      <c r="L966" s="1"/>
      <c r="M966" s="211" t="s">
        <v>3509</v>
      </c>
    </row>
    <row r="967" spans="1:13" ht="39">
      <c r="A967" s="223">
        <v>135</v>
      </c>
      <c r="B967" s="511" t="s">
        <v>3396</v>
      </c>
      <c r="C967" s="223" t="s">
        <v>3397</v>
      </c>
      <c r="D967" s="270" t="s">
        <v>3398</v>
      </c>
      <c r="E967" s="530">
        <v>18000</v>
      </c>
      <c r="F967" s="1125" t="s">
        <v>2117</v>
      </c>
      <c r="G967" s="223" t="s">
        <v>45</v>
      </c>
      <c r="H967" s="223"/>
      <c r="I967" s="223"/>
      <c r="J967" s="223"/>
      <c r="K967" s="223"/>
      <c r="L967" s="223"/>
      <c r="M967" s="289" t="s">
        <v>3517</v>
      </c>
    </row>
    <row r="968" spans="1:13" s="891" customFormat="1" ht="19.5">
      <c r="A968" s="857">
        <v>139</v>
      </c>
      <c r="B968" s="846" t="s">
        <v>3881</v>
      </c>
      <c r="C968" s="847" t="s">
        <v>3739</v>
      </c>
      <c r="D968" s="866" t="s">
        <v>4004</v>
      </c>
      <c r="E968" s="848">
        <v>27000</v>
      </c>
      <c r="F968" s="1171" t="s">
        <v>3882</v>
      </c>
      <c r="G968" s="857" t="s">
        <v>45</v>
      </c>
      <c r="H968" s="865"/>
      <c r="I968" s="865"/>
      <c r="J968" s="865"/>
      <c r="K968" s="865"/>
      <c r="L968" s="865"/>
      <c r="M968" s="868"/>
    </row>
    <row r="969" spans="1:13" s="891" customFormat="1" ht="85.5">
      <c r="A969" s="857">
        <v>140</v>
      </c>
      <c r="B969" s="831" t="s">
        <v>3884</v>
      </c>
      <c r="C969" s="847" t="s">
        <v>4007</v>
      </c>
      <c r="D969" s="866" t="s">
        <v>4003</v>
      </c>
      <c r="E969" s="1081">
        <v>101650</v>
      </c>
      <c r="F969" s="1180" t="s">
        <v>999</v>
      </c>
      <c r="G969" s="857" t="s">
        <v>45</v>
      </c>
      <c r="H969" s="865"/>
      <c r="I969" s="865"/>
      <c r="J969" s="865"/>
      <c r="K969" s="865"/>
      <c r="L969" s="865"/>
      <c r="M969" s="868"/>
    </row>
    <row r="970" spans="1:13" s="891" customFormat="1" ht="85.5">
      <c r="A970" s="857">
        <v>141</v>
      </c>
      <c r="B970" s="831" t="s">
        <v>3886</v>
      </c>
      <c r="C970" s="847" t="s">
        <v>4008</v>
      </c>
      <c r="D970" s="866" t="s">
        <v>4003</v>
      </c>
      <c r="E970" s="1081">
        <v>101650</v>
      </c>
      <c r="F970" s="1180" t="s">
        <v>999</v>
      </c>
      <c r="G970" s="857" t="s">
        <v>45</v>
      </c>
      <c r="H970" s="865"/>
      <c r="I970" s="865"/>
      <c r="J970" s="865"/>
      <c r="K970" s="865"/>
      <c r="L970" s="865"/>
      <c r="M970" s="868"/>
    </row>
    <row r="971" spans="1:13" s="914" customFormat="1" ht="20.25" thickBot="1">
      <c r="A971" s="909">
        <v>141</v>
      </c>
      <c r="B971" s="908"/>
      <c r="C971" s="909"/>
      <c r="D971" s="920" t="s">
        <v>64</v>
      </c>
      <c r="E971" s="911">
        <f>SUM(E833:E970)</f>
        <v>1116504</v>
      </c>
      <c r="F971" s="909"/>
      <c r="G971" s="909"/>
      <c r="H971" s="909"/>
      <c r="I971" s="909"/>
      <c r="J971" s="909"/>
      <c r="K971" s="909"/>
      <c r="L971" s="909"/>
      <c r="M971" s="913"/>
    </row>
    <row r="972" spans="1:13" ht="20.25" thickTop="1">
      <c r="A972" s="1"/>
      <c r="B972" s="2"/>
      <c r="C972" s="1"/>
      <c r="D972" s="277"/>
      <c r="E972" s="278"/>
      <c r="F972" s="1"/>
      <c r="G972" s="1"/>
      <c r="H972" s="1"/>
      <c r="I972" s="1"/>
      <c r="J972" s="1"/>
      <c r="K972" s="1"/>
      <c r="L972" s="1"/>
      <c r="M972" s="211"/>
    </row>
    <row r="973" spans="1:13" ht="19.5">
      <c r="A973" s="1"/>
      <c r="B973" s="212" t="s">
        <v>610</v>
      </c>
      <c r="C973" s="1"/>
      <c r="D973" s="4"/>
      <c r="E973" s="57"/>
      <c r="F973" s="1"/>
      <c r="G973" s="1"/>
      <c r="H973" s="1"/>
      <c r="I973" s="1"/>
      <c r="J973" s="1"/>
      <c r="K973" s="1"/>
      <c r="L973" s="1"/>
      <c r="M973" s="211"/>
    </row>
    <row r="974" spans="1:13" ht="19.5">
      <c r="A974" s="1">
        <v>1</v>
      </c>
      <c r="B974" s="2" t="s">
        <v>611</v>
      </c>
      <c r="C974" s="1" t="s">
        <v>612</v>
      </c>
      <c r="D974" s="4">
        <v>10622</v>
      </c>
      <c r="E974" s="57">
        <v>500</v>
      </c>
      <c r="F974" s="1127" t="s">
        <v>2433</v>
      </c>
      <c r="G974" s="1" t="s">
        <v>45</v>
      </c>
      <c r="H974" s="1"/>
      <c r="I974" s="1"/>
      <c r="J974" s="1"/>
      <c r="K974" s="1"/>
      <c r="L974" s="1"/>
      <c r="M974" s="211"/>
    </row>
    <row r="975" spans="1:13" ht="19.5">
      <c r="A975" s="1">
        <v>2</v>
      </c>
      <c r="B975" s="3" t="s">
        <v>1453</v>
      </c>
      <c r="C975" s="158" t="s">
        <v>1454</v>
      </c>
      <c r="D975" s="4">
        <v>11210</v>
      </c>
      <c r="E975" s="58">
        <v>5842</v>
      </c>
      <c r="F975" s="1131" t="s">
        <v>1265</v>
      </c>
      <c r="G975" s="1" t="s">
        <v>45</v>
      </c>
      <c r="H975" s="1"/>
      <c r="I975" s="1"/>
      <c r="J975" s="1"/>
      <c r="K975" s="1"/>
      <c r="L975" s="1"/>
      <c r="M975" s="211" t="s">
        <v>3187</v>
      </c>
    </row>
    <row r="976" spans="1:13" ht="19.5">
      <c r="A976" s="1">
        <v>3</v>
      </c>
      <c r="B976" s="2" t="s">
        <v>613</v>
      </c>
      <c r="C976" s="1" t="s">
        <v>614</v>
      </c>
      <c r="D976" s="4">
        <v>14521</v>
      </c>
      <c r="E976" s="57">
        <v>5900</v>
      </c>
      <c r="F976" s="1127" t="s">
        <v>2433</v>
      </c>
      <c r="G976" s="1" t="s">
        <v>45</v>
      </c>
      <c r="H976" s="1"/>
      <c r="I976" s="1"/>
      <c r="J976" s="1"/>
      <c r="K976" s="1"/>
      <c r="L976" s="1"/>
      <c r="M976" s="211"/>
    </row>
    <row r="977" spans="1:13" s="914" customFormat="1" ht="20.25" thickBot="1">
      <c r="A977" s="909">
        <v>3</v>
      </c>
      <c r="B977" s="908"/>
      <c r="C977" s="909"/>
      <c r="D977" s="920" t="s">
        <v>64</v>
      </c>
      <c r="E977" s="911">
        <f>SUM(E974:E976)</f>
        <v>12242</v>
      </c>
      <c r="F977" s="909"/>
      <c r="G977" s="909"/>
      <c r="H977" s="909"/>
      <c r="I977" s="909"/>
      <c r="J977" s="909"/>
      <c r="K977" s="909"/>
      <c r="L977" s="909"/>
      <c r="M977" s="913"/>
    </row>
    <row r="978" spans="1:13" ht="20.25" thickTop="1">
      <c r="A978" s="1"/>
      <c r="B978" s="2"/>
      <c r="C978" s="1"/>
      <c r="D978" s="277"/>
      <c r="E978" s="95"/>
      <c r="F978" s="1"/>
      <c r="G978" s="1"/>
      <c r="H978" s="1"/>
      <c r="I978" s="1"/>
      <c r="J978" s="1"/>
      <c r="K978" s="1"/>
      <c r="L978" s="1"/>
      <c r="M978" s="211"/>
    </row>
    <row r="979" spans="1:13" ht="21.75">
      <c r="A979" s="1"/>
      <c r="B979" s="212" t="s">
        <v>615</v>
      </c>
      <c r="C979" s="1"/>
      <c r="D979" s="279"/>
      <c r="E979" s="280"/>
      <c r="F979" s="1"/>
      <c r="G979" s="1"/>
      <c r="H979" s="1"/>
      <c r="I979" s="1"/>
      <c r="J979" s="1"/>
      <c r="K979" s="1"/>
      <c r="L979" s="1"/>
      <c r="M979" s="211"/>
    </row>
    <row r="980" spans="1:13" ht="19.5">
      <c r="A980" s="1">
        <v>1</v>
      </c>
      <c r="B980" s="259" t="s">
        <v>1683</v>
      </c>
      <c r="C980" s="242" t="s">
        <v>1682</v>
      </c>
      <c r="D980" s="243">
        <v>21512</v>
      </c>
      <c r="E980" s="1083">
        <v>800</v>
      </c>
      <c r="F980" s="939" t="s">
        <v>1649</v>
      </c>
      <c r="G980" s="1" t="s">
        <v>45</v>
      </c>
      <c r="H980" s="1"/>
      <c r="I980" s="1"/>
      <c r="J980" s="1"/>
      <c r="K980" s="1"/>
      <c r="L980" s="1"/>
      <c r="M980" s="211" t="s">
        <v>3205</v>
      </c>
    </row>
    <row r="981" spans="1:13" s="914" customFormat="1" ht="20.25" thickBot="1">
      <c r="A981" s="909">
        <v>1</v>
      </c>
      <c r="B981" s="921"/>
      <c r="C981" s="909"/>
      <c r="D981" s="920" t="s">
        <v>64</v>
      </c>
      <c r="E981" s="911">
        <f>SUM(E980)</f>
        <v>800</v>
      </c>
      <c r="F981" s="909"/>
      <c r="G981" s="909"/>
      <c r="H981" s="909"/>
      <c r="I981" s="909"/>
      <c r="J981" s="909"/>
      <c r="K981" s="909"/>
      <c r="L981" s="909"/>
      <c r="M981" s="913"/>
    </row>
    <row r="982" spans="1:13" ht="20.25" thickTop="1">
      <c r="A982" s="2"/>
      <c r="B982" s="5" t="s">
        <v>1455</v>
      </c>
      <c r="C982" s="158"/>
      <c r="D982" s="281"/>
      <c r="E982" s="58"/>
      <c r="F982" s="58"/>
      <c r="G982" s="58"/>
      <c r="H982" s="58"/>
      <c r="I982" s="58"/>
      <c r="J982" s="58"/>
      <c r="K982" s="58"/>
      <c r="L982" s="58"/>
      <c r="M982" s="211"/>
    </row>
    <row r="983" spans="1:13" ht="19.5">
      <c r="A983" s="1">
        <v>1</v>
      </c>
      <c r="B983" s="3" t="s">
        <v>1456</v>
      </c>
      <c r="C983" s="158" t="s">
        <v>1457</v>
      </c>
      <c r="D983" s="4">
        <v>12181</v>
      </c>
      <c r="E983" s="57">
        <v>2500</v>
      </c>
      <c r="F983" s="1131" t="s">
        <v>1265</v>
      </c>
      <c r="G983" s="57" t="s">
        <v>1458</v>
      </c>
      <c r="H983" s="57"/>
      <c r="I983" s="57"/>
      <c r="J983" s="57"/>
      <c r="K983" s="57"/>
      <c r="L983" s="57"/>
      <c r="M983" s="211" t="s">
        <v>3164</v>
      </c>
    </row>
    <row r="984" spans="1:13" s="914" customFormat="1" ht="20.25" thickBot="1">
      <c r="A984" s="909">
        <v>1</v>
      </c>
      <c r="B984" s="915"/>
      <c r="C984" s="907"/>
      <c r="D984" s="910" t="s">
        <v>64</v>
      </c>
      <c r="E984" s="911">
        <f>SUM(E983)</f>
        <v>2500</v>
      </c>
      <c r="F984" s="922"/>
      <c r="G984" s="922"/>
      <c r="H984" s="922"/>
      <c r="I984" s="922"/>
      <c r="J984" s="922"/>
      <c r="K984" s="922"/>
      <c r="L984" s="922"/>
      <c r="M984" s="913"/>
    </row>
    <row r="985" spans="1:13" ht="20.25" thickTop="1">
      <c r="A985" s="1"/>
      <c r="B985" s="2"/>
      <c r="C985" s="1"/>
      <c r="D985" s="277"/>
      <c r="E985" s="264"/>
      <c r="F985" s="1"/>
      <c r="G985" s="1"/>
      <c r="H985" s="1"/>
      <c r="I985" s="1"/>
      <c r="J985" s="1"/>
      <c r="K985" s="1"/>
      <c r="L985" s="1"/>
      <c r="M985" s="211"/>
    </row>
    <row r="986" spans="1:13" ht="19.5">
      <c r="A986" s="1"/>
      <c r="B986" s="212" t="s">
        <v>1684</v>
      </c>
      <c r="C986" s="1"/>
      <c r="D986" s="1"/>
      <c r="E986" s="57"/>
      <c r="F986" s="1"/>
      <c r="G986" s="1"/>
      <c r="H986" s="1"/>
      <c r="I986" s="1"/>
      <c r="J986" s="1"/>
      <c r="K986" s="1"/>
      <c r="L986" s="1"/>
      <c r="M986" s="211"/>
    </row>
    <row r="987" spans="1:13" s="46" customFormat="1" ht="19.5">
      <c r="A987" s="260">
        <v>1</v>
      </c>
      <c r="B987" s="259" t="s">
        <v>2273</v>
      </c>
      <c r="C987" s="242" t="s">
        <v>2275</v>
      </c>
      <c r="D987" s="243">
        <v>13914</v>
      </c>
      <c r="E987" s="1083">
        <v>8600</v>
      </c>
      <c r="F987" s="939" t="s">
        <v>999</v>
      </c>
      <c r="G987" s="1" t="s">
        <v>45</v>
      </c>
      <c r="H987" s="1"/>
      <c r="I987" s="1"/>
      <c r="J987" s="1"/>
      <c r="K987" s="1"/>
      <c r="L987" s="1"/>
      <c r="M987" s="211"/>
    </row>
    <row r="988" spans="1:13" s="923" customFormat="1" ht="21.75" thickBot="1">
      <c r="A988" s="909">
        <v>1</v>
      </c>
      <c r="B988" s="921"/>
      <c r="C988" s="909"/>
      <c r="D988" s="910" t="s">
        <v>64</v>
      </c>
      <c r="E988" s="911">
        <f>SUM(E987:E987)</f>
        <v>8600</v>
      </c>
      <c r="F988" s="909"/>
      <c r="G988" s="909"/>
      <c r="H988" s="909"/>
      <c r="I988" s="909"/>
      <c r="J988" s="909"/>
      <c r="K988" s="909"/>
      <c r="L988" s="909"/>
      <c r="M988" s="913"/>
    </row>
    <row r="989" spans="1:13" ht="20.25" thickTop="1">
      <c r="A989" s="1"/>
      <c r="B989" s="2"/>
      <c r="C989" s="1"/>
      <c r="D989" s="277"/>
      <c r="E989" s="269"/>
      <c r="F989" s="1"/>
      <c r="G989" s="1"/>
      <c r="H989" s="1"/>
      <c r="I989" s="1"/>
      <c r="J989" s="1"/>
      <c r="K989" s="1"/>
      <c r="L989" s="1"/>
      <c r="M989" s="211"/>
    </row>
    <row r="990" spans="1:13" ht="19.5">
      <c r="A990" s="1"/>
      <c r="B990" s="212" t="s">
        <v>2342</v>
      </c>
      <c r="C990" s="1"/>
      <c r="D990" s="1"/>
      <c r="E990" s="57"/>
      <c r="F990" s="1"/>
      <c r="G990" s="1"/>
      <c r="H990" s="1"/>
      <c r="I990" s="1"/>
      <c r="J990" s="1"/>
      <c r="K990" s="1"/>
      <c r="L990" s="1"/>
      <c r="M990" s="211"/>
    </row>
    <row r="991" spans="1:13" ht="19.5">
      <c r="A991" s="260">
        <v>1</v>
      </c>
      <c r="B991" s="259" t="s">
        <v>2343</v>
      </c>
      <c r="C991" s="242" t="s">
        <v>2344</v>
      </c>
      <c r="D991" s="243">
        <v>12568</v>
      </c>
      <c r="E991" s="57">
        <v>2800</v>
      </c>
      <c r="F991" s="1011" t="s">
        <v>1649</v>
      </c>
      <c r="G991" s="1" t="s">
        <v>45</v>
      </c>
      <c r="H991" s="1"/>
      <c r="I991" s="1"/>
      <c r="J991" s="1"/>
      <c r="K991" s="1"/>
      <c r="L991" s="1"/>
      <c r="M991" s="211"/>
    </row>
    <row r="992" spans="1:13" ht="19.5">
      <c r="A992" s="260">
        <v>2</v>
      </c>
      <c r="B992" s="259" t="s">
        <v>2343</v>
      </c>
      <c r="C992" s="242" t="s">
        <v>2345</v>
      </c>
      <c r="D992" s="243">
        <v>12568</v>
      </c>
      <c r="E992" s="57">
        <v>2800</v>
      </c>
      <c r="F992" s="1011" t="s">
        <v>1649</v>
      </c>
      <c r="G992" s="1" t="s">
        <v>45</v>
      </c>
      <c r="H992" s="1"/>
      <c r="I992" s="1"/>
      <c r="J992" s="1"/>
      <c r="K992" s="1"/>
      <c r="L992" s="1"/>
      <c r="M992" s="211"/>
    </row>
    <row r="993" spans="1:13" ht="19.5">
      <c r="A993" s="260">
        <v>3</v>
      </c>
      <c r="B993" s="259" t="s">
        <v>2343</v>
      </c>
      <c r="C993" s="242" t="s">
        <v>2376</v>
      </c>
      <c r="D993" s="243">
        <v>14765</v>
      </c>
      <c r="E993" s="57">
        <v>4000</v>
      </c>
      <c r="F993" s="1123" t="s">
        <v>2360</v>
      </c>
      <c r="G993" s="1" t="s">
        <v>45</v>
      </c>
      <c r="H993" s="1"/>
      <c r="I993" s="1"/>
      <c r="J993" s="1"/>
      <c r="K993" s="1"/>
      <c r="L993" s="1"/>
      <c r="M993" s="211"/>
    </row>
    <row r="994" spans="1:13" s="914" customFormat="1" ht="20.25" thickBot="1">
      <c r="A994" s="909">
        <v>3</v>
      </c>
      <c r="B994" s="921"/>
      <c r="C994" s="909"/>
      <c r="D994" s="910" t="s">
        <v>64</v>
      </c>
      <c r="E994" s="911">
        <f>SUM(E991:E993)</f>
        <v>9600</v>
      </c>
      <c r="F994" s="909"/>
      <c r="G994" s="909"/>
      <c r="H994" s="909"/>
      <c r="I994" s="909"/>
      <c r="J994" s="909"/>
      <c r="K994" s="909"/>
      <c r="L994" s="909"/>
      <c r="M994" s="913"/>
    </row>
    <row r="995" spans="1:13" ht="20.25" thickTop="1">
      <c r="A995" s="238"/>
      <c r="B995" s="212" t="s">
        <v>695</v>
      </c>
      <c r="C995" s="1"/>
      <c r="D995" s="1"/>
      <c r="E995" s="302"/>
      <c r="F995" s="1"/>
      <c r="G995" s="1"/>
      <c r="H995" s="1"/>
      <c r="I995" s="1"/>
      <c r="J995" s="1"/>
      <c r="K995" s="1"/>
      <c r="L995" s="1"/>
      <c r="M995" s="211"/>
    </row>
    <row r="996" spans="1:13" ht="19.5">
      <c r="A996" s="1">
        <v>1</v>
      </c>
      <c r="B996" s="2" t="s">
        <v>2257</v>
      </c>
      <c r="C996" s="1" t="s">
        <v>2258</v>
      </c>
      <c r="D996" s="4">
        <v>12274</v>
      </c>
      <c r="E996" s="1077">
        <v>18000</v>
      </c>
      <c r="F996" s="939" t="s">
        <v>1649</v>
      </c>
      <c r="G996" s="1" t="s">
        <v>45</v>
      </c>
      <c r="H996" s="1"/>
      <c r="I996" s="1"/>
      <c r="J996" s="1"/>
      <c r="K996" s="1"/>
      <c r="L996" s="1"/>
      <c r="M996" s="211" t="s">
        <v>3216</v>
      </c>
    </row>
    <row r="997" spans="1:13" ht="19.5">
      <c r="A997" s="1">
        <v>2</v>
      </c>
      <c r="B997" s="2" t="s">
        <v>699</v>
      </c>
      <c r="C997" s="1" t="s">
        <v>2375</v>
      </c>
      <c r="D997" s="4">
        <v>12370</v>
      </c>
      <c r="E997" s="187">
        <v>0</v>
      </c>
      <c r="F997" s="1123" t="s">
        <v>2360</v>
      </c>
      <c r="G997" s="1" t="s">
        <v>45</v>
      </c>
      <c r="H997" s="1"/>
      <c r="I997" s="1"/>
      <c r="J997" s="1"/>
      <c r="K997" s="1"/>
      <c r="L997" s="1"/>
      <c r="M997" s="525" t="s">
        <v>3160</v>
      </c>
    </row>
    <row r="998" spans="1:13" ht="19.5">
      <c r="A998" s="1">
        <v>3</v>
      </c>
      <c r="B998" s="2" t="s">
        <v>699</v>
      </c>
      <c r="C998" s="1" t="s">
        <v>2259</v>
      </c>
      <c r="D998" s="4">
        <v>12779</v>
      </c>
      <c r="E998" s="1107">
        <v>35500</v>
      </c>
      <c r="F998" s="1181" t="s">
        <v>1649</v>
      </c>
      <c r="G998" s="1" t="s">
        <v>45</v>
      </c>
      <c r="H998" s="1"/>
      <c r="I998" s="1"/>
      <c r="J998" s="1"/>
      <c r="K998" s="1"/>
      <c r="L998" s="1"/>
      <c r="M998" s="211" t="s">
        <v>3150</v>
      </c>
    </row>
    <row r="999" spans="1:13" ht="19.5">
      <c r="A999" s="1">
        <v>4</v>
      </c>
      <c r="B999" s="2" t="s">
        <v>699</v>
      </c>
      <c r="C999" s="1" t="s">
        <v>2267</v>
      </c>
      <c r="D999" s="4">
        <v>12440</v>
      </c>
      <c r="E999" s="282">
        <v>90000</v>
      </c>
      <c r="F999" s="1126" t="s">
        <v>1649</v>
      </c>
      <c r="G999" s="192" t="s">
        <v>45</v>
      </c>
      <c r="I999" s="1"/>
      <c r="J999" s="1"/>
      <c r="K999" s="1"/>
      <c r="L999" s="1"/>
      <c r="M999" s="525" t="s">
        <v>3151</v>
      </c>
    </row>
    <row r="1000" spans="1:13" ht="19.5">
      <c r="A1000" s="1">
        <v>5</v>
      </c>
      <c r="B1000" s="2" t="s">
        <v>699</v>
      </c>
      <c r="C1000" s="1" t="s">
        <v>2266</v>
      </c>
      <c r="D1000" s="4">
        <v>12898</v>
      </c>
      <c r="E1000" s="282">
        <v>17500</v>
      </c>
      <c r="F1000" s="1126" t="s">
        <v>1649</v>
      </c>
      <c r="G1000" s="1" t="s">
        <v>45</v>
      </c>
      <c r="H1000" s="222"/>
      <c r="I1000" s="1"/>
      <c r="J1000" s="1"/>
      <c r="K1000" s="1"/>
      <c r="L1000" s="1"/>
      <c r="M1000" s="525" t="s">
        <v>3151</v>
      </c>
    </row>
    <row r="1001" spans="1:13" ht="19.5">
      <c r="A1001" s="1">
        <v>6</v>
      </c>
      <c r="B1001" s="2" t="s">
        <v>2257</v>
      </c>
      <c r="C1001" s="1" t="s">
        <v>2261</v>
      </c>
      <c r="D1001" s="4">
        <v>13673</v>
      </c>
      <c r="E1001" s="282">
        <v>32000</v>
      </c>
      <c r="F1001" s="1126" t="s">
        <v>1649</v>
      </c>
      <c r="G1001" s="1" t="s">
        <v>45</v>
      </c>
      <c r="H1001" s="1"/>
      <c r="I1001" s="1"/>
      <c r="J1001" s="1"/>
      <c r="K1001" s="1"/>
      <c r="L1001" s="1"/>
      <c r="M1001" s="211" t="s">
        <v>3152</v>
      </c>
    </row>
    <row r="1002" spans="1:13" ht="19.5">
      <c r="A1002" s="1">
        <v>7</v>
      </c>
      <c r="B1002" s="2" t="s">
        <v>2632</v>
      </c>
      <c r="C1002" s="250" t="s">
        <v>1603</v>
      </c>
      <c r="D1002" s="4">
        <v>14497</v>
      </c>
      <c r="E1002" s="57">
        <v>8000</v>
      </c>
      <c r="F1002" s="1129" t="s">
        <v>1572</v>
      </c>
      <c r="G1002" s="1" t="s">
        <v>45</v>
      </c>
      <c r="H1002" s="1"/>
      <c r="I1002" s="1"/>
      <c r="J1002" s="1"/>
      <c r="K1002" s="1"/>
      <c r="L1002" s="1"/>
      <c r="M1002" s="204" t="s">
        <v>3153</v>
      </c>
    </row>
    <row r="1003" spans="1:13" ht="19.5">
      <c r="A1003" s="1">
        <v>8</v>
      </c>
      <c r="B1003" s="2" t="s">
        <v>699</v>
      </c>
      <c r="C1003" s="1" t="s">
        <v>2268</v>
      </c>
      <c r="D1003" s="4">
        <v>14547</v>
      </c>
      <c r="E1003" s="282">
        <v>32398</v>
      </c>
      <c r="F1003" s="1126" t="s">
        <v>1649</v>
      </c>
      <c r="G1003" s="1" t="s">
        <v>45</v>
      </c>
      <c r="H1003" s="1"/>
      <c r="I1003" s="1"/>
      <c r="J1003" s="1"/>
      <c r="K1003" s="1"/>
      <c r="L1003" s="1"/>
      <c r="M1003" s="214" t="s">
        <v>3154</v>
      </c>
    </row>
    <row r="1004" spans="1:13" ht="19.5">
      <c r="A1004" s="1">
        <v>9</v>
      </c>
      <c r="B1004" s="2" t="s">
        <v>2352</v>
      </c>
      <c r="C1004" s="1" t="s">
        <v>696</v>
      </c>
      <c r="D1004" s="4">
        <v>14771</v>
      </c>
      <c r="E1004" s="57">
        <v>17600</v>
      </c>
      <c r="F1004" s="1129" t="s">
        <v>1572</v>
      </c>
      <c r="G1004" s="1" t="s">
        <v>45</v>
      </c>
      <c r="H1004" s="1"/>
      <c r="I1004" s="1"/>
      <c r="J1004" s="1"/>
      <c r="K1004" s="1"/>
      <c r="L1004" s="1"/>
      <c r="M1004" s="211" t="s">
        <v>3475</v>
      </c>
    </row>
    <row r="1005" spans="1:13" ht="19.5">
      <c r="A1005" s="1">
        <v>10</v>
      </c>
      <c r="B1005" s="284" t="s">
        <v>2348</v>
      </c>
      <c r="C1005" s="285" t="s">
        <v>1602</v>
      </c>
      <c r="D1005" s="286">
        <v>35590</v>
      </c>
      <c r="E1005" s="57">
        <v>17600</v>
      </c>
      <c r="F1005" s="1129" t="s">
        <v>1572</v>
      </c>
      <c r="G1005" s="1" t="s">
        <v>45</v>
      </c>
      <c r="H1005" s="1"/>
      <c r="I1005" s="1"/>
      <c r="J1005" s="1"/>
      <c r="K1005" s="1"/>
      <c r="L1005" s="1"/>
      <c r="M1005" s="211" t="s">
        <v>3200</v>
      </c>
    </row>
    <row r="1006" spans="1:13" ht="19.5">
      <c r="A1006" s="1">
        <v>11</v>
      </c>
      <c r="B1006" s="284" t="s">
        <v>2349</v>
      </c>
      <c r="C1006" s="285" t="s">
        <v>1601</v>
      </c>
      <c r="D1006" s="286">
        <v>35590</v>
      </c>
      <c r="E1006" s="57">
        <v>17600</v>
      </c>
      <c r="F1006" s="1129" t="s">
        <v>1572</v>
      </c>
      <c r="G1006" s="1" t="s">
        <v>45</v>
      </c>
      <c r="H1006" s="1"/>
      <c r="I1006" s="1"/>
      <c r="J1006" s="1"/>
      <c r="K1006" s="1"/>
      <c r="L1006" s="1"/>
      <c r="M1006" s="211" t="s">
        <v>3159</v>
      </c>
    </row>
    <row r="1007" spans="1:13" ht="19.5">
      <c r="A1007" s="1">
        <v>12</v>
      </c>
      <c r="B1007" s="284" t="s">
        <v>2350</v>
      </c>
      <c r="C1007" s="287" t="s">
        <v>1599</v>
      </c>
      <c r="D1007" s="4">
        <v>14771</v>
      </c>
      <c r="E1007" s="57">
        <v>23800</v>
      </c>
      <c r="F1007" s="1129" t="s">
        <v>1572</v>
      </c>
      <c r="G1007" s="1" t="s">
        <v>45</v>
      </c>
      <c r="H1007" s="1"/>
      <c r="I1007" s="1"/>
      <c r="J1007" s="1"/>
      <c r="K1007" s="1"/>
      <c r="L1007" s="1"/>
      <c r="M1007" s="211" t="s">
        <v>3458</v>
      </c>
    </row>
    <row r="1008" spans="1:13" ht="39">
      <c r="A1008" s="1">
        <v>13</v>
      </c>
      <c r="B1008" s="554" t="s">
        <v>2350</v>
      </c>
      <c r="C1008" s="555" t="s">
        <v>1600</v>
      </c>
      <c r="D1008" s="270">
        <v>14771</v>
      </c>
      <c r="E1008" s="1105">
        <v>23800</v>
      </c>
      <c r="F1008" s="1134" t="s">
        <v>1572</v>
      </c>
      <c r="G1008" s="223" t="s">
        <v>45</v>
      </c>
      <c r="H1008" s="223"/>
      <c r="I1008" s="553"/>
      <c r="J1008" s="223"/>
      <c r="K1008" s="223"/>
      <c r="L1008" s="223"/>
      <c r="M1008" s="289" t="s">
        <v>3518</v>
      </c>
    </row>
    <row r="1009" spans="1:13" ht="19.5">
      <c r="A1009" s="1">
        <v>14</v>
      </c>
      <c r="B1009" s="2" t="s">
        <v>697</v>
      </c>
      <c r="C1009" s="1" t="s">
        <v>698</v>
      </c>
      <c r="D1009" s="4">
        <v>14771</v>
      </c>
      <c r="E1009" s="1082">
        <v>23800</v>
      </c>
      <c r="F1009" s="1011" t="s">
        <v>1508</v>
      </c>
      <c r="G1009" s="1" t="s">
        <v>45</v>
      </c>
      <c r="H1009" s="1"/>
      <c r="I1009" s="222"/>
      <c r="J1009" s="1"/>
      <c r="K1009" s="1"/>
      <c r="L1009" s="1"/>
      <c r="M1009" s="211" t="s">
        <v>3511</v>
      </c>
    </row>
    <row r="1010" spans="1:13" ht="19.5">
      <c r="A1010" s="1">
        <v>15</v>
      </c>
      <c r="B1010" s="2" t="s">
        <v>699</v>
      </c>
      <c r="C1010" s="1" t="s">
        <v>700</v>
      </c>
      <c r="D1010" s="4">
        <v>14771</v>
      </c>
      <c r="E1010" s="57">
        <v>32300</v>
      </c>
      <c r="F1010" s="1127" t="s">
        <v>2433</v>
      </c>
      <c r="G1010" s="1" t="s">
        <v>45</v>
      </c>
      <c r="I1010" s="1"/>
      <c r="J1010" s="1"/>
      <c r="K1010" s="1"/>
      <c r="L1010" s="1"/>
      <c r="M1010" s="214" t="s">
        <v>3157</v>
      </c>
    </row>
    <row r="1011" spans="1:13" ht="39">
      <c r="A1011" s="1">
        <v>16</v>
      </c>
      <c r="B1011" s="511" t="s">
        <v>699</v>
      </c>
      <c r="C1011" s="223" t="s">
        <v>701</v>
      </c>
      <c r="D1011" s="270">
        <v>14771</v>
      </c>
      <c r="E1011" s="93">
        <v>35800</v>
      </c>
      <c r="F1011" s="1135" t="s">
        <v>2433</v>
      </c>
      <c r="G1011" s="223" t="s">
        <v>45</v>
      </c>
      <c r="H1011" s="223"/>
      <c r="I1011" s="223"/>
      <c r="J1011" s="223"/>
      <c r="K1011" s="223"/>
      <c r="L1011" s="223"/>
      <c r="M1011" s="289" t="s">
        <v>3519</v>
      </c>
    </row>
    <row r="1012" spans="1:13" ht="19.5">
      <c r="A1012" s="223">
        <v>17</v>
      </c>
      <c r="B1012" s="556" t="s">
        <v>2351</v>
      </c>
      <c r="C1012" s="557" t="s">
        <v>1605</v>
      </c>
      <c r="D1012" s="270">
        <v>14771</v>
      </c>
      <c r="E1012" s="93">
        <v>35800</v>
      </c>
      <c r="F1012" s="1134" t="s">
        <v>1572</v>
      </c>
      <c r="G1012" s="223" t="s">
        <v>45</v>
      </c>
      <c r="H1012" s="223"/>
      <c r="I1012" s="223"/>
      <c r="J1012" s="223"/>
      <c r="K1012" s="223"/>
      <c r="L1012" s="223"/>
      <c r="M1012" s="211" t="s">
        <v>3447</v>
      </c>
    </row>
    <row r="1013" spans="1:13" ht="19.5">
      <c r="A1013" s="1">
        <v>18</v>
      </c>
      <c r="B1013" s="2" t="s">
        <v>699</v>
      </c>
      <c r="C1013" s="1" t="s">
        <v>702</v>
      </c>
      <c r="D1013" s="4">
        <v>14658</v>
      </c>
      <c r="E1013" s="57">
        <v>27000</v>
      </c>
      <c r="F1013" s="1127" t="s">
        <v>2433</v>
      </c>
      <c r="G1013" s="1" t="s">
        <v>45</v>
      </c>
      <c r="H1013" s="1"/>
      <c r="I1013" s="1"/>
      <c r="J1013" s="1"/>
      <c r="K1013" s="1"/>
      <c r="L1013" s="1"/>
      <c r="M1013" s="211" t="s">
        <v>3155</v>
      </c>
    </row>
    <row r="1014" spans="1:13" s="1091" customFormat="1" ht="19.5">
      <c r="A1014" s="1085">
        <v>19</v>
      </c>
      <c r="B1014" s="1086" t="s">
        <v>699</v>
      </c>
      <c r="C1014" s="1087" t="s">
        <v>704</v>
      </c>
      <c r="D1014" s="1088">
        <v>14658</v>
      </c>
      <c r="E1014" s="1089">
        <v>35000</v>
      </c>
      <c r="F1014" s="1127" t="s">
        <v>2433</v>
      </c>
      <c r="G1014" s="1087"/>
      <c r="H1014" s="1087" t="s">
        <v>45</v>
      </c>
      <c r="I1014" s="1087"/>
      <c r="J1014" s="1087"/>
      <c r="K1014" s="1087"/>
      <c r="L1014" s="1087"/>
      <c r="M1014" s="1090" t="s">
        <v>3156</v>
      </c>
    </row>
    <row r="1015" spans="1:13" s="1091" customFormat="1" ht="19.5">
      <c r="A1015" s="1087">
        <v>20</v>
      </c>
      <c r="B1015" s="1086" t="s">
        <v>699</v>
      </c>
      <c r="C1015" s="1087" t="s">
        <v>705</v>
      </c>
      <c r="D1015" s="1088">
        <v>14658</v>
      </c>
      <c r="E1015" s="1089">
        <v>35000</v>
      </c>
      <c r="F1015" s="1127" t="s">
        <v>2433</v>
      </c>
      <c r="G1015" s="1087"/>
      <c r="H1015" s="1087" t="s">
        <v>45</v>
      </c>
      <c r="I1015" s="1087"/>
      <c r="J1015" s="1087"/>
      <c r="K1015" s="1087"/>
      <c r="L1015" s="1087"/>
      <c r="M1015" s="1090" t="s">
        <v>3156</v>
      </c>
    </row>
    <row r="1016" spans="1:13" s="1091" customFormat="1" ht="19.5">
      <c r="A1016" s="1085">
        <v>21</v>
      </c>
      <c r="B1016" s="1086" t="s">
        <v>699</v>
      </c>
      <c r="C1016" s="1087" t="s">
        <v>706</v>
      </c>
      <c r="D1016" s="1088">
        <v>14658</v>
      </c>
      <c r="E1016" s="1089">
        <v>35000</v>
      </c>
      <c r="F1016" s="1127" t="s">
        <v>2433</v>
      </c>
      <c r="G1016" s="1087"/>
      <c r="H1016" s="1087" t="s">
        <v>45</v>
      </c>
      <c r="I1016" s="1087"/>
      <c r="J1016" s="1087"/>
      <c r="K1016" s="1087"/>
      <c r="L1016" s="1087"/>
      <c r="M1016" s="1090" t="s">
        <v>3156</v>
      </c>
    </row>
    <row r="1017" spans="1:13" s="1091" customFormat="1" ht="19.5">
      <c r="A1017" s="1087">
        <v>22</v>
      </c>
      <c r="B1017" s="1086" t="s">
        <v>699</v>
      </c>
      <c r="C1017" s="1087" t="s">
        <v>707</v>
      </c>
      <c r="D1017" s="1088">
        <v>14658</v>
      </c>
      <c r="E1017" s="1089">
        <v>35000</v>
      </c>
      <c r="F1017" s="1127" t="s">
        <v>2433</v>
      </c>
      <c r="G1017" s="1087"/>
      <c r="H1017" s="1087" t="s">
        <v>45</v>
      </c>
      <c r="I1017" s="1087"/>
      <c r="J1017" s="1087"/>
      <c r="K1017" s="1087"/>
      <c r="L1017" s="1087"/>
      <c r="M1017" s="1090" t="s">
        <v>3156</v>
      </c>
    </row>
    <row r="1018" spans="1:13" ht="19.5">
      <c r="A1018" s="223">
        <v>23</v>
      </c>
      <c r="B1018" s="2" t="s">
        <v>699</v>
      </c>
      <c r="C1018" s="1" t="s">
        <v>708</v>
      </c>
      <c r="D1018" s="4">
        <v>14658</v>
      </c>
      <c r="E1018" s="57">
        <v>35000</v>
      </c>
      <c r="F1018" s="1127" t="s">
        <v>2433</v>
      </c>
      <c r="G1018" s="1" t="s">
        <v>45</v>
      </c>
      <c r="H1018" s="1"/>
      <c r="I1018" s="1"/>
      <c r="J1018" s="1"/>
      <c r="K1018" s="1"/>
      <c r="L1018" s="1"/>
      <c r="M1018" s="211" t="s">
        <v>3156</v>
      </c>
    </row>
    <row r="1019" spans="1:13" ht="19.5">
      <c r="A1019" s="1">
        <v>24</v>
      </c>
      <c r="B1019" s="2" t="s">
        <v>699</v>
      </c>
      <c r="C1019" s="1" t="s">
        <v>709</v>
      </c>
      <c r="D1019" s="4">
        <v>14658</v>
      </c>
      <c r="E1019" s="57">
        <v>35000</v>
      </c>
      <c r="F1019" s="1127" t="s">
        <v>2433</v>
      </c>
      <c r="G1019" s="1" t="s">
        <v>45</v>
      </c>
      <c r="H1019" s="1"/>
      <c r="I1019" s="1"/>
      <c r="J1019" s="1"/>
      <c r="K1019" s="1"/>
      <c r="L1019" s="1"/>
      <c r="M1019" s="211" t="s">
        <v>3156</v>
      </c>
    </row>
    <row r="1020" spans="1:13" ht="39">
      <c r="A1020" s="223">
        <v>25</v>
      </c>
      <c r="B1020" s="511" t="s">
        <v>699</v>
      </c>
      <c r="C1020" s="223" t="s">
        <v>710</v>
      </c>
      <c r="D1020" s="270">
        <v>14658</v>
      </c>
      <c r="E1020" s="93">
        <v>35000</v>
      </c>
      <c r="F1020" s="1135" t="s">
        <v>2433</v>
      </c>
      <c r="G1020" s="223" t="s">
        <v>45</v>
      </c>
      <c r="H1020" s="223"/>
      <c r="I1020" s="223"/>
      <c r="J1020" s="223"/>
      <c r="K1020" s="223"/>
      <c r="L1020" s="223"/>
      <c r="M1020" s="289" t="s">
        <v>3519</v>
      </c>
    </row>
    <row r="1021" spans="1:13" ht="19.5">
      <c r="A1021" s="1">
        <v>26</v>
      </c>
      <c r="B1021" s="2" t="s">
        <v>699</v>
      </c>
      <c r="C1021" s="1" t="s">
        <v>711</v>
      </c>
      <c r="D1021" s="4">
        <v>15486</v>
      </c>
      <c r="E1021" s="57">
        <v>60000</v>
      </c>
      <c r="F1021" s="1127" t="s">
        <v>2433</v>
      </c>
      <c r="G1021" s="1" t="s">
        <v>45</v>
      </c>
      <c r="H1021" s="1"/>
      <c r="I1021" s="1"/>
      <c r="J1021" s="1"/>
      <c r="K1021" s="1"/>
      <c r="L1021" s="1"/>
      <c r="M1021" s="211" t="s">
        <v>3145</v>
      </c>
    </row>
    <row r="1022" spans="1:13" ht="19.5">
      <c r="A1022" s="1">
        <v>27</v>
      </c>
      <c r="B1022" s="2" t="s">
        <v>699</v>
      </c>
      <c r="C1022" s="1" t="s">
        <v>712</v>
      </c>
      <c r="D1022" s="4">
        <v>15486</v>
      </c>
      <c r="E1022" s="57">
        <v>60000</v>
      </c>
      <c r="F1022" s="1127" t="s">
        <v>2433</v>
      </c>
      <c r="G1022" s="1" t="s">
        <v>45</v>
      </c>
      <c r="H1022" s="1"/>
      <c r="I1022" s="1"/>
      <c r="J1022" s="1"/>
      <c r="K1022" s="1"/>
      <c r="L1022" s="1"/>
      <c r="M1022" s="211" t="s">
        <v>3145</v>
      </c>
    </row>
    <row r="1023" spans="1:13" ht="19.5">
      <c r="A1023" s="1">
        <v>28</v>
      </c>
      <c r="B1023" s="2" t="s">
        <v>699</v>
      </c>
      <c r="C1023" s="1" t="s">
        <v>713</v>
      </c>
      <c r="D1023" s="4">
        <v>16136</v>
      </c>
      <c r="E1023" s="57">
        <v>51500</v>
      </c>
      <c r="F1023" s="1127" t="s">
        <v>2433</v>
      </c>
      <c r="G1023" s="1" t="s">
        <v>45</v>
      </c>
      <c r="H1023" s="1"/>
      <c r="I1023" s="1"/>
      <c r="J1023" s="1"/>
      <c r="K1023" s="1"/>
      <c r="L1023" s="1"/>
      <c r="M1023" s="525" t="s">
        <v>3160</v>
      </c>
    </row>
    <row r="1024" spans="1:13" ht="19.5">
      <c r="A1024" s="1">
        <v>29</v>
      </c>
      <c r="B1024" s="2" t="s">
        <v>699</v>
      </c>
      <c r="C1024" s="1" t="s">
        <v>2264</v>
      </c>
      <c r="D1024" s="4">
        <v>16511</v>
      </c>
      <c r="E1024" s="1083">
        <v>31500</v>
      </c>
      <c r="F1024" s="939" t="s">
        <v>1649</v>
      </c>
      <c r="G1024" s="1" t="s">
        <v>45</v>
      </c>
      <c r="H1024" s="1"/>
      <c r="I1024" s="1"/>
      <c r="J1024" s="1"/>
      <c r="K1024" s="1"/>
      <c r="L1024" s="1"/>
      <c r="M1024" s="211" t="s">
        <v>3150</v>
      </c>
    </row>
    <row r="1025" spans="1:13" ht="19.5">
      <c r="A1025" s="1">
        <v>30</v>
      </c>
      <c r="B1025" s="2" t="s">
        <v>699</v>
      </c>
      <c r="C1025" s="1" t="s">
        <v>2272</v>
      </c>
      <c r="D1025" s="4">
        <v>16888</v>
      </c>
      <c r="E1025" s="57">
        <v>15000</v>
      </c>
      <c r="F1025" s="1011" t="s">
        <v>1649</v>
      </c>
      <c r="G1025" s="1" t="s">
        <v>45</v>
      </c>
      <c r="H1025" s="1"/>
      <c r="I1025" s="1"/>
      <c r="J1025" s="1"/>
      <c r="K1025" s="1"/>
      <c r="L1025" s="1"/>
      <c r="M1025" s="211" t="s">
        <v>3163</v>
      </c>
    </row>
    <row r="1026" spans="1:13" ht="19.5">
      <c r="A1026" s="1">
        <v>31</v>
      </c>
      <c r="B1026" s="288" t="s">
        <v>3161</v>
      </c>
      <c r="C1026" s="285" t="s">
        <v>1604</v>
      </c>
      <c r="D1026" s="4">
        <v>18013</v>
      </c>
      <c r="E1026" s="57">
        <v>43000</v>
      </c>
      <c r="F1026" s="1129" t="s">
        <v>1572</v>
      </c>
      <c r="G1026" s="1" t="s">
        <v>45</v>
      </c>
      <c r="H1026" s="1"/>
      <c r="I1026" s="1"/>
      <c r="J1026" s="1"/>
      <c r="K1026" s="1"/>
      <c r="L1026" s="1"/>
      <c r="M1026" s="211" t="s">
        <v>3162</v>
      </c>
    </row>
    <row r="1027" spans="1:13" ht="18.75" customHeight="1">
      <c r="A1027" s="1">
        <v>32</v>
      </c>
      <c r="B1027" s="198" t="s">
        <v>1459</v>
      </c>
      <c r="C1027" s="199" t="s">
        <v>1460</v>
      </c>
      <c r="D1027" s="4">
        <v>17392</v>
      </c>
      <c r="E1027" s="65">
        <v>267500</v>
      </c>
      <c r="F1027" s="1174" t="s">
        <v>1265</v>
      </c>
      <c r="G1027" s="192" t="s">
        <v>45</v>
      </c>
      <c r="H1027" s="1"/>
      <c r="I1027" s="1"/>
      <c r="J1027" s="1"/>
      <c r="K1027" s="1"/>
      <c r="L1027" s="1"/>
      <c r="M1027" s="211" t="s">
        <v>3164</v>
      </c>
    </row>
    <row r="1028" spans="1:13" ht="19.5">
      <c r="A1028" s="1">
        <v>33</v>
      </c>
      <c r="B1028" s="198" t="s">
        <v>1459</v>
      </c>
      <c r="C1028" s="199" t="s">
        <v>1461</v>
      </c>
      <c r="D1028" s="4">
        <v>17392</v>
      </c>
      <c r="E1028" s="65">
        <v>267500</v>
      </c>
      <c r="F1028" s="1174" t="s">
        <v>1265</v>
      </c>
      <c r="G1028" s="192" t="s">
        <v>45</v>
      </c>
      <c r="H1028" s="1"/>
      <c r="I1028" s="1"/>
      <c r="J1028" s="1"/>
      <c r="K1028" s="1"/>
      <c r="L1028" s="1"/>
      <c r="M1028" s="211" t="s">
        <v>3164</v>
      </c>
    </row>
    <row r="1029" spans="1:13" ht="19.5">
      <c r="A1029" s="1">
        <v>34</v>
      </c>
      <c r="B1029" s="2" t="s">
        <v>699</v>
      </c>
      <c r="C1029" s="1" t="s">
        <v>2271</v>
      </c>
      <c r="D1029" s="4">
        <v>17411</v>
      </c>
      <c r="E1029" s="57">
        <v>14650</v>
      </c>
      <c r="F1029" s="1011" t="s">
        <v>1649</v>
      </c>
      <c r="G1029" s="1" t="s">
        <v>45</v>
      </c>
      <c r="H1029" s="1"/>
      <c r="I1029" s="1"/>
      <c r="J1029" s="1"/>
      <c r="K1029" s="1"/>
      <c r="L1029" s="1"/>
      <c r="M1029" s="211" t="s">
        <v>3165</v>
      </c>
    </row>
    <row r="1030" spans="1:13" ht="19.5">
      <c r="A1030" s="1">
        <v>35</v>
      </c>
      <c r="B1030" s="2" t="s">
        <v>699</v>
      </c>
      <c r="C1030" s="1" t="s">
        <v>2269</v>
      </c>
      <c r="D1030" s="4">
        <v>17452</v>
      </c>
      <c r="E1030" s="57">
        <v>25000</v>
      </c>
      <c r="F1030" s="1011" t="s">
        <v>1649</v>
      </c>
      <c r="G1030" s="1" t="s">
        <v>45</v>
      </c>
      <c r="H1030" s="1"/>
      <c r="I1030" s="1"/>
      <c r="J1030" s="1"/>
      <c r="K1030" s="1"/>
      <c r="L1030" s="1"/>
      <c r="M1030" s="211" t="s">
        <v>3166</v>
      </c>
    </row>
    <row r="1031" spans="1:13" ht="19.5">
      <c r="A1031" s="1">
        <v>36</v>
      </c>
      <c r="B1031" s="2" t="s">
        <v>699</v>
      </c>
      <c r="C1031" s="1" t="s">
        <v>2270</v>
      </c>
      <c r="D1031" s="4">
        <v>17452</v>
      </c>
      <c r="E1031" s="57">
        <v>25000</v>
      </c>
      <c r="F1031" s="1011" t="s">
        <v>1649</v>
      </c>
      <c r="G1031" s="1" t="s">
        <v>45</v>
      </c>
      <c r="H1031" s="44"/>
      <c r="I1031" s="1"/>
      <c r="J1031" s="1"/>
      <c r="K1031" s="1"/>
      <c r="L1031" s="1"/>
      <c r="M1031" s="214"/>
    </row>
    <row r="1032" spans="1:13" ht="19.5">
      <c r="A1032" s="1">
        <v>37</v>
      </c>
      <c r="B1032" s="2" t="s">
        <v>699</v>
      </c>
      <c r="C1032" s="1" t="s">
        <v>714</v>
      </c>
      <c r="D1032" s="4">
        <v>17838</v>
      </c>
      <c r="E1032" s="57" t="s">
        <v>1582</v>
      </c>
      <c r="F1032" s="1127" t="s">
        <v>2433</v>
      </c>
      <c r="G1032" s="1" t="s">
        <v>45</v>
      </c>
      <c r="H1032" s="1"/>
      <c r="I1032" s="1"/>
      <c r="J1032" s="1"/>
      <c r="K1032" s="1"/>
      <c r="L1032" s="1"/>
      <c r="M1032" s="525" t="s">
        <v>3160</v>
      </c>
    </row>
    <row r="1033" spans="1:13" ht="19.5">
      <c r="A1033" s="1">
        <v>38</v>
      </c>
      <c r="B1033" s="2" t="s">
        <v>699</v>
      </c>
      <c r="C1033" s="1" t="s">
        <v>715</v>
      </c>
      <c r="D1033" s="4">
        <v>17838</v>
      </c>
      <c r="E1033" s="57" t="s">
        <v>1582</v>
      </c>
      <c r="F1033" s="1127" t="s">
        <v>2433</v>
      </c>
      <c r="G1033" s="1" t="s">
        <v>45</v>
      </c>
      <c r="H1033" s="1"/>
      <c r="I1033" s="1"/>
      <c r="J1033" s="1"/>
      <c r="K1033" s="1"/>
      <c r="L1033" s="1"/>
      <c r="M1033" s="525" t="s">
        <v>3160</v>
      </c>
    </row>
    <row r="1034" spans="1:13" ht="39">
      <c r="A1034" s="1">
        <v>39</v>
      </c>
      <c r="B1034" s="511" t="s">
        <v>2357</v>
      </c>
      <c r="C1034" s="223" t="s">
        <v>716</v>
      </c>
      <c r="D1034" s="270">
        <v>18034</v>
      </c>
      <c r="E1034" s="1105">
        <v>32500</v>
      </c>
      <c r="F1034" s="1179" t="s">
        <v>1649</v>
      </c>
      <c r="G1034" s="223" t="s">
        <v>45</v>
      </c>
      <c r="H1034" s="223"/>
      <c r="I1034" s="223"/>
      <c r="J1034" s="223"/>
      <c r="K1034" s="223"/>
      <c r="L1034" s="223"/>
      <c r="M1034" s="289" t="s">
        <v>3520</v>
      </c>
    </row>
    <row r="1035" spans="1:13" ht="19.5">
      <c r="A1035" s="223">
        <v>40</v>
      </c>
      <c r="B1035" s="511" t="s">
        <v>699</v>
      </c>
      <c r="C1035" s="223" t="s">
        <v>2265</v>
      </c>
      <c r="D1035" s="270">
        <v>18203</v>
      </c>
      <c r="E1035" s="93">
        <v>28500</v>
      </c>
      <c r="F1035" s="1125" t="s">
        <v>1649</v>
      </c>
      <c r="G1035" s="223" t="s">
        <v>45</v>
      </c>
      <c r="H1035" s="531"/>
      <c r="I1035" s="223"/>
      <c r="J1035" s="223"/>
      <c r="K1035" s="223"/>
      <c r="L1035" s="223"/>
      <c r="M1035" s="214"/>
    </row>
    <row r="1036" spans="1:13" ht="39">
      <c r="A1036" s="223">
        <v>41</v>
      </c>
      <c r="B1036" s="271" t="s">
        <v>1463</v>
      </c>
      <c r="C1036" s="223" t="s">
        <v>1462</v>
      </c>
      <c r="D1036" s="270">
        <v>18805</v>
      </c>
      <c r="E1036" s="92">
        <v>31000</v>
      </c>
      <c r="F1036" s="93" t="s">
        <v>1265</v>
      </c>
      <c r="G1036" s="223" t="s">
        <v>45</v>
      </c>
      <c r="H1036" s="223"/>
      <c r="I1036" s="223"/>
      <c r="J1036" s="223"/>
      <c r="K1036" s="223"/>
      <c r="L1036" s="223"/>
      <c r="M1036" s="211" t="s">
        <v>3167</v>
      </c>
    </row>
    <row r="1037" spans="1:13" ht="19.5">
      <c r="A1037" s="1">
        <v>42</v>
      </c>
      <c r="B1037" s="2" t="s">
        <v>2356</v>
      </c>
      <c r="C1037" s="1" t="s">
        <v>717</v>
      </c>
      <c r="D1037" s="4">
        <v>18894</v>
      </c>
      <c r="E1037" s="1083">
        <v>34500</v>
      </c>
      <c r="F1037" s="939" t="s">
        <v>999</v>
      </c>
      <c r="G1037" s="1" t="s">
        <v>45</v>
      </c>
      <c r="H1037" s="1"/>
      <c r="I1037" s="1"/>
      <c r="J1037" s="1"/>
      <c r="K1037" s="1"/>
      <c r="L1037" s="1"/>
      <c r="M1037" s="211" t="s">
        <v>3168</v>
      </c>
    </row>
    <row r="1038" spans="1:13" ht="19.5">
      <c r="A1038" s="1">
        <v>43</v>
      </c>
      <c r="B1038" s="2" t="s">
        <v>699</v>
      </c>
      <c r="C1038" s="1" t="s">
        <v>718</v>
      </c>
      <c r="D1038" s="4">
        <v>18851</v>
      </c>
      <c r="E1038" s="57">
        <v>42000</v>
      </c>
      <c r="F1038" s="1127" t="s">
        <v>2433</v>
      </c>
      <c r="G1038" s="1" t="s">
        <v>45</v>
      </c>
      <c r="H1038" s="1"/>
      <c r="I1038" s="1"/>
      <c r="J1038" s="1"/>
      <c r="K1038" s="1"/>
      <c r="L1038" s="1"/>
      <c r="M1038" s="211" t="s">
        <v>3148</v>
      </c>
    </row>
    <row r="1039" spans="1:13" ht="19.5">
      <c r="A1039" s="1">
        <v>44</v>
      </c>
      <c r="B1039" s="2" t="s">
        <v>699</v>
      </c>
      <c r="C1039" s="1" t="s">
        <v>719</v>
      </c>
      <c r="D1039" s="4">
        <v>18851</v>
      </c>
      <c r="E1039" s="57">
        <v>42000</v>
      </c>
      <c r="F1039" s="1127" t="s">
        <v>2433</v>
      </c>
      <c r="G1039" s="1" t="s">
        <v>45</v>
      </c>
      <c r="H1039" s="1"/>
      <c r="I1039" s="1"/>
      <c r="J1039" s="1"/>
      <c r="K1039" s="1"/>
      <c r="L1039" s="1"/>
      <c r="M1039" s="211" t="s">
        <v>3148</v>
      </c>
    </row>
    <row r="1040" spans="1:13" ht="39">
      <c r="A1040" s="1">
        <v>45</v>
      </c>
      <c r="B1040" s="289" t="s">
        <v>1162</v>
      </c>
      <c r="C1040" s="223" t="s">
        <v>1163</v>
      </c>
      <c r="D1040" s="270">
        <v>19041</v>
      </c>
      <c r="E1040" s="1080">
        <v>67000</v>
      </c>
      <c r="F1040" s="1179" t="s">
        <v>999</v>
      </c>
      <c r="G1040" s="223" t="s">
        <v>45</v>
      </c>
      <c r="H1040" s="223"/>
      <c r="I1040" s="223"/>
      <c r="J1040" s="223"/>
      <c r="K1040" s="223"/>
      <c r="L1040" s="223"/>
      <c r="M1040" s="211" t="s">
        <v>3168</v>
      </c>
    </row>
    <row r="1041" spans="1:13" ht="39">
      <c r="A1041" s="223">
        <v>46</v>
      </c>
      <c r="B1041" s="289" t="s">
        <v>1162</v>
      </c>
      <c r="C1041" s="223" t="s">
        <v>1164</v>
      </c>
      <c r="D1041" s="270">
        <v>19041</v>
      </c>
      <c r="E1041" s="1080">
        <v>67000</v>
      </c>
      <c r="F1041" s="1179" t="s">
        <v>999</v>
      </c>
      <c r="G1041" s="223" t="s">
        <v>45</v>
      </c>
      <c r="H1041" s="223"/>
      <c r="I1041" s="223"/>
      <c r="J1041" s="223"/>
      <c r="K1041" s="223"/>
      <c r="L1041" s="223"/>
      <c r="M1041" s="211" t="s">
        <v>3168</v>
      </c>
    </row>
    <row r="1042" spans="1:13" ht="39">
      <c r="A1042" s="223">
        <v>47</v>
      </c>
      <c r="B1042" s="289" t="s">
        <v>1162</v>
      </c>
      <c r="C1042" s="223" t="s">
        <v>1165</v>
      </c>
      <c r="D1042" s="270">
        <v>19041</v>
      </c>
      <c r="E1042" s="1080">
        <v>67000</v>
      </c>
      <c r="F1042" s="1179" t="s">
        <v>999</v>
      </c>
      <c r="G1042" s="223" t="s">
        <v>45</v>
      </c>
      <c r="H1042" s="223"/>
      <c r="I1042" s="223"/>
      <c r="J1042" s="223"/>
      <c r="K1042" s="223"/>
      <c r="L1042" s="223"/>
      <c r="M1042" s="211" t="s">
        <v>3168</v>
      </c>
    </row>
    <row r="1043" spans="1:13" ht="39">
      <c r="A1043" s="223">
        <v>48</v>
      </c>
      <c r="B1043" s="289" t="s">
        <v>1162</v>
      </c>
      <c r="C1043" s="223" t="s">
        <v>1166</v>
      </c>
      <c r="D1043" s="270">
        <v>19041</v>
      </c>
      <c r="E1043" s="1080">
        <v>67000</v>
      </c>
      <c r="F1043" s="1179" t="s">
        <v>999</v>
      </c>
      <c r="G1043" s="223" t="s">
        <v>45</v>
      </c>
      <c r="H1043" s="223"/>
      <c r="I1043" s="223"/>
      <c r="J1043" s="223"/>
      <c r="K1043" s="223"/>
      <c r="L1043" s="223"/>
      <c r="M1043" s="211" t="s">
        <v>3168</v>
      </c>
    </row>
    <row r="1044" spans="1:13" ht="19.5">
      <c r="A1044" s="1">
        <v>49</v>
      </c>
      <c r="B1044" s="2" t="s">
        <v>699</v>
      </c>
      <c r="C1044" s="1" t="s">
        <v>720</v>
      </c>
      <c r="D1044" s="4">
        <v>19428</v>
      </c>
      <c r="E1044" s="57">
        <v>70000</v>
      </c>
      <c r="F1044" s="1127" t="s">
        <v>2433</v>
      </c>
      <c r="G1044" s="1" t="s">
        <v>45</v>
      </c>
      <c r="H1044" s="1"/>
      <c r="I1044" s="1"/>
      <c r="J1044" s="1"/>
      <c r="K1044" s="1"/>
      <c r="L1044" s="1"/>
      <c r="M1044" s="211" t="s">
        <v>3169</v>
      </c>
    </row>
    <row r="1045" spans="1:13" ht="19.5">
      <c r="A1045" s="1">
        <v>50</v>
      </c>
      <c r="B1045" s="2" t="s">
        <v>699</v>
      </c>
      <c r="C1045" s="1" t="s">
        <v>721</v>
      </c>
      <c r="D1045" s="4">
        <v>19428</v>
      </c>
      <c r="E1045" s="57">
        <v>70000</v>
      </c>
      <c r="F1045" s="1127" t="s">
        <v>2433</v>
      </c>
      <c r="G1045" s="1" t="s">
        <v>45</v>
      </c>
      <c r="H1045" s="1"/>
      <c r="I1045" s="1"/>
      <c r="J1045" s="1"/>
      <c r="K1045" s="1"/>
      <c r="L1045" s="1"/>
      <c r="M1045" s="211" t="s">
        <v>3169</v>
      </c>
    </row>
    <row r="1046" spans="1:13" ht="19.5">
      <c r="A1046" s="1">
        <v>51</v>
      </c>
      <c r="B1046" s="290" t="s">
        <v>1465</v>
      </c>
      <c r="C1046" s="223" t="s">
        <v>1464</v>
      </c>
      <c r="D1046" s="4">
        <v>19625</v>
      </c>
      <c r="E1046" s="92">
        <v>38000</v>
      </c>
      <c r="F1046" s="1182" t="s">
        <v>1265</v>
      </c>
      <c r="G1046" s="163" t="s">
        <v>45</v>
      </c>
      <c r="H1046" s="1"/>
      <c r="I1046" s="1"/>
      <c r="J1046" s="1"/>
      <c r="K1046" s="1"/>
      <c r="L1046" s="1"/>
      <c r="M1046" s="211" t="s">
        <v>3170</v>
      </c>
    </row>
    <row r="1047" spans="1:13" ht="19.5">
      <c r="A1047" s="1">
        <v>52</v>
      </c>
      <c r="B1047" s="2" t="s">
        <v>699</v>
      </c>
      <c r="C1047" s="1" t="s">
        <v>722</v>
      </c>
      <c r="D1047" s="4">
        <v>19913</v>
      </c>
      <c r="E1047" s="57">
        <v>37000</v>
      </c>
      <c r="F1047" s="1132" t="s">
        <v>1633</v>
      </c>
      <c r="G1047" s="1" t="s">
        <v>45</v>
      </c>
      <c r="H1047" s="1"/>
      <c r="I1047" s="1"/>
      <c r="J1047" s="1"/>
      <c r="K1047" s="1"/>
      <c r="L1047" s="1"/>
      <c r="M1047" s="211" t="s">
        <v>3460</v>
      </c>
    </row>
    <row r="1048" spans="1:13" ht="19.5">
      <c r="A1048" s="1">
        <v>53</v>
      </c>
      <c r="B1048" s="2" t="s">
        <v>699</v>
      </c>
      <c r="C1048" s="1" t="s">
        <v>723</v>
      </c>
      <c r="D1048" s="4">
        <v>20024</v>
      </c>
      <c r="E1048" s="57">
        <v>33000</v>
      </c>
      <c r="F1048" s="1132" t="s">
        <v>1633</v>
      </c>
      <c r="G1048" s="1" t="s">
        <v>45</v>
      </c>
      <c r="H1048" s="1"/>
      <c r="I1048" s="1"/>
      <c r="J1048" s="1"/>
      <c r="K1048" s="1"/>
      <c r="L1048" s="1"/>
      <c r="M1048" s="211" t="s">
        <v>3460</v>
      </c>
    </row>
    <row r="1049" spans="1:13" ht="19.5">
      <c r="A1049" s="1">
        <v>54</v>
      </c>
      <c r="B1049" s="2" t="s">
        <v>699</v>
      </c>
      <c r="C1049" s="1" t="s">
        <v>724</v>
      </c>
      <c r="D1049" s="4">
        <v>20387</v>
      </c>
      <c r="E1049" s="57">
        <v>31000</v>
      </c>
      <c r="F1049" s="1127" t="s">
        <v>2433</v>
      </c>
      <c r="G1049" s="1" t="s">
        <v>45</v>
      </c>
      <c r="H1049" s="1"/>
      <c r="I1049" s="1"/>
      <c r="J1049" s="1"/>
      <c r="K1049" s="1"/>
      <c r="L1049" s="1"/>
      <c r="M1049" s="211" t="s">
        <v>3171</v>
      </c>
    </row>
    <row r="1050" spans="1:13" ht="19.5">
      <c r="A1050" s="1">
        <v>55</v>
      </c>
      <c r="B1050" s="2" t="s">
        <v>699</v>
      </c>
      <c r="C1050" s="1" t="s">
        <v>725</v>
      </c>
      <c r="D1050" s="4">
        <v>20576</v>
      </c>
      <c r="E1050" s="1083">
        <v>43500</v>
      </c>
      <c r="F1050" s="939" t="s">
        <v>2117</v>
      </c>
      <c r="G1050" s="1" t="s">
        <v>45</v>
      </c>
      <c r="H1050" s="1"/>
      <c r="I1050" s="1"/>
      <c r="J1050" s="1"/>
      <c r="K1050" s="1"/>
      <c r="L1050" s="1"/>
      <c r="M1050" s="211" t="s">
        <v>3521</v>
      </c>
    </row>
    <row r="1051" spans="1:13" ht="19.5">
      <c r="A1051" s="1">
        <v>56</v>
      </c>
      <c r="B1051" s="2" t="s">
        <v>699</v>
      </c>
      <c r="C1051" s="1" t="s">
        <v>726</v>
      </c>
      <c r="D1051" s="4">
        <v>20576</v>
      </c>
      <c r="E1051" s="57">
        <v>43500</v>
      </c>
      <c r="F1051" s="1127" t="s">
        <v>2433</v>
      </c>
      <c r="G1051" s="1" t="s">
        <v>45</v>
      </c>
      <c r="H1051" s="1"/>
      <c r="I1051" s="1"/>
      <c r="J1051" s="1"/>
      <c r="K1051" s="1"/>
      <c r="L1051" s="1"/>
      <c r="M1051" s="211" t="s">
        <v>3202</v>
      </c>
    </row>
    <row r="1052" spans="1:13" ht="19.5">
      <c r="A1052" s="1">
        <v>57</v>
      </c>
      <c r="B1052" s="259" t="s">
        <v>1687</v>
      </c>
      <c r="C1052" s="242" t="s">
        <v>1688</v>
      </c>
      <c r="D1052" s="243">
        <v>21579</v>
      </c>
      <c r="E1052" s="1082">
        <v>5000</v>
      </c>
      <c r="F1052" s="1011" t="s">
        <v>1649</v>
      </c>
      <c r="G1052" s="1" t="s">
        <v>45</v>
      </c>
      <c r="H1052" s="1"/>
      <c r="I1052" s="1"/>
      <c r="J1052" s="1"/>
      <c r="K1052" s="1"/>
      <c r="L1052" s="1"/>
      <c r="M1052" s="211" t="s">
        <v>3166</v>
      </c>
    </row>
    <row r="1053" spans="1:13" ht="19.5">
      <c r="A1053" s="1">
        <v>58</v>
      </c>
      <c r="B1053" s="2" t="s">
        <v>699</v>
      </c>
      <c r="C1053" s="1" t="s">
        <v>727</v>
      </c>
      <c r="D1053" s="4">
        <v>22006</v>
      </c>
      <c r="E1053" s="57">
        <v>30000</v>
      </c>
      <c r="F1053" s="1129" t="s">
        <v>44</v>
      </c>
      <c r="G1053" s="1" t="s">
        <v>45</v>
      </c>
      <c r="H1053" s="1"/>
      <c r="I1053" s="1"/>
      <c r="J1053" s="1"/>
      <c r="K1053" s="1"/>
      <c r="L1053" s="1"/>
      <c r="M1053" s="211" t="s">
        <v>3448</v>
      </c>
    </row>
    <row r="1054" spans="1:13" ht="19.5">
      <c r="A1054" s="1">
        <v>59</v>
      </c>
      <c r="B1054" s="2" t="s">
        <v>2359</v>
      </c>
      <c r="C1054" s="1" t="s">
        <v>728</v>
      </c>
      <c r="D1054" s="4">
        <v>22006</v>
      </c>
      <c r="E1054" s="57">
        <v>30000</v>
      </c>
      <c r="F1054" s="1129" t="s">
        <v>1572</v>
      </c>
      <c r="G1054" s="1" t="s">
        <v>45</v>
      </c>
      <c r="H1054" s="1"/>
      <c r="I1054" s="1"/>
      <c r="J1054" s="1"/>
      <c r="K1054" s="1"/>
      <c r="L1054" s="1"/>
      <c r="M1054" s="211" t="s">
        <v>3174</v>
      </c>
    </row>
    <row r="1055" spans="1:13" ht="19.5">
      <c r="A1055" s="1">
        <v>60</v>
      </c>
      <c r="B1055" s="2" t="s">
        <v>2744</v>
      </c>
      <c r="C1055" s="1" t="s">
        <v>2745</v>
      </c>
      <c r="D1055" s="4">
        <v>22265</v>
      </c>
      <c r="E1055" s="1083">
        <v>16500</v>
      </c>
      <c r="F1055" s="939" t="s">
        <v>2117</v>
      </c>
      <c r="G1055" s="1" t="s">
        <v>45</v>
      </c>
      <c r="H1055" s="1"/>
      <c r="I1055" s="1"/>
      <c r="J1055" s="1"/>
      <c r="K1055" s="1"/>
      <c r="L1055" s="1"/>
      <c r="M1055" s="211" t="s">
        <v>3516</v>
      </c>
    </row>
    <row r="1056" spans="1:13" ht="19.5">
      <c r="A1056" s="1">
        <v>61</v>
      </c>
      <c r="B1056" s="2" t="s">
        <v>2353</v>
      </c>
      <c r="C1056" s="1" t="s">
        <v>729</v>
      </c>
      <c r="D1056" s="4">
        <v>22635</v>
      </c>
      <c r="E1056" s="57">
        <v>32000</v>
      </c>
      <c r="F1056" s="1127" t="s">
        <v>2433</v>
      </c>
      <c r="G1056" s="1" t="s">
        <v>45</v>
      </c>
      <c r="H1056" s="1"/>
      <c r="I1056" s="1"/>
      <c r="J1056" s="1"/>
      <c r="K1056" s="1"/>
      <c r="L1056" s="1"/>
      <c r="M1056" s="211" t="s">
        <v>2649</v>
      </c>
    </row>
    <row r="1057" spans="1:13" ht="19.5">
      <c r="A1057" s="1">
        <v>62</v>
      </c>
      <c r="B1057" s="2" t="s">
        <v>2358</v>
      </c>
      <c r="C1057" s="1" t="s">
        <v>730</v>
      </c>
      <c r="D1057" s="4">
        <v>22901</v>
      </c>
      <c r="E1057" s="57">
        <v>27900</v>
      </c>
      <c r="F1057" s="1127" t="s">
        <v>2433</v>
      </c>
      <c r="G1057" s="1" t="s">
        <v>45</v>
      </c>
      <c r="H1057" s="1"/>
      <c r="I1057" s="1"/>
      <c r="J1057" s="1"/>
      <c r="K1057" s="1"/>
      <c r="L1057" s="1"/>
      <c r="M1057" s="211" t="s">
        <v>3175</v>
      </c>
    </row>
    <row r="1058" spans="1:13" ht="19.5">
      <c r="A1058" s="1">
        <v>63</v>
      </c>
      <c r="B1058" s="2" t="s">
        <v>2354</v>
      </c>
      <c r="C1058" s="1" t="s">
        <v>731</v>
      </c>
      <c r="D1058" s="4">
        <v>22901</v>
      </c>
      <c r="E1058" s="57">
        <v>27900</v>
      </c>
      <c r="F1058" s="1127" t="s">
        <v>2433</v>
      </c>
      <c r="G1058" s="1" t="s">
        <v>45</v>
      </c>
      <c r="H1058" s="1"/>
      <c r="I1058" s="1"/>
      <c r="J1058" s="1"/>
      <c r="K1058" s="1"/>
      <c r="L1058" s="1"/>
      <c r="M1058" s="211" t="s">
        <v>3172</v>
      </c>
    </row>
    <row r="1059" spans="1:13" ht="19.5">
      <c r="A1059" s="1">
        <v>64</v>
      </c>
      <c r="B1059" s="2" t="s">
        <v>2686</v>
      </c>
      <c r="C1059" s="1" t="s">
        <v>2662</v>
      </c>
      <c r="D1059" s="4">
        <v>23585</v>
      </c>
      <c r="E1059" s="57">
        <v>39700</v>
      </c>
      <c r="F1059" s="1011" t="s">
        <v>1649</v>
      </c>
      <c r="G1059" s="1" t="s">
        <v>45</v>
      </c>
      <c r="H1059" s="1"/>
      <c r="I1059" s="1"/>
      <c r="J1059" s="1"/>
      <c r="K1059" s="1"/>
      <c r="L1059" s="1"/>
      <c r="M1059" s="211" t="s">
        <v>3222</v>
      </c>
    </row>
    <row r="1060" spans="1:13" ht="19.5">
      <c r="A1060" s="1">
        <v>65</v>
      </c>
      <c r="B1060" s="2" t="s">
        <v>2686</v>
      </c>
      <c r="C1060" s="1" t="s">
        <v>2663</v>
      </c>
      <c r="D1060" s="4">
        <v>23585</v>
      </c>
      <c r="E1060" s="57">
        <v>39700</v>
      </c>
      <c r="F1060" s="1011" t="s">
        <v>1649</v>
      </c>
      <c r="G1060" s="1" t="s">
        <v>45</v>
      </c>
      <c r="H1060" s="1"/>
      <c r="I1060" s="1"/>
      <c r="J1060" s="1"/>
      <c r="K1060" s="1"/>
      <c r="L1060" s="1"/>
      <c r="M1060" s="211" t="s">
        <v>3222</v>
      </c>
    </row>
    <row r="1061" spans="1:13" ht="39">
      <c r="A1061" s="223">
        <v>66</v>
      </c>
      <c r="B1061" s="511" t="s">
        <v>2686</v>
      </c>
      <c r="C1061" s="223" t="s">
        <v>2664</v>
      </c>
      <c r="D1061" s="270">
        <v>23585</v>
      </c>
      <c r="E1061" s="93">
        <v>39700</v>
      </c>
      <c r="F1061" s="1125" t="s">
        <v>1649</v>
      </c>
      <c r="G1061" s="223" t="s">
        <v>45</v>
      </c>
      <c r="H1061" s="223"/>
      <c r="I1061" s="223"/>
      <c r="J1061" s="223"/>
      <c r="K1061" s="223"/>
      <c r="L1061" s="223"/>
      <c r="M1061" s="289" t="s">
        <v>3522</v>
      </c>
    </row>
    <row r="1062" spans="1:13" ht="39">
      <c r="A1062" s="223">
        <v>67</v>
      </c>
      <c r="B1062" s="511" t="s">
        <v>2686</v>
      </c>
      <c r="C1062" s="223" t="s">
        <v>2665</v>
      </c>
      <c r="D1062" s="270">
        <v>23585</v>
      </c>
      <c r="E1062" s="93">
        <v>39700</v>
      </c>
      <c r="F1062" s="1125" t="s">
        <v>1649</v>
      </c>
      <c r="G1062" s="223" t="s">
        <v>45</v>
      </c>
      <c r="H1062" s="223"/>
      <c r="I1062" s="223"/>
      <c r="J1062" s="223"/>
      <c r="K1062" s="223"/>
      <c r="L1062" s="223"/>
      <c r="M1062" s="289" t="s">
        <v>3522</v>
      </c>
    </row>
    <row r="1063" spans="1:13" ht="19.5">
      <c r="A1063" s="1">
        <v>68</v>
      </c>
      <c r="B1063" s="2" t="s">
        <v>2687</v>
      </c>
      <c r="C1063" s="1" t="s">
        <v>2681</v>
      </c>
      <c r="D1063" s="4">
        <v>23595</v>
      </c>
      <c r="E1063" s="1083">
        <v>46900</v>
      </c>
      <c r="F1063" s="939" t="s">
        <v>1508</v>
      </c>
      <c r="G1063" s="1" t="s">
        <v>45</v>
      </c>
      <c r="H1063" s="1"/>
      <c r="I1063" s="1"/>
      <c r="J1063" s="1"/>
      <c r="K1063" s="1"/>
      <c r="L1063" s="1"/>
      <c r="M1063" s="211" t="s">
        <v>3511</v>
      </c>
    </row>
    <row r="1064" spans="1:13" ht="19.5">
      <c r="A1064" s="1">
        <v>69</v>
      </c>
      <c r="B1064" s="2" t="s">
        <v>2687</v>
      </c>
      <c r="C1064" s="1" t="s">
        <v>2682</v>
      </c>
      <c r="D1064" s="4">
        <v>23595</v>
      </c>
      <c r="E1064" s="1083">
        <v>46900</v>
      </c>
      <c r="F1064" s="939" t="s">
        <v>1508</v>
      </c>
      <c r="G1064" s="1" t="s">
        <v>45</v>
      </c>
      <c r="H1064" s="1"/>
      <c r="I1064" s="1"/>
      <c r="J1064" s="1"/>
      <c r="K1064" s="1"/>
      <c r="L1064" s="1"/>
      <c r="M1064" s="211" t="s">
        <v>3511</v>
      </c>
    </row>
    <row r="1065" spans="1:13" ht="19.5">
      <c r="A1065" s="1">
        <v>70</v>
      </c>
      <c r="B1065" s="2" t="s">
        <v>2688</v>
      </c>
      <c r="C1065" s="1" t="s">
        <v>2685</v>
      </c>
      <c r="D1065" s="4">
        <v>23608</v>
      </c>
      <c r="E1065" s="57">
        <v>38900</v>
      </c>
      <c r="F1065" s="1127" t="s">
        <v>2433</v>
      </c>
      <c r="G1065" s="1" t="s">
        <v>45</v>
      </c>
      <c r="H1065" s="1"/>
      <c r="I1065" s="1"/>
      <c r="J1065" s="1"/>
      <c r="K1065" s="1"/>
      <c r="L1065" s="1"/>
      <c r="M1065" s="211" t="s">
        <v>3501</v>
      </c>
    </row>
    <row r="1066" spans="1:13" ht="19.5">
      <c r="A1066" s="1">
        <v>71</v>
      </c>
      <c r="B1066" s="2" t="s">
        <v>2689</v>
      </c>
      <c r="C1066" s="1" t="s">
        <v>2690</v>
      </c>
      <c r="D1066" s="4">
        <v>23608</v>
      </c>
      <c r="E1066" s="57">
        <v>42000</v>
      </c>
      <c r="F1066" s="1136" t="s">
        <v>1633</v>
      </c>
      <c r="H1066" s="1" t="s">
        <v>45</v>
      </c>
      <c r="I1066" s="1"/>
      <c r="J1066" s="1"/>
      <c r="K1066" s="1"/>
      <c r="L1066" s="1"/>
      <c r="M1066" s="211" t="s">
        <v>3461</v>
      </c>
    </row>
    <row r="1067" spans="1:13" ht="19.5">
      <c r="A1067" s="1">
        <v>72</v>
      </c>
      <c r="B1067" s="2" t="s">
        <v>2692</v>
      </c>
      <c r="C1067" s="1" t="s">
        <v>2691</v>
      </c>
      <c r="D1067" s="4">
        <v>23608</v>
      </c>
      <c r="E1067" s="57">
        <v>64900</v>
      </c>
      <c r="F1067" s="1129" t="s">
        <v>1572</v>
      </c>
      <c r="G1067" s="1" t="s">
        <v>45</v>
      </c>
      <c r="H1067" s="1"/>
      <c r="I1067" s="1"/>
      <c r="J1067" s="1"/>
      <c r="K1067" s="1"/>
      <c r="L1067" s="1"/>
      <c r="M1067" s="211" t="s">
        <v>3200</v>
      </c>
    </row>
    <row r="1068" spans="1:13" ht="19.5">
      <c r="A1068" s="1">
        <v>73</v>
      </c>
      <c r="B1068" s="2" t="s">
        <v>2694</v>
      </c>
      <c r="C1068" s="1" t="s">
        <v>2693</v>
      </c>
      <c r="D1068" s="4">
        <v>23608</v>
      </c>
      <c r="E1068" s="57">
        <v>53900</v>
      </c>
      <c r="F1068" s="1127" t="s">
        <v>2433</v>
      </c>
      <c r="G1068" s="1" t="s">
        <v>45</v>
      </c>
      <c r="H1068" s="1"/>
      <c r="I1068" s="1"/>
      <c r="J1068" s="1"/>
      <c r="K1068" s="1"/>
      <c r="L1068" s="1"/>
      <c r="M1068" s="211" t="s">
        <v>3199</v>
      </c>
    </row>
    <row r="1069" spans="1:13" ht="19.5">
      <c r="A1069" s="1">
        <v>74</v>
      </c>
      <c r="B1069" s="227" t="s">
        <v>2695</v>
      </c>
      <c r="C1069" s="1" t="s">
        <v>2696</v>
      </c>
      <c r="D1069" s="4">
        <v>23608</v>
      </c>
      <c r="E1069" s="57">
        <v>53900</v>
      </c>
      <c r="F1069" s="1129" t="s">
        <v>1572</v>
      </c>
      <c r="G1069" s="1" t="s">
        <v>45</v>
      </c>
      <c r="H1069" s="1"/>
      <c r="I1069" s="1"/>
      <c r="J1069" s="1"/>
      <c r="K1069" s="1"/>
      <c r="L1069" s="1"/>
      <c r="M1069" s="211" t="s">
        <v>3158</v>
      </c>
    </row>
    <row r="1070" spans="1:13" ht="19.5">
      <c r="A1070" s="1">
        <v>75</v>
      </c>
      <c r="B1070" s="227" t="s">
        <v>2695</v>
      </c>
      <c r="C1070" s="1" t="s">
        <v>2697</v>
      </c>
      <c r="D1070" s="4">
        <v>23608</v>
      </c>
      <c r="E1070" s="57">
        <v>53900</v>
      </c>
      <c r="F1070" s="1129" t="s">
        <v>1572</v>
      </c>
      <c r="G1070" s="1" t="s">
        <v>45</v>
      </c>
      <c r="H1070" s="1"/>
      <c r="I1070" s="1"/>
      <c r="J1070" s="1"/>
      <c r="K1070" s="1"/>
      <c r="L1070" s="1"/>
      <c r="M1070" s="211" t="s">
        <v>3458</v>
      </c>
    </row>
    <row r="1071" spans="1:13" ht="19.5">
      <c r="A1071" s="1">
        <v>76</v>
      </c>
      <c r="B1071" s="291" t="s">
        <v>2699</v>
      </c>
      <c r="C1071" s="1" t="s">
        <v>2698</v>
      </c>
      <c r="D1071" s="4">
        <v>23608</v>
      </c>
      <c r="E1071" s="57">
        <v>46900</v>
      </c>
      <c r="F1071" s="1129" t="s">
        <v>1572</v>
      </c>
      <c r="G1071" s="1" t="s">
        <v>45</v>
      </c>
      <c r="H1071" s="1"/>
      <c r="I1071" s="1"/>
      <c r="J1071" s="1"/>
      <c r="K1071" s="1"/>
      <c r="L1071" s="1"/>
      <c r="M1071" s="211" t="s">
        <v>3176</v>
      </c>
    </row>
    <row r="1072" spans="1:13" ht="19.5">
      <c r="A1072" s="1">
        <v>77</v>
      </c>
      <c r="B1072" s="2" t="s">
        <v>2700</v>
      </c>
      <c r="C1072" s="1" t="s">
        <v>2701</v>
      </c>
      <c r="D1072" s="4">
        <v>23608</v>
      </c>
      <c r="E1072" s="57">
        <v>46900</v>
      </c>
      <c r="F1072" s="1129" t="s">
        <v>1265</v>
      </c>
      <c r="G1072" s="1" t="s">
        <v>45</v>
      </c>
      <c r="H1072" s="1"/>
      <c r="I1072" s="1"/>
      <c r="J1072" s="1"/>
      <c r="K1072" s="1"/>
      <c r="L1072" s="1"/>
      <c r="M1072" s="211" t="s">
        <v>3178</v>
      </c>
    </row>
    <row r="1073" spans="1:13" ht="19.5">
      <c r="A1073" s="1">
        <v>78</v>
      </c>
      <c r="B1073" s="292" t="s">
        <v>2703</v>
      </c>
      <c r="C1073" s="1" t="s">
        <v>2702</v>
      </c>
      <c r="D1073" s="4">
        <v>23608</v>
      </c>
      <c r="E1073" s="57">
        <v>18900</v>
      </c>
      <c r="F1073" s="1129" t="s">
        <v>1572</v>
      </c>
      <c r="G1073" s="1" t="s">
        <v>45</v>
      </c>
      <c r="H1073" s="1"/>
      <c r="I1073" s="1"/>
      <c r="J1073" s="1"/>
      <c r="K1073" s="1"/>
      <c r="L1073" s="1"/>
      <c r="M1073" s="211" t="s">
        <v>3201</v>
      </c>
    </row>
    <row r="1074" spans="1:13" ht="28.5">
      <c r="A1074" s="857">
        <v>79</v>
      </c>
      <c r="B1074" s="846" t="s">
        <v>3864</v>
      </c>
      <c r="C1074" s="847" t="s">
        <v>3863</v>
      </c>
      <c r="D1074" s="866" t="s">
        <v>4000</v>
      </c>
      <c r="E1074" s="848">
        <v>24900</v>
      </c>
      <c r="F1074" s="1137" t="s">
        <v>3806</v>
      </c>
      <c r="G1074" s="857" t="s">
        <v>45</v>
      </c>
      <c r="H1074" s="857"/>
      <c r="I1074" s="857"/>
      <c r="J1074" s="857"/>
      <c r="K1074" s="857"/>
      <c r="L1074" s="857"/>
      <c r="M1074" s="860"/>
    </row>
    <row r="1075" spans="1:13" ht="28.5">
      <c r="A1075" s="857">
        <v>80</v>
      </c>
      <c r="B1075" s="846" t="s">
        <v>3868</v>
      </c>
      <c r="C1075" s="847" t="s">
        <v>3867</v>
      </c>
      <c r="D1075" s="866" t="s">
        <v>4001</v>
      </c>
      <c r="E1075" s="848">
        <v>46900</v>
      </c>
      <c r="F1075" s="1137" t="s">
        <v>3806</v>
      </c>
      <c r="G1075" s="857" t="s">
        <v>45</v>
      </c>
      <c r="H1075" s="857"/>
      <c r="I1075" s="857"/>
      <c r="J1075" s="857"/>
      <c r="K1075" s="857"/>
      <c r="L1075" s="857"/>
      <c r="M1075" s="860"/>
    </row>
    <row r="1076" spans="1:13" ht="28.5">
      <c r="A1076" s="857">
        <v>81</v>
      </c>
      <c r="B1076" s="846" t="s">
        <v>3871</v>
      </c>
      <c r="C1076" s="847" t="s">
        <v>3870</v>
      </c>
      <c r="D1076" s="866" t="s">
        <v>4002</v>
      </c>
      <c r="E1076" s="848">
        <v>47200</v>
      </c>
      <c r="F1076" s="1137" t="s">
        <v>3806</v>
      </c>
      <c r="G1076" s="857" t="s">
        <v>45</v>
      </c>
      <c r="H1076" s="857"/>
      <c r="I1076" s="857"/>
      <c r="J1076" s="857"/>
      <c r="K1076" s="857"/>
      <c r="L1076" s="857"/>
      <c r="M1076" s="860"/>
    </row>
    <row r="1077" spans="1:13" ht="28.5">
      <c r="A1077" s="857">
        <v>82</v>
      </c>
      <c r="B1077" s="846" t="s">
        <v>3874</v>
      </c>
      <c r="C1077" s="847" t="s">
        <v>3873</v>
      </c>
      <c r="D1077" s="866" t="s">
        <v>4002</v>
      </c>
      <c r="E1077" s="848">
        <v>33500</v>
      </c>
      <c r="F1077" s="1137" t="s">
        <v>3806</v>
      </c>
      <c r="G1077" s="857" t="s">
        <v>45</v>
      </c>
      <c r="H1077" s="857"/>
      <c r="I1077" s="857"/>
      <c r="J1077" s="857"/>
      <c r="K1077" s="857"/>
      <c r="L1077" s="857"/>
      <c r="M1077" s="860"/>
    </row>
    <row r="1078" spans="1:13" ht="28.5">
      <c r="A1078" s="857">
        <v>83</v>
      </c>
      <c r="B1078" s="846" t="s">
        <v>3876</v>
      </c>
      <c r="C1078" s="847" t="s">
        <v>3875</v>
      </c>
      <c r="D1078" s="866" t="s">
        <v>4003</v>
      </c>
      <c r="E1078" s="848">
        <v>53600</v>
      </c>
      <c r="F1078" s="1137" t="s">
        <v>3806</v>
      </c>
      <c r="G1078" s="857" t="s">
        <v>45</v>
      </c>
      <c r="H1078" s="857"/>
      <c r="I1078" s="857"/>
      <c r="J1078" s="857"/>
      <c r="K1078" s="891"/>
      <c r="L1078" s="857"/>
      <c r="M1078" s="860"/>
    </row>
    <row r="1079" spans="1:13" ht="28.5">
      <c r="A1079" s="857">
        <v>84</v>
      </c>
      <c r="B1079" s="846" t="s">
        <v>3879</v>
      </c>
      <c r="C1079" s="847" t="s">
        <v>3878</v>
      </c>
      <c r="D1079" s="866" t="s">
        <v>4003</v>
      </c>
      <c r="E1079" s="848">
        <v>47200</v>
      </c>
      <c r="F1079" s="1137" t="s">
        <v>3806</v>
      </c>
      <c r="G1079" s="857" t="s">
        <v>45</v>
      </c>
      <c r="H1079" s="857"/>
      <c r="I1079" s="857"/>
      <c r="J1079" s="857"/>
      <c r="K1079" s="857"/>
      <c r="L1079" s="857"/>
      <c r="M1079" s="860"/>
    </row>
    <row r="1080" spans="1:13" ht="19.5">
      <c r="A1080" s="904">
        <v>85</v>
      </c>
      <c r="B1080" s="894" t="s">
        <v>3741</v>
      </c>
      <c r="C1080" s="895" t="s">
        <v>3742</v>
      </c>
      <c r="D1080" s="836" t="s">
        <v>4005</v>
      </c>
      <c r="E1080" s="896">
        <v>79277.399999999994</v>
      </c>
      <c r="F1080" s="1138" t="s">
        <v>4006</v>
      </c>
      <c r="G1080" s="837" t="s">
        <v>45</v>
      </c>
      <c r="H1080" s="837"/>
      <c r="I1080" s="837"/>
      <c r="J1080" s="837"/>
      <c r="K1080" s="837"/>
      <c r="L1080" s="837"/>
      <c r="M1080" s="838" t="s">
        <v>3612</v>
      </c>
    </row>
    <row r="1081" spans="1:13" ht="19.5">
      <c r="A1081" s="904">
        <v>86</v>
      </c>
      <c r="B1081" s="894" t="s">
        <v>3741</v>
      </c>
      <c r="C1081" s="895" t="s">
        <v>3746</v>
      </c>
      <c r="D1081" s="836" t="s">
        <v>4005</v>
      </c>
      <c r="E1081" s="896">
        <v>79277.399999999994</v>
      </c>
      <c r="F1081" s="1138" t="s">
        <v>4006</v>
      </c>
      <c r="G1081" s="837" t="s">
        <v>45</v>
      </c>
      <c r="H1081" s="837"/>
      <c r="I1081" s="837"/>
      <c r="J1081" s="837"/>
      <c r="K1081" s="837"/>
      <c r="L1081" s="837"/>
      <c r="M1081" s="838" t="s">
        <v>3612</v>
      </c>
    </row>
    <row r="1082" spans="1:13" ht="19.5">
      <c r="A1082" s="904">
        <v>87</v>
      </c>
      <c r="B1082" s="894" t="s">
        <v>3741</v>
      </c>
      <c r="C1082" s="895" t="s">
        <v>3747</v>
      </c>
      <c r="D1082" s="836" t="s">
        <v>4005</v>
      </c>
      <c r="E1082" s="896">
        <v>79277.399999999994</v>
      </c>
      <c r="F1082" s="1138" t="s">
        <v>4006</v>
      </c>
      <c r="G1082" s="837" t="s">
        <v>45</v>
      </c>
      <c r="H1082" s="837"/>
      <c r="I1082" s="837"/>
      <c r="J1082" s="837"/>
      <c r="K1082" s="837"/>
      <c r="L1082" s="837"/>
      <c r="M1082" s="838" t="s">
        <v>3612</v>
      </c>
    </row>
    <row r="1083" spans="1:13" ht="19.5">
      <c r="A1083" s="904">
        <v>88</v>
      </c>
      <c r="B1083" s="894" t="s">
        <v>3741</v>
      </c>
      <c r="C1083" s="895" t="s">
        <v>3748</v>
      </c>
      <c r="D1083" s="836" t="s">
        <v>4005</v>
      </c>
      <c r="E1083" s="896">
        <v>79277.399999999994</v>
      </c>
      <c r="F1083" s="1138" t="s">
        <v>4006</v>
      </c>
      <c r="G1083" s="837" t="s">
        <v>45</v>
      </c>
      <c r="H1083" s="837"/>
      <c r="I1083" s="837"/>
      <c r="J1083" s="837"/>
      <c r="K1083" s="837"/>
      <c r="L1083" s="837"/>
      <c r="M1083" s="838" t="s">
        <v>3612</v>
      </c>
    </row>
    <row r="1084" spans="1:13" ht="19.5">
      <c r="A1084" s="904">
        <v>89</v>
      </c>
      <c r="B1084" s="894" t="s">
        <v>3741</v>
      </c>
      <c r="C1084" s="895" t="s">
        <v>3749</v>
      </c>
      <c r="D1084" s="836" t="s">
        <v>4005</v>
      </c>
      <c r="E1084" s="896">
        <v>79277.399999999994</v>
      </c>
      <c r="F1084" s="1138" t="s">
        <v>4006</v>
      </c>
      <c r="G1084" s="837" t="s">
        <v>45</v>
      </c>
      <c r="H1084" s="837"/>
      <c r="I1084" s="837"/>
      <c r="J1084" s="837"/>
      <c r="K1084" s="837"/>
      <c r="L1084" s="837"/>
      <c r="M1084" s="838" t="s">
        <v>3612</v>
      </c>
    </row>
    <row r="1085" spans="1:13" ht="19.5">
      <c r="A1085" s="904">
        <v>90</v>
      </c>
      <c r="B1085" s="894" t="s">
        <v>3741</v>
      </c>
      <c r="C1085" s="895" t="s">
        <v>3750</v>
      </c>
      <c r="D1085" s="836" t="s">
        <v>4005</v>
      </c>
      <c r="E1085" s="896">
        <v>79277.399999999994</v>
      </c>
      <c r="F1085" s="1138" t="s">
        <v>4006</v>
      </c>
      <c r="G1085" s="837" t="s">
        <v>45</v>
      </c>
      <c r="H1085" s="837"/>
      <c r="I1085" s="837"/>
      <c r="J1085" s="837"/>
      <c r="K1085" s="837"/>
      <c r="L1085" s="837"/>
      <c r="M1085" s="838" t="s">
        <v>3612</v>
      </c>
    </row>
    <row r="1086" spans="1:13" ht="19.5">
      <c r="A1086" s="904">
        <v>91</v>
      </c>
      <c r="B1086" s="894" t="s">
        <v>3741</v>
      </c>
      <c r="C1086" s="895" t="s">
        <v>3751</v>
      </c>
      <c r="D1086" s="836" t="s">
        <v>4005</v>
      </c>
      <c r="E1086" s="896">
        <v>79277.399999999994</v>
      </c>
      <c r="F1086" s="1138" t="s">
        <v>4006</v>
      </c>
      <c r="G1086" s="837" t="s">
        <v>45</v>
      </c>
      <c r="H1086" s="837"/>
      <c r="I1086" s="837"/>
      <c r="J1086" s="837"/>
      <c r="K1086" s="837"/>
      <c r="L1086" s="837"/>
      <c r="M1086" s="838" t="s">
        <v>3612</v>
      </c>
    </row>
    <row r="1087" spans="1:13" ht="19.5">
      <c r="A1087" s="904">
        <v>92</v>
      </c>
      <c r="B1087" s="894" t="s">
        <v>3741</v>
      </c>
      <c r="C1087" s="895" t="s">
        <v>3752</v>
      </c>
      <c r="D1087" s="836" t="s">
        <v>4005</v>
      </c>
      <c r="E1087" s="896">
        <v>79277.399999999994</v>
      </c>
      <c r="F1087" s="1138" t="s">
        <v>4006</v>
      </c>
      <c r="G1087" s="837" t="s">
        <v>45</v>
      </c>
      <c r="H1087" s="837"/>
      <c r="I1087" s="837"/>
      <c r="J1087" s="837"/>
      <c r="K1087" s="837"/>
      <c r="L1087" s="837"/>
      <c r="M1087" s="838" t="s">
        <v>3612</v>
      </c>
    </row>
    <row r="1088" spans="1:13" ht="19.5">
      <c r="A1088" s="904">
        <v>93</v>
      </c>
      <c r="B1088" s="894" t="s">
        <v>3753</v>
      </c>
      <c r="C1088" s="895" t="s">
        <v>3754</v>
      </c>
      <c r="D1088" s="836" t="s">
        <v>4005</v>
      </c>
      <c r="E1088" s="896">
        <v>325428.47999999998</v>
      </c>
      <c r="F1088" s="1138" t="s">
        <v>4006</v>
      </c>
      <c r="G1088" s="837" t="s">
        <v>45</v>
      </c>
      <c r="H1088" s="837"/>
      <c r="I1088" s="837"/>
      <c r="J1088" s="837"/>
      <c r="K1088" s="837"/>
      <c r="L1088" s="837"/>
      <c r="M1088" s="838" t="s">
        <v>3612</v>
      </c>
    </row>
    <row r="1089" spans="1:13" ht="19.5">
      <c r="A1089" s="904">
        <v>94</v>
      </c>
      <c r="B1089" s="894" t="s">
        <v>3753</v>
      </c>
      <c r="C1089" s="895" t="s">
        <v>3755</v>
      </c>
      <c r="D1089" s="836" t="s">
        <v>4005</v>
      </c>
      <c r="E1089" s="896">
        <v>325428.47999999998</v>
      </c>
      <c r="F1089" s="1138" t="s">
        <v>4006</v>
      </c>
      <c r="G1089" s="837" t="s">
        <v>45</v>
      </c>
      <c r="H1089" s="837"/>
      <c r="I1089" s="837"/>
      <c r="J1089" s="837"/>
      <c r="K1089" s="837"/>
      <c r="L1089" s="837"/>
      <c r="M1089" s="838" t="s">
        <v>3612</v>
      </c>
    </row>
    <row r="1090" spans="1:13" ht="19.5">
      <c r="A1090" s="904">
        <v>95</v>
      </c>
      <c r="B1090" s="894" t="s">
        <v>3753</v>
      </c>
      <c r="C1090" s="895" t="s">
        <v>3756</v>
      </c>
      <c r="D1090" s="836" t="s">
        <v>4005</v>
      </c>
      <c r="E1090" s="896">
        <v>325428.47999999998</v>
      </c>
      <c r="F1090" s="1138" t="s">
        <v>4006</v>
      </c>
      <c r="G1090" s="837" t="s">
        <v>45</v>
      </c>
      <c r="H1090" s="837"/>
      <c r="I1090" s="837"/>
      <c r="J1090" s="837"/>
      <c r="K1090" s="837"/>
      <c r="L1090" s="837"/>
      <c r="M1090" s="838" t="s">
        <v>3612</v>
      </c>
    </row>
    <row r="1091" spans="1:13" ht="19.5">
      <c r="A1091" s="904">
        <v>96</v>
      </c>
      <c r="B1091" s="894" t="s">
        <v>3753</v>
      </c>
      <c r="C1091" s="895" t="s">
        <v>3757</v>
      </c>
      <c r="D1091" s="836" t="s">
        <v>4005</v>
      </c>
      <c r="E1091" s="896">
        <v>325428.47999999998</v>
      </c>
      <c r="F1091" s="1138" t="s">
        <v>4006</v>
      </c>
      <c r="G1091" s="837" t="s">
        <v>45</v>
      </c>
      <c r="H1091" s="837"/>
      <c r="I1091" s="837"/>
      <c r="J1091" s="837"/>
      <c r="K1091" s="837"/>
      <c r="L1091" s="837"/>
      <c r="M1091" s="838" t="s">
        <v>3612</v>
      </c>
    </row>
    <row r="1092" spans="1:13" ht="19.5">
      <c r="A1092" s="904">
        <v>97</v>
      </c>
      <c r="B1092" s="894" t="s">
        <v>3753</v>
      </c>
      <c r="C1092" s="895" t="s">
        <v>3758</v>
      </c>
      <c r="D1092" s="836" t="s">
        <v>4005</v>
      </c>
      <c r="E1092" s="896">
        <v>69980</v>
      </c>
      <c r="F1092" s="1138" t="s">
        <v>4006</v>
      </c>
      <c r="G1092" s="837" t="s">
        <v>45</v>
      </c>
      <c r="H1092" s="837"/>
      <c r="I1092" s="837"/>
      <c r="J1092" s="837"/>
      <c r="K1092" s="837"/>
      <c r="L1092" s="837"/>
      <c r="M1092" s="838" t="s">
        <v>3612</v>
      </c>
    </row>
    <row r="1093" spans="1:13" ht="19.5">
      <c r="A1093" s="904">
        <v>98</v>
      </c>
      <c r="B1093" s="894" t="s">
        <v>3753</v>
      </c>
      <c r="C1093" s="895" t="s">
        <v>3759</v>
      </c>
      <c r="D1093" s="836" t="s">
        <v>4005</v>
      </c>
      <c r="E1093" s="896">
        <v>69980</v>
      </c>
      <c r="F1093" s="1138" t="s">
        <v>4006</v>
      </c>
      <c r="G1093" s="837" t="s">
        <v>45</v>
      </c>
      <c r="H1093" s="837"/>
      <c r="I1093" s="837"/>
      <c r="J1093" s="837"/>
      <c r="K1093" s="837"/>
      <c r="L1093" s="837"/>
      <c r="M1093" s="838" t="s">
        <v>3612</v>
      </c>
    </row>
    <row r="1094" spans="1:13" ht="58.5">
      <c r="A1094" s="857">
        <v>99</v>
      </c>
      <c r="B1094" s="897" t="s">
        <v>3335</v>
      </c>
      <c r="C1094" s="898" t="s">
        <v>3336</v>
      </c>
      <c r="D1094" s="899" t="s">
        <v>4009</v>
      </c>
      <c r="E1094" s="900">
        <v>23831</v>
      </c>
      <c r="F1094" s="1183" t="s">
        <v>4010</v>
      </c>
      <c r="G1094" s="865" t="s">
        <v>45</v>
      </c>
      <c r="H1094" s="865"/>
      <c r="I1094" s="865"/>
      <c r="J1094" s="865"/>
      <c r="K1094" s="865"/>
      <c r="L1094" s="865"/>
      <c r="M1094" s="868" t="s">
        <v>4011</v>
      </c>
    </row>
    <row r="1095" spans="1:13" ht="58.5">
      <c r="A1095" s="857">
        <v>100</v>
      </c>
      <c r="B1095" s="897" t="s">
        <v>3335</v>
      </c>
      <c r="C1095" s="898" t="s">
        <v>3337</v>
      </c>
      <c r="D1095" s="899" t="s">
        <v>4009</v>
      </c>
      <c r="E1095" s="900">
        <v>23831</v>
      </c>
      <c r="F1095" s="1183" t="s">
        <v>4010</v>
      </c>
      <c r="G1095" s="865" t="s">
        <v>45</v>
      </c>
      <c r="H1095" s="865"/>
      <c r="I1095" s="865"/>
      <c r="J1095" s="865"/>
      <c r="K1095" s="865"/>
      <c r="L1095" s="865"/>
      <c r="M1095" s="868" t="s">
        <v>4011</v>
      </c>
    </row>
    <row r="1096" spans="1:13" ht="58.5">
      <c r="A1096" s="857">
        <v>101</v>
      </c>
      <c r="B1096" s="897" t="s">
        <v>3335</v>
      </c>
      <c r="C1096" s="898" t="s">
        <v>3338</v>
      </c>
      <c r="D1096" s="899" t="s">
        <v>4009</v>
      </c>
      <c r="E1096" s="900">
        <v>23831</v>
      </c>
      <c r="F1096" s="1183" t="s">
        <v>4010</v>
      </c>
      <c r="G1096" s="865" t="s">
        <v>45</v>
      </c>
      <c r="H1096" s="865"/>
      <c r="I1096" s="865"/>
      <c r="J1096" s="865"/>
      <c r="K1096" s="865"/>
      <c r="L1096" s="865"/>
      <c r="M1096" s="868" t="s">
        <v>4011</v>
      </c>
    </row>
    <row r="1097" spans="1:13" ht="58.5">
      <c r="A1097" s="857">
        <v>102</v>
      </c>
      <c r="B1097" s="897" t="s">
        <v>3335</v>
      </c>
      <c r="C1097" s="898" t="s">
        <v>3339</v>
      </c>
      <c r="D1097" s="899" t="s">
        <v>4009</v>
      </c>
      <c r="E1097" s="900">
        <v>23831</v>
      </c>
      <c r="F1097" s="1183" t="s">
        <v>4010</v>
      </c>
      <c r="G1097" s="865" t="s">
        <v>45</v>
      </c>
      <c r="H1097" s="865"/>
      <c r="I1097" s="865"/>
      <c r="J1097" s="865"/>
      <c r="K1097" s="865"/>
      <c r="L1097" s="865"/>
      <c r="M1097" s="868" t="s">
        <v>4011</v>
      </c>
    </row>
    <row r="1098" spans="1:13" ht="58.5">
      <c r="A1098" s="857">
        <v>103</v>
      </c>
      <c r="B1098" s="897" t="s">
        <v>4012</v>
      </c>
      <c r="C1098" s="898" t="s">
        <v>3340</v>
      </c>
      <c r="D1098" s="899" t="s">
        <v>4009</v>
      </c>
      <c r="E1098" s="900">
        <v>35420</v>
      </c>
      <c r="F1098" s="1183" t="s">
        <v>4010</v>
      </c>
      <c r="G1098" s="865" t="s">
        <v>45</v>
      </c>
      <c r="H1098" s="865"/>
      <c r="I1098" s="865"/>
      <c r="J1098" s="865"/>
      <c r="K1098" s="865"/>
      <c r="L1098" s="865"/>
      <c r="M1098" s="868" t="s">
        <v>4011</v>
      </c>
    </row>
    <row r="1099" spans="1:13" ht="58.5">
      <c r="A1099" s="857">
        <v>104</v>
      </c>
      <c r="B1099" s="897" t="s">
        <v>4013</v>
      </c>
      <c r="C1099" s="898" t="s">
        <v>3341</v>
      </c>
      <c r="D1099" s="899" t="s">
        <v>4009</v>
      </c>
      <c r="E1099" s="900">
        <v>36000</v>
      </c>
      <c r="F1099" s="1183" t="s">
        <v>4010</v>
      </c>
      <c r="G1099" s="865" t="s">
        <v>45</v>
      </c>
      <c r="H1099" s="865"/>
      <c r="I1099" s="865"/>
      <c r="J1099" s="865"/>
      <c r="K1099" s="865"/>
      <c r="L1099" s="865"/>
      <c r="M1099" s="868" t="s">
        <v>4011</v>
      </c>
    </row>
    <row r="1100" spans="1:13" ht="58.5">
      <c r="A1100" s="857">
        <v>105</v>
      </c>
      <c r="B1100" s="897" t="s">
        <v>4014</v>
      </c>
      <c r="C1100" s="898" t="s">
        <v>3342</v>
      </c>
      <c r="D1100" s="899" t="s">
        <v>4009</v>
      </c>
      <c r="E1100" s="900">
        <v>29439</v>
      </c>
      <c r="F1100" s="1183" t="s">
        <v>4010</v>
      </c>
      <c r="G1100" s="865" t="s">
        <v>45</v>
      </c>
      <c r="H1100" s="865"/>
      <c r="I1100" s="865"/>
      <c r="J1100" s="865"/>
      <c r="K1100" s="865"/>
      <c r="L1100" s="865"/>
      <c r="M1100" s="868" t="s">
        <v>4011</v>
      </c>
    </row>
    <row r="1101" spans="1:13" ht="58.5">
      <c r="A1101" s="857">
        <v>106</v>
      </c>
      <c r="B1101" s="897" t="s">
        <v>4014</v>
      </c>
      <c r="C1101" s="898" t="s">
        <v>3343</v>
      </c>
      <c r="D1101" s="899" t="s">
        <v>4009</v>
      </c>
      <c r="E1101" s="900">
        <v>29439</v>
      </c>
      <c r="F1101" s="1183" t="s">
        <v>4010</v>
      </c>
      <c r="G1101" s="865" t="s">
        <v>45</v>
      </c>
      <c r="H1101" s="865"/>
      <c r="I1101" s="865"/>
      <c r="J1101" s="865"/>
      <c r="K1101" s="865"/>
      <c r="L1101" s="865"/>
      <c r="M1101" s="868" t="s">
        <v>4011</v>
      </c>
    </row>
    <row r="1102" spans="1:13" ht="58.5">
      <c r="A1102" s="857">
        <v>107</v>
      </c>
      <c r="B1102" s="897" t="s">
        <v>4014</v>
      </c>
      <c r="C1102" s="901" t="s">
        <v>3344</v>
      </c>
      <c r="D1102" s="899" t="s">
        <v>4009</v>
      </c>
      <c r="E1102" s="900">
        <v>29439</v>
      </c>
      <c r="F1102" s="1183" t="s">
        <v>4010</v>
      </c>
      <c r="G1102" s="865" t="s">
        <v>45</v>
      </c>
      <c r="H1102" s="865"/>
      <c r="I1102" s="865"/>
      <c r="J1102" s="865"/>
      <c r="K1102" s="865"/>
      <c r="L1102" s="865"/>
      <c r="M1102" s="868" t="s">
        <v>4011</v>
      </c>
    </row>
    <row r="1103" spans="1:13" ht="58.5">
      <c r="A1103" s="857">
        <v>108</v>
      </c>
      <c r="B1103" s="897" t="s">
        <v>4013</v>
      </c>
      <c r="C1103" s="902" t="s">
        <v>3345</v>
      </c>
      <c r="D1103" s="899" t="s">
        <v>4009</v>
      </c>
      <c r="E1103" s="900">
        <v>36000</v>
      </c>
      <c r="F1103" s="1183" t="s">
        <v>4010</v>
      </c>
      <c r="G1103" s="865" t="s">
        <v>45</v>
      </c>
      <c r="H1103" s="865"/>
      <c r="I1103" s="865"/>
      <c r="J1103" s="865"/>
      <c r="K1103" s="865"/>
      <c r="L1103" s="865"/>
      <c r="M1103" s="868" t="s">
        <v>4011</v>
      </c>
    </row>
    <row r="1104" spans="1:13" ht="58.5">
      <c r="A1104" s="857">
        <v>109</v>
      </c>
      <c r="B1104" s="897" t="s">
        <v>4013</v>
      </c>
      <c r="C1104" s="902" t="s">
        <v>3346</v>
      </c>
      <c r="D1104" s="899" t="s">
        <v>4009</v>
      </c>
      <c r="E1104" s="900">
        <v>36000</v>
      </c>
      <c r="F1104" s="1183" t="s">
        <v>4010</v>
      </c>
      <c r="G1104" s="865" t="s">
        <v>45</v>
      </c>
      <c r="H1104" s="865"/>
      <c r="I1104" s="865"/>
      <c r="J1104" s="865"/>
      <c r="K1104" s="865"/>
      <c r="L1104" s="865"/>
      <c r="M1104" s="868" t="s">
        <v>4011</v>
      </c>
    </row>
    <row r="1105" spans="1:13" ht="58.5">
      <c r="A1105" s="857">
        <v>110</v>
      </c>
      <c r="B1105" s="897" t="s">
        <v>4015</v>
      </c>
      <c r="C1105" s="903" t="s">
        <v>3347</v>
      </c>
      <c r="D1105" s="899" t="s">
        <v>4009</v>
      </c>
      <c r="E1105" s="900">
        <v>47663</v>
      </c>
      <c r="F1105" s="1183" t="s">
        <v>4010</v>
      </c>
      <c r="G1105" s="865" t="s">
        <v>45</v>
      </c>
      <c r="H1105" s="865"/>
      <c r="I1105" s="865"/>
      <c r="J1105" s="865"/>
      <c r="K1105" s="865"/>
      <c r="L1105" s="865"/>
      <c r="M1105" s="868" t="s">
        <v>4011</v>
      </c>
    </row>
    <row r="1106" spans="1:13" s="914" customFormat="1" ht="20.25" thickBot="1">
      <c r="A1106" s="904">
        <v>110</v>
      </c>
      <c r="B1106" s="924"/>
      <c r="C1106" s="925"/>
      <c r="D1106" s="926" t="s">
        <v>64</v>
      </c>
      <c r="E1106" s="927">
        <f>SUM(E996:E1105)</f>
        <v>5984665.120000001</v>
      </c>
      <c r="F1106" s="928"/>
      <c r="G1106" s="904"/>
      <c r="H1106" s="904"/>
      <c r="I1106" s="904"/>
      <c r="J1106" s="904"/>
      <c r="K1106" s="904"/>
      <c r="L1106" s="904"/>
      <c r="M1106" s="929"/>
    </row>
    <row r="1107" spans="1:13" ht="20.25" thickTop="1">
      <c r="A1107" s="1"/>
      <c r="B1107" s="2"/>
      <c r="C1107" s="1"/>
      <c r="D1107" s="277"/>
      <c r="E1107" s="219"/>
      <c r="F1107" s="1"/>
      <c r="G1107" s="1"/>
      <c r="H1107" s="1"/>
      <c r="I1107" s="1"/>
      <c r="J1107" s="1"/>
      <c r="K1107" s="1"/>
      <c r="L1107" s="1"/>
      <c r="M1107" s="211"/>
    </row>
    <row r="1108" spans="1:13" ht="19.5">
      <c r="A1108" s="1"/>
      <c r="B1108" s="212" t="s">
        <v>732</v>
      </c>
      <c r="C1108" s="1"/>
      <c r="D1108" s="1"/>
      <c r="E1108" s="57"/>
      <c r="F1108" s="1"/>
      <c r="G1108" s="1"/>
      <c r="H1108" s="1"/>
      <c r="I1108" s="1"/>
      <c r="J1108" s="1"/>
      <c r="K1108" s="1"/>
      <c r="L1108" s="1"/>
      <c r="M1108" s="211"/>
    </row>
    <row r="1109" spans="1:13" ht="19.5">
      <c r="A1109" s="1">
        <v>1</v>
      </c>
      <c r="B1109" s="2" t="s">
        <v>2677</v>
      </c>
      <c r="C1109" s="1" t="s">
        <v>2760</v>
      </c>
      <c r="D1109" s="4">
        <v>23585</v>
      </c>
      <c r="E1109" s="1083">
        <v>830</v>
      </c>
      <c r="F1109" s="939" t="s">
        <v>1508</v>
      </c>
      <c r="G1109" s="1" t="s">
        <v>45</v>
      </c>
      <c r="I1109" s="1"/>
      <c r="J1109" s="1"/>
      <c r="K1109" s="1"/>
      <c r="L1109" s="1"/>
      <c r="M1109" s="211" t="s">
        <v>3511</v>
      </c>
    </row>
    <row r="1110" spans="1:13" ht="19.5">
      <c r="A1110" s="1">
        <v>2</v>
      </c>
      <c r="B1110" s="2" t="s">
        <v>2761</v>
      </c>
      <c r="C1110" s="1" t="s">
        <v>2678</v>
      </c>
      <c r="D1110" s="4">
        <v>23591</v>
      </c>
      <c r="E1110" s="57">
        <v>3000</v>
      </c>
      <c r="F1110" s="1136" t="s">
        <v>2422</v>
      </c>
      <c r="G1110" s="1" t="s">
        <v>45</v>
      </c>
      <c r="H1110" s="1"/>
      <c r="I1110" s="1"/>
      <c r="J1110" s="1"/>
      <c r="K1110" s="1"/>
      <c r="L1110" s="1"/>
      <c r="M1110" s="211" t="s">
        <v>3461</v>
      </c>
    </row>
    <row r="1111" spans="1:13" ht="19.5">
      <c r="A1111" s="1">
        <v>3</v>
      </c>
      <c r="B1111" s="2" t="s">
        <v>2761</v>
      </c>
      <c r="C1111" s="1" t="s">
        <v>2679</v>
      </c>
      <c r="D1111" s="4">
        <v>23591</v>
      </c>
      <c r="E1111" s="57">
        <v>3000</v>
      </c>
      <c r="F1111" s="1136" t="s">
        <v>2422</v>
      </c>
      <c r="G1111" s="1" t="s">
        <v>45</v>
      </c>
      <c r="H1111" s="1"/>
      <c r="I1111" s="1"/>
      <c r="J1111" s="1"/>
      <c r="K1111" s="1"/>
      <c r="L1111" s="1"/>
      <c r="M1111" s="211" t="s">
        <v>3461</v>
      </c>
    </row>
    <row r="1112" spans="1:13" ht="19.5">
      <c r="A1112" s="1">
        <v>4</v>
      </c>
      <c r="B1112" s="2" t="s">
        <v>2761</v>
      </c>
      <c r="C1112" s="1" t="s">
        <v>2680</v>
      </c>
      <c r="D1112" s="4">
        <v>23591</v>
      </c>
      <c r="E1112" s="57">
        <v>3000</v>
      </c>
      <c r="F1112" s="1136" t="s">
        <v>2422</v>
      </c>
      <c r="G1112" s="1" t="s">
        <v>45</v>
      </c>
      <c r="H1112" s="1"/>
      <c r="I1112" s="1"/>
      <c r="J1112" s="1"/>
      <c r="K1112" s="1"/>
      <c r="L1112" s="1"/>
      <c r="M1112" s="211" t="s">
        <v>3459</v>
      </c>
    </row>
    <row r="1113" spans="1:13" s="914" customFormat="1" ht="20.25" thickBot="1">
      <c r="A1113" s="909">
        <v>4</v>
      </c>
      <c r="B1113" s="918"/>
      <c r="C1113" s="909"/>
      <c r="D1113" s="910" t="s">
        <v>64</v>
      </c>
      <c r="E1113" s="911">
        <f>SUM(E1109:E1112)</f>
        <v>9830</v>
      </c>
      <c r="F1113" s="909"/>
      <c r="G1113" s="909"/>
      <c r="H1113" s="909"/>
      <c r="I1113" s="909"/>
      <c r="J1113" s="909"/>
      <c r="K1113" s="909"/>
      <c r="L1113" s="909"/>
      <c r="M1113" s="913"/>
    </row>
    <row r="1114" spans="1:13" ht="20.25" thickTop="1">
      <c r="A1114" s="1"/>
      <c r="B1114" s="48"/>
      <c r="C1114" s="1"/>
      <c r="D1114" s="47"/>
      <c r="E1114" s="278"/>
      <c r="F1114" s="1"/>
      <c r="G1114" s="1"/>
      <c r="H1114" s="1"/>
      <c r="I1114" s="1"/>
      <c r="J1114" s="1"/>
      <c r="K1114" s="1"/>
      <c r="L1114" s="1"/>
      <c r="M1114" s="211"/>
    </row>
    <row r="1115" spans="1:13" ht="19.5">
      <c r="A1115" s="1"/>
      <c r="B1115" s="212" t="s">
        <v>733</v>
      </c>
      <c r="C1115" s="1"/>
      <c r="D1115" s="1"/>
      <c r="E1115" s="57"/>
      <c r="F1115" s="1"/>
      <c r="G1115" s="1"/>
      <c r="H1115" s="1"/>
      <c r="I1115" s="1"/>
      <c r="J1115" s="1"/>
      <c r="K1115" s="1"/>
      <c r="L1115" s="1"/>
      <c r="M1115" s="211"/>
    </row>
    <row r="1116" spans="1:13" ht="19.5">
      <c r="A1116" s="1">
        <v>1</v>
      </c>
      <c r="B1116" s="2" t="s">
        <v>734</v>
      </c>
      <c r="C1116" s="1" t="s">
        <v>735</v>
      </c>
      <c r="D1116" s="4">
        <v>18851</v>
      </c>
      <c r="E1116" s="57">
        <v>3000</v>
      </c>
      <c r="F1116" s="1127" t="s">
        <v>2433</v>
      </c>
      <c r="G1116" s="1" t="s">
        <v>45</v>
      </c>
      <c r="H1116" s="1"/>
      <c r="I1116" s="1"/>
      <c r="J1116" s="1"/>
      <c r="K1116" s="1"/>
      <c r="L1116" s="1"/>
      <c r="M1116" s="211"/>
    </row>
    <row r="1117" spans="1:13" ht="19.5">
      <c r="A1117" s="1">
        <v>2</v>
      </c>
      <c r="B1117" s="2" t="s">
        <v>734</v>
      </c>
      <c r="C1117" s="1" t="s">
        <v>736</v>
      </c>
      <c r="D1117" s="4">
        <v>18851</v>
      </c>
      <c r="E1117" s="57">
        <v>3000</v>
      </c>
      <c r="F1117" s="1127" t="s">
        <v>2433</v>
      </c>
      <c r="G1117" s="1" t="s">
        <v>45</v>
      </c>
      <c r="H1117" s="238"/>
      <c r="I1117" s="238"/>
      <c r="J1117" s="238"/>
      <c r="K1117" s="238"/>
      <c r="L1117" s="238"/>
      <c r="M1117" s="211"/>
    </row>
    <row r="1118" spans="1:13" ht="19.5">
      <c r="A1118" s="1">
        <v>3</v>
      </c>
      <c r="B1118" s="2" t="s">
        <v>737</v>
      </c>
      <c r="C1118" s="1" t="s">
        <v>738</v>
      </c>
      <c r="D1118" s="4">
        <v>21561</v>
      </c>
      <c r="E1118" s="57">
        <v>17000</v>
      </c>
      <c r="F1118" s="1127" t="s">
        <v>2433</v>
      </c>
      <c r="G1118" s="1" t="s">
        <v>45</v>
      </c>
      <c r="H1118" s="1"/>
      <c r="I1118" s="1"/>
      <c r="J1118" s="1"/>
      <c r="K1118" s="1"/>
      <c r="L1118" s="1"/>
      <c r="M1118" s="211"/>
    </row>
    <row r="1119" spans="1:13" s="914" customFormat="1" ht="20.25" thickBot="1">
      <c r="A1119" s="909">
        <v>3</v>
      </c>
      <c r="B1119" s="918"/>
      <c r="C1119" s="909"/>
      <c r="D1119" s="910" t="s">
        <v>64</v>
      </c>
      <c r="E1119" s="911">
        <f>SUM(E1116:E1118)</f>
        <v>23000</v>
      </c>
      <c r="F1119" s="909"/>
      <c r="G1119" s="909"/>
      <c r="H1119" s="909"/>
      <c r="I1119" s="909"/>
      <c r="J1119" s="909"/>
      <c r="K1119" s="909"/>
      <c r="L1119" s="909"/>
      <c r="M1119" s="913"/>
    </row>
    <row r="1120" spans="1:13" ht="20.25" thickTop="1">
      <c r="A1120" s="1"/>
      <c r="B1120" s="48"/>
      <c r="C1120" s="1"/>
      <c r="D1120" s="47"/>
      <c r="E1120" s="269"/>
      <c r="F1120" s="1"/>
      <c r="G1120" s="1"/>
      <c r="H1120" s="1"/>
      <c r="I1120" s="1"/>
      <c r="J1120" s="1"/>
      <c r="K1120" s="1"/>
      <c r="L1120" s="1"/>
      <c r="M1120" s="211"/>
    </row>
    <row r="1121" spans="1:13" ht="21">
      <c r="A1121" s="225"/>
      <c r="B1121" s="293" t="s">
        <v>1466</v>
      </c>
      <c r="C1121" s="294"/>
      <c r="D1121" s="295"/>
      <c r="E1121" s="296"/>
      <c r="F1121" s="297"/>
      <c r="G1121" s="297"/>
      <c r="H1121" s="297"/>
      <c r="I1121" s="297"/>
      <c r="J1121" s="297"/>
      <c r="K1121" s="297"/>
      <c r="L1121" s="297"/>
      <c r="M1121" s="527"/>
    </row>
    <row r="1122" spans="1:13" ht="19.5">
      <c r="A1122" s="1">
        <v>1</v>
      </c>
      <c r="B1122" s="3" t="s">
        <v>1467</v>
      </c>
      <c r="C1122" s="158" t="s">
        <v>1468</v>
      </c>
      <c r="D1122" s="4">
        <v>11677</v>
      </c>
      <c r="E1122" s="58">
        <v>19900</v>
      </c>
      <c r="F1122" s="1156" t="s">
        <v>1469</v>
      </c>
      <c r="G1122" s="64" t="s">
        <v>1458</v>
      </c>
      <c r="H1122" s="58"/>
      <c r="I1122" s="58"/>
      <c r="J1122" s="58"/>
      <c r="K1122" s="58"/>
      <c r="L1122" s="58"/>
      <c r="M1122" s="211" t="s">
        <v>3164</v>
      </c>
    </row>
    <row r="1123" spans="1:13" ht="19.5">
      <c r="A1123" s="260">
        <v>2</v>
      </c>
      <c r="B1123" s="259" t="s">
        <v>1689</v>
      </c>
      <c r="C1123" s="242" t="s">
        <v>1690</v>
      </c>
      <c r="D1123" s="243">
        <v>13549</v>
      </c>
      <c r="E1123" s="1078">
        <v>9000</v>
      </c>
      <c r="F1123" s="939" t="s">
        <v>1649</v>
      </c>
      <c r="G1123" s="64" t="s">
        <v>1458</v>
      </c>
      <c r="H1123" s="58"/>
      <c r="I1123" s="58"/>
      <c r="J1123" s="58"/>
      <c r="K1123" s="58"/>
      <c r="L1123" s="58"/>
      <c r="M1123" s="211" t="s">
        <v>3205</v>
      </c>
    </row>
    <row r="1124" spans="1:13" s="914" customFormat="1" ht="21.75" thickBot="1">
      <c r="A1124" s="930">
        <v>2</v>
      </c>
      <c r="B1124" s="931"/>
      <c r="C1124" s="932"/>
      <c r="D1124" s="933" t="s">
        <v>64</v>
      </c>
      <c r="E1124" s="934">
        <f>SUM(E1122:E1123)</f>
        <v>28900</v>
      </c>
      <c r="F1124" s="935"/>
      <c r="G1124" s="935"/>
      <c r="H1124" s="935"/>
      <c r="I1124" s="935"/>
      <c r="J1124" s="935"/>
      <c r="K1124" s="935"/>
      <c r="L1124" s="935"/>
      <c r="M1124" s="936"/>
    </row>
    <row r="1125" spans="1:13" ht="20.25" thickTop="1">
      <c r="A1125" s="1"/>
      <c r="B1125" s="2"/>
      <c r="C1125" s="1"/>
      <c r="D1125" s="47"/>
      <c r="E1125" s="264"/>
      <c r="F1125" s="1"/>
      <c r="G1125" s="1"/>
      <c r="H1125" s="1"/>
      <c r="I1125" s="1"/>
      <c r="J1125" s="1"/>
      <c r="K1125" s="1"/>
      <c r="L1125" s="1"/>
      <c r="M1125" s="211"/>
    </row>
    <row r="1126" spans="1:13" ht="19.5">
      <c r="A1126" s="1"/>
      <c r="B1126" s="212" t="s">
        <v>2746</v>
      </c>
      <c r="C1126" s="1"/>
      <c r="D1126" s="1"/>
      <c r="E1126" s="57"/>
      <c r="F1126" s="1"/>
      <c r="G1126" s="1"/>
      <c r="H1126" s="1"/>
      <c r="I1126" s="1"/>
      <c r="J1126" s="1"/>
      <c r="K1126" s="1"/>
      <c r="L1126" s="1"/>
      <c r="M1126" s="211"/>
    </row>
    <row r="1127" spans="1:13" ht="19.5">
      <c r="A1127" s="1">
        <v>1</v>
      </c>
      <c r="B1127" s="299" t="s">
        <v>2747</v>
      </c>
      <c r="C1127" s="300" t="s">
        <v>2751</v>
      </c>
      <c r="D1127" s="4">
        <v>23633</v>
      </c>
      <c r="E1127" s="57">
        <v>55000</v>
      </c>
      <c r="F1127" s="1127" t="s">
        <v>2433</v>
      </c>
      <c r="G1127" s="1" t="s">
        <v>45</v>
      </c>
      <c r="H1127" s="1"/>
      <c r="I1127" s="1"/>
      <c r="J1127" s="1"/>
      <c r="K1127" s="1"/>
      <c r="L1127" s="1"/>
      <c r="M1127" s="211" t="s">
        <v>3458</v>
      </c>
    </row>
    <row r="1128" spans="1:13" ht="19.5">
      <c r="A1128" s="1">
        <v>2</v>
      </c>
      <c r="B1128" s="299" t="s">
        <v>2747</v>
      </c>
      <c r="C1128" s="300" t="s">
        <v>2752</v>
      </c>
      <c r="D1128" s="4">
        <v>23633</v>
      </c>
      <c r="E1128" s="57">
        <v>55000</v>
      </c>
      <c r="F1128" s="1127" t="s">
        <v>2433</v>
      </c>
      <c r="G1128" s="1" t="s">
        <v>45</v>
      </c>
      <c r="H1128" s="1"/>
      <c r="I1128" s="1"/>
      <c r="J1128" s="1"/>
      <c r="K1128" s="1"/>
      <c r="L1128" s="1"/>
      <c r="M1128" s="211" t="s">
        <v>3449</v>
      </c>
    </row>
    <row r="1129" spans="1:13" ht="19.5">
      <c r="A1129" s="1">
        <v>3</v>
      </c>
      <c r="B1129" s="299" t="s">
        <v>2747</v>
      </c>
      <c r="C1129" s="300" t="s">
        <v>2753</v>
      </c>
      <c r="D1129" s="4">
        <v>23633</v>
      </c>
      <c r="E1129" s="57">
        <v>55000</v>
      </c>
      <c r="F1129" s="1127" t="s">
        <v>2433</v>
      </c>
      <c r="G1129" s="1" t="s">
        <v>45</v>
      </c>
      <c r="H1129" s="1"/>
      <c r="I1129" s="1"/>
      <c r="J1129" s="1"/>
      <c r="K1129" s="1"/>
      <c r="L1129" s="1"/>
      <c r="M1129" s="211" t="s">
        <v>3500</v>
      </c>
    </row>
    <row r="1130" spans="1:13" ht="19.5">
      <c r="A1130" s="1">
        <v>4</v>
      </c>
      <c r="B1130" s="299" t="s">
        <v>2747</v>
      </c>
      <c r="C1130" s="300" t="s">
        <v>2754</v>
      </c>
      <c r="D1130" s="4">
        <v>23633</v>
      </c>
      <c r="E1130" s="57">
        <v>55000</v>
      </c>
      <c r="F1130" s="1127" t="s">
        <v>2433</v>
      </c>
      <c r="G1130" s="1" t="s">
        <v>45</v>
      </c>
      <c r="H1130" s="1"/>
      <c r="I1130" s="1"/>
      <c r="J1130" s="1"/>
      <c r="K1130" s="1"/>
      <c r="L1130" s="1"/>
      <c r="M1130" s="211" t="s">
        <v>1583</v>
      </c>
    </row>
    <row r="1131" spans="1:13" ht="19.5">
      <c r="A1131" s="1">
        <v>5</v>
      </c>
      <c r="B1131" s="299" t="s">
        <v>2747</v>
      </c>
      <c r="C1131" s="300" t="s">
        <v>2755</v>
      </c>
      <c r="D1131" s="4">
        <v>23633</v>
      </c>
      <c r="E1131" s="57">
        <v>55000</v>
      </c>
      <c r="F1131" s="1127" t="s">
        <v>2433</v>
      </c>
      <c r="G1131" s="1" t="s">
        <v>45</v>
      </c>
      <c r="H1131" s="1"/>
      <c r="I1131" s="1"/>
      <c r="J1131" s="1"/>
      <c r="K1131" s="1"/>
      <c r="L1131" s="1"/>
      <c r="M1131" s="211" t="s">
        <v>3495</v>
      </c>
    </row>
    <row r="1132" spans="1:13" ht="19.5">
      <c r="A1132" s="1">
        <v>6</v>
      </c>
      <c r="B1132" s="299" t="s">
        <v>2747</v>
      </c>
      <c r="C1132" s="300" t="s">
        <v>2756</v>
      </c>
      <c r="D1132" s="4">
        <v>23633</v>
      </c>
      <c r="E1132" s="57">
        <v>55000</v>
      </c>
      <c r="F1132" s="1127" t="s">
        <v>2433</v>
      </c>
      <c r="G1132" s="1" t="s">
        <v>45</v>
      </c>
      <c r="H1132" s="1"/>
      <c r="I1132" s="1"/>
      <c r="J1132" s="1"/>
      <c r="K1132" s="1"/>
      <c r="L1132" s="1"/>
      <c r="M1132" s="211" t="s">
        <v>3479</v>
      </c>
    </row>
    <row r="1133" spans="1:13" ht="19.5">
      <c r="A1133" s="1">
        <v>7</v>
      </c>
      <c r="B1133" s="301" t="s">
        <v>2748</v>
      </c>
      <c r="C1133" s="300" t="s">
        <v>2757</v>
      </c>
      <c r="D1133" s="4">
        <v>23633</v>
      </c>
      <c r="E1133" s="57">
        <v>55000</v>
      </c>
      <c r="F1133" s="1127" t="s">
        <v>2433</v>
      </c>
      <c r="G1133" s="1" t="s">
        <v>45</v>
      </c>
      <c r="H1133" s="1"/>
      <c r="I1133" s="1"/>
      <c r="J1133" s="1"/>
      <c r="K1133" s="1"/>
      <c r="L1133" s="1"/>
      <c r="M1133" s="211" t="s">
        <v>3446</v>
      </c>
    </row>
    <row r="1134" spans="1:13" ht="19.5">
      <c r="A1134" s="1">
        <v>8</v>
      </c>
      <c r="B1134" s="301" t="s">
        <v>2749</v>
      </c>
      <c r="C1134" s="300" t="s">
        <v>2758</v>
      </c>
      <c r="D1134" s="4">
        <v>23633</v>
      </c>
      <c r="E1134" s="57">
        <v>55000</v>
      </c>
      <c r="F1134" s="1127" t="s">
        <v>2433</v>
      </c>
      <c r="G1134" s="1" t="s">
        <v>45</v>
      </c>
      <c r="H1134" s="1"/>
      <c r="I1134" s="1"/>
      <c r="J1134" s="1"/>
      <c r="K1134" s="1"/>
      <c r="L1134" s="1"/>
      <c r="M1134" s="211" t="s">
        <v>3481</v>
      </c>
    </row>
    <row r="1135" spans="1:13" ht="19.5">
      <c r="A1135" s="1">
        <v>9</v>
      </c>
      <c r="B1135" s="301" t="s">
        <v>2750</v>
      </c>
      <c r="C1135" s="300" t="s">
        <v>2759</v>
      </c>
      <c r="D1135" s="4">
        <v>23633</v>
      </c>
      <c r="E1135" s="57">
        <v>55000</v>
      </c>
      <c r="F1135" s="1127" t="s">
        <v>2433</v>
      </c>
      <c r="G1135" s="1" t="s">
        <v>45</v>
      </c>
      <c r="H1135" s="1"/>
      <c r="I1135" s="1"/>
      <c r="J1135" s="1"/>
      <c r="K1135" s="1"/>
      <c r="L1135" s="1"/>
      <c r="M1135" s="211" t="s">
        <v>3512</v>
      </c>
    </row>
    <row r="1136" spans="1:13" s="914" customFormat="1" ht="20.25" thickBot="1">
      <c r="A1136" s="909">
        <v>9</v>
      </c>
      <c r="B1136" s="908"/>
      <c r="C1136" s="909"/>
      <c r="D1136" s="920" t="s">
        <v>64</v>
      </c>
      <c r="E1136" s="911">
        <f>SUM(E1127:E1135)</f>
        <v>495000</v>
      </c>
      <c r="F1136" s="909"/>
      <c r="G1136" s="909"/>
      <c r="H1136" s="909"/>
      <c r="I1136" s="909"/>
      <c r="J1136" s="909"/>
      <c r="K1136" s="909"/>
      <c r="L1136" s="909"/>
      <c r="M1136" s="913"/>
    </row>
    <row r="1137" spans="1:13" ht="20.25" thickTop="1">
      <c r="A1137" s="238"/>
      <c r="B1137" s="212" t="s">
        <v>747</v>
      </c>
      <c r="C1137" s="1"/>
      <c r="D1137" s="1"/>
      <c r="E1137" s="302"/>
      <c r="F1137" s="1"/>
      <c r="G1137" s="1"/>
      <c r="H1137" s="1"/>
      <c r="I1137" s="1"/>
      <c r="J1137" s="1"/>
      <c r="K1137" s="1"/>
      <c r="L1137" s="1"/>
      <c r="M1137" s="211"/>
    </row>
    <row r="1138" spans="1:13" ht="19.5">
      <c r="A1138" s="1">
        <v>1</v>
      </c>
      <c r="B1138" s="2" t="s">
        <v>748</v>
      </c>
      <c r="C1138" s="1" t="s">
        <v>749</v>
      </c>
      <c r="D1138" s="4">
        <v>14771</v>
      </c>
      <c r="E1138" s="57">
        <v>1250</v>
      </c>
      <c r="F1138" s="1127" t="s">
        <v>2433</v>
      </c>
      <c r="G1138" s="1" t="s">
        <v>45</v>
      </c>
      <c r="H1138" s="1"/>
      <c r="I1138" s="1"/>
      <c r="J1138" s="1"/>
      <c r="K1138" s="1"/>
      <c r="L1138" s="1"/>
      <c r="M1138" s="211"/>
    </row>
    <row r="1139" spans="1:13" ht="19.5">
      <c r="A1139" s="1">
        <v>2</v>
      </c>
      <c r="B1139" s="2" t="s">
        <v>748</v>
      </c>
      <c r="C1139" s="1" t="s">
        <v>750</v>
      </c>
      <c r="D1139" s="4">
        <v>14771</v>
      </c>
      <c r="E1139" s="57">
        <v>1250</v>
      </c>
      <c r="F1139" s="1127" t="s">
        <v>2433</v>
      </c>
      <c r="G1139" s="1" t="s">
        <v>45</v>
      </c>
      <c r="H1139" s="1"/>
      <c r="I1139" s="1"/>
      <c r="J1139" s="1"/>
      <c r="K1139" s="1"/>
      <c r="L1139" s="1"/>
      <c r="M1139" s="211"/>
    </row>
    <row r="1140" spans="1:13" ht="19.5">
      <c r="A1140" s="1">
        <v>3</v>
      </c>
      <c r="B1140" s="2" t="s">
        <v>748</v>
      </c>
      <c r="C1140" s="1" t="s">
        <v>751</v>
      </c>
      <c r="D1140" s="4">
        <v>14771</v>
      </c>
      <c r="E1140" s="57">
        <v>1250</v>
      </c>
      <c r="F1140" s="1127" t="s">
        <v>2433</v>
      </c>
      <c r="G1140" s="1" t="s">
        <v>45</v>
      </c>
      <c r="H1140" s="1"/>
      <c r="I1140" s="1"/>
      <c r="J1140" s="1"/>
      <c r="K1140" s="1"/>
      <c r="L1140" s="1"/>
      <c r="M1140" s="211"/>
    </row>
    <row r="1141" spans="1:13" ht="19.5">
      <c r="A1141" s="1">
        <v>4</v>
      </c>
      <c r="B1141" s="2" t="s">
        <v>748</v>
      </c>
      <c r="C1141" s="1" t="s">
        <v>752</v>
      </c>
      <c r="D1141" s="4">
        <v>14771</v>
      </c>
      <c r="E1141" s="57">
        <v>1250</v>
      </c>
      <c r="F1141" s="1127" t="s">
        <v>2433</v>
      </c>
      <c r="G1141" s="1" t="s">
        <v>45</v>
      </c>
      <c r="H1141" s="1"/>
      <c r="I1141" s="1"/>
      <c r="J1141" s="1"/>
      <c r="K1141" s="1"/>
      <c r="L1141" s="1"/>
      <c r="M1141" s="211"/>
    </row>
    <row r="1142" spans="1:13" ht="19.5">
      <c r="A1142" s="1">
        <v>5</v>
      </c>
      <c r="B1142" s="2" t="s">
        <v>748</v>
      </c>
      <c r="C1142" s="1" t="s">
        <v>753</v>
      </c>
      <c r="D1142" s="4">
        <v>14771</v>
      </c>
      <c r="E1142" s="57">
        <v>1250</v>
      </c>
      <c r="F1142" s="1127" t="s">
        <v>2433</v>
      </c>
      <c r="G1142" s="1" t="s">
        <v>45</v>
      </c>
      <c r="H1142" s="1"/>
      <c r="I1142" s="1"/>
      <c r="J1142" s="1"/>
      <c r="K1142" s="1"/>
      <c r="L1142" s="1"/>
      <c r="M1142" s="211"/>
    </row>
    <row r="1143" spans="1:13" ht="19.5">
      <c r="A1143" s="1">
        <v>6</v>
      </c>
      <c r="B1143" s="2" t="s">
        <v>748</v>
      </c>
      <c r="C1143" s="1" t="s">
        <v>754</v>
      </c>
      <c r="D1143" s="4">
        <v>14771</v>
      </c>
      <c r="E1143" s="57">
        <v>1250</v>
      </c>
      <c r="F1143" s="1127" t="s">
        <v>2433</v>
      </c>
      <c r="G1143" s="1" t="s">
        <v>45</v>
      </c>
      <c r="H1143" s="1"/>
      <c r="I1143" s="1"/>
      <c r="J1143" s="1"/>
      <c r="K1143" s="1"/>
      <c r="L1143" s="1"/>
      <c r="M1143" s="211"/>
    </row>
    <row r="1144" spans="1:13" ht="19.5">
      <c r="A1144" s="1">
        <v>7</v>
      </c>
      <c r="B1144" s="2" t="s">
        <v>748</v>
      </c>
      <c r="C1144" s="1" t="s">
        <v>755</v>
      </c>
      <c r="D1144" s="4">
        <v>14771</v>
      </c>
      <c r="E1144" s="57">
        <v>1250</v>
      </c>
      <c r="F1144" s="1127" t="s">
        <v>2433</v>
      </c>
      <c r="G1144" s="1" t="s">
        <v>45</v>
      </c>
      <c r="H1144" s="1"/>
      <c r="I1144" s="1"/>
      <c r="J1144" s="1"/>
      <c r="K1144" s="1"/>
      <c r="L1144" s="1"/>
      <c r="M1144" s="211"/>
    </row>
    <row r="1145" spans="1:13" ht="19.5">
      <c r="A1145" s="1">
        <v>8</v>
      </c>
      <c r="B1145" s="2" t="s">
        <v>748</v>
      </c>
      <c r="C1145" s="1" t="s">
        <v>756</v>
      </c>
      <c r="D1145" s="4">
        <v>14771</v>
      </c>
      <c r="E1145" s="57">
        <v>1250</v>
      </c>
      <c r="F1145" s="1127" t="s">
        <v>2433</v>
      </c>
      <c r="G1145" s="1" t="s">
        <v>45</v>
      </c>
      <c r="H1145" s="1"/>
      <c r="I1145" s="1"/>
      <c r="J1145" s="1"/>
      <c r="K1145" s="1"/>
      <c r="L1145" s="1"/>
      <c r="M1145" s="211"/>
    </row>
    <row r="1146" spans="1:13" ht="19.5">
      <c r="A1146" s="1">
        <v>9</v>
      </c>
      <c r="B1146" s="2" t="s">
        <v>748</v>
      </c>
      <c r="C1146" s="1" t="s">
        <v>757</v>
      </c>
      <c r="D1146" s="4">
        <v>14771</v>
      </c>
      <c r="E1146" s="57">
        <v>1250</v>
      </c>
      <c r="F1146" s="1127" t="s">
        <v>2433</v>
      </c>
      <c r="G1146" s="1" t="s">
        <v>45</v>
      </c>
      <c r="H1146" s="1"/>
      <c r="I1146" s="1"/>
      <c r="J1146" s="1"/>
      <c r="K1146" s="1"/>
      <c r="L1146" s="1"/>
      <c r="M1146" s="211"/>
    </row>
    <row r="1147" spans="1:13" ht="19.5">
      <c r="A1147" s="1">
        <v>10</v>
      </c>
      <c r="B1147" s="2" t="s">
        <v>748</v>
      </c>
      <c r="C1147" s="1" t="s">
        <v>758</v>
      </c>
      <c r="D1147" s="4">
        <v>14771</v>
      </c>
      <c r="E1147" s="57">
        <v>1750</v>
      </c>
      <c r="F1147" s="1127" t="s">
        <v>2433</v>
      </c>
      <c r="G1147" s="1" t="s">
        <v>45</v>
      </c>
      <c r="H1147" s="1"/>
      <c r="I1147" s="1"/>
      <c r="J1147" s="1"/>
      <c r="K1147" s="1"/>
      <c r="L1147" s="1"/>
      <c r="M1147" s="211"/>
    </row>
    <row r="1148" spans="1:13" ht="19.5">
      <c r="A1148" s="1">
        <v>11</v>
      </c>
      <c r="B1148" s="2" t="s">
        <v>748</v>
      </c>
      <c r="C1148" s="1" t="s">
        <v>759</v>
      </c>
      <c r="D1148" s="4">
        <v>14771</v>
      </c>
      <c r="E1148" s="57">
        <v>1750</v>
      </c>
      <c r="F1148" s="1127" t="s">
        <v>2433</v>
      </c>
      <c r="G1148" s="1" t="s">
        <v>45</v>
      </c>
      <c r="H1148" s="1"/>
      <c r="I1148" s="1"/>
      <c r="J1148" s="1"/>
      <c r="K1148" s="1"/>
      <c r="L1148" s="1"/>
      <c r="M1148" s="211"/>
    </row>
    <row r="1149" spans="1:13" ht="19.5">
      <c r="A1149" s="1">
        <v>12</v>
      </c>
      <c r="B1149" s="2" t="s">
        <v>748</v>
      </c>
      <c r="C1149" s="1" t="s">
        <v>760</v>
      </c>
      <c r="D1149" s="4">
        <v>14771</v>
      </c>
      <c r="E1149" s="57">
        <v>1750</v>
      </c>
      <c r="F1149" s="1127" t="s">
        <v>2433</v>
      </c>
      <c r="G1149" s="1" t="s">
        <v>45</v>
      </c>
      <c r="H1149" s="1"/>
      <c r="I1149" s="1"/>
      <c r="J1149" s="1"/>
      <c r="K1149" s="1"/>
      <c r="L1149" s="1"/>
      <c r="M1149" s="211"/>
    </row>
    <row r="1150" spans="1:13" ht="19.5">
      <c r="A1150" s="1">
        <v>13</v>
      </c>
      <c r="B1150" s="2" t="s">
        <v>748</v>
      </c>
      <c r="C1150" s="1" t="s">
        <v>761</v>
      </c>
      <c r="D1150" s="4">
        <v>14771</v>
      </c>
      <c r="E1150" s="57">
        <v>1750</v>
      </c>
      <c r="F1150" s="1127" t="s">
        <v>2433</v>
      </c>
      <c r="G1150" s="1" t="s">
        <v>45</v>
      </c>
      <c r="H1150" s="1"/>
      <c r="I1150" s="1"/>
      <c r="J1150" s="1"/>
      <c r="K1150" s="1"/>
      <c r="L1150" s="1"/>
      <c r="M1150" s="211"/>
    </row>
    <row r="1151" spans="1:13" ht="19.5">
      <c r="A1151" s="1">
        <v>14</v>
      </c>
      <c r="B1151" s="2" t="s">
        <v>762</v>
      </c>
      <c r="C1151" s="1" t="s">
        <v>763</v>
      </c>
      <c r="D1151" s="4">
        <v>14771</v>
      </c>
      <c r="E1151" s="57">
        <v>1750</v>
      </c>
      <c r="F1151" s="1127" t="s">
        <v>2433</v>
      </c>
      <c r="G1151" s="1" t="s">
        <v>45</v>
      </c>
      <c r="H1151" s="1"/>
      <c r="I1151" s="1"/>
      <c r="J1151" s="1"/>
      <c r="K1151" s="1"/>
      <c r="L1151" s="1"/>
      <c r="M1151" s="211"/>
    </row>
    <row r="1152" spans="1:13" ht="19.5">
      <c r="A1152" s="1">
        <v>15</v>
      </c>
      <c r="B1152" s="2" t="s">
        <v>762</v>
      </c>
      <c r="C1152" s="1" t="s">
        <v>764</v>
      </c>
      <c r="D1152" s="4">
        <v>14771</v>
      </c>
      <c r="E1152" s="57">
        <v>1750</v>
      </c>
      <c r="F1152" s="1127" t="s">
        <v>2433</v>
      </c>
      <c r="G1152" s="1" t="s">
        <v>45</v>
      </c>
      <c r="H1152" s="1"/>
      <c r="I1152" s="1"/>
      <c r="J1152" s="1"/>
      <c r="K1152" s="1"/>
      <c r="L1152" s="1"/>
      <c r="M1152" s="211"/>
    </row>
    <row r="1153" spans="1:13" ht="19.5">
      <c r="A1153" s="1">
        <v>16</v>
      </c>
      <c r="B1153" s="2" t="s">
        <v>762</v>
      </c>
      <c r="C1153" s="1" t="s">
        <v>765</v>
      </c>
      <c r="D1153" s="4">
        <v>14771</v>
      </c>
      <c r="E1153" s="57">
        <v>1750</v>
      </c>
      <c r="F1153" s="1127" t="s">
        <v>2433</v>
      </c>
      <c r="G1153" s="1" t="s">
        <v>45</v>
      </c>
      <c r="H1153" s="1"/>
      <c r="I1153" s="1"/>
      <c r="J1153" s="1"/>
      <c r="K1153" s="1"/>
      <c r="L1153" s="1"/>
      <c r="M1153" s="211"/>
    </row>
    <row r="1154" spans="1:13" ht="19.5">
      <c r="A1154" s="1">
        <v>17</v>
      </c>
      <c r="B1154" s="2" t="s">
        <v>762</v>
      </c>
      <c r="C1154" s="1" t="s">
        <v>766</v>
      </c>
      <c r="D1154" s="4">
        <v>14771</v>
      </c>
      <c r="E1154" s="57">
        <v>1750</v>
      </c>
      <c r="F1154" s="1127" t="s">
        <v>2433</v>
      </c>
      <c r="G1154" s="1" t="s">
        <v>45</v>
      </c>
      <c r="H1154" s="1"/>
      <c r="I1154" s="1"/>
      <c r="J1154" s="1"/>
      <c r="K1154" s="1"/>
      <c r="L1154" s="1"/>
      <c r="M1154" s="211"/>
    </row>
    <row r="1155" spans="1:13" ht="19.5">
      <c r="A1155" s="1">
        <v>18</v>
      </c>
      <c r="B1155" s="2" t="s">
        <v>767</v>
      </c>
      <c r="C1155" s="1" t="s">
        <v>768</v>
      </c>
      <c r="D1155" s="4">
        <v>15230</v>
      </c>
      <c r="E1155" s="57">
        <v>2000</v>
      </c>
      <c r="F1155" s="1127" t="s">
        <v>2433</v>
      </c>
      <c r="G1155" s="1" t="s">
        <v>45</v>
      </c>
      <c r="H1155" s="1"/>
      <c r="I1155" s="1"/>
      <c r="J1155" s="1"/>
      <c r="K1155" s="1"/>
      <c r="L1155" s="1"/>
      <c r="M1155" s="211"/>
    </row>
    <row r="1156" spans="1:13" ht="19.5">
      <c r="A1156" s="1">
        <v>19</v>
      </c>
      <c r="B1156" s="2" t="s">
        <v>767</v>
      </c>
      <c r="C1156" s="1" t="s">
        <v>769</v>
      </c>
      <c r="D1156" s="4">
        <v>15230</v>
      </c>
      <c r="E1156" s="57">
        <v>2000</v>
      </c>
      <c r="F1156" s="1127" t="s">
        <v>2433</v>
      </c>
      <c r="G1156" s="1" t="s">
        <v>45</v>
      </c>
      <c r="H1156" s="1"/>
      <c r="I1156" s="1"/>
      <c r="J1156" s="1"/>
      <c r="K1156" s="1"/>
      <c r="L1156" s="1"/>
      <c r="M1156" s="211"/>
    </row>
    <row r="1157" spans="1:13" ht="19.5">
      <c r="A1157" s="1">
        <v>20</v>
      </c>
      <c r="B1157" s="2" t="s">
        <v>767</v>
      </c>
      <c r="C1157" s="1" t="s">
        <v>770</v>
      </c>
      <c r="D1157" s="4">
        <v>15230</v>
      </c>
      <c r="E1157" s="57">
        <v>2000</v>
      </c>
      <c r="F1157" s="1127" t="s">
        <v>2433</v>
      </c>
      <c r="G1157" s="1" t="s">
        <v>45</v>
      </c>
      <c r="H1157" s="1"/>
      <c r="I1157" s="1"/>
      <c r="J1157" s="1"/>
      <c r="K1157" s="1"/>
      <c r="L1157" s="1"/>
      <c r="M1157" s="211"/>
    </row>
    <row r="1158" spans="1:13" ht="19.5">
      <c r="A1158" s="1">
        <v>21</v>
      </c>
      <c r="B1158" s="2" t="s">
        <v>767</v>
      </c>
      <c r="C1158" s="1" t="s">
        <v>771</v>
      </c>
      <c r="D1158" s="4">
        <v>15230</v>
      </c>
      <c r="E1158" s="57">
        <v>2000</v>
      </c>
      <c r="F1158" s="1127" t="s">
        <v>2433</v>
      </c>
      <c r="G1158" s="1" t="s">
        <v>45</v>
      </c>
      <c r="H1158" s="1"/>
      <c r="I1158" s="1"/>
      <c r="J1158" s="1"/>
      <c r="K1158" s="1"/>
      <c r="L1158" s="1"/>
      <c r="M1158" s="211"/>
    </row>
    <row r="1159" spans="1:13" ht="19.5">
      <c r="A1159" s="1">
        <v>22</v>
      </c>
      <c r="B1159" s="2" t="s">
        <v>772</v>
      </c>
      <c r="C1159" s="1" t="s">
        <v>773</v>
      </c>
      <c r="D1159" s="4">
        <v>15527</v>
      </c>
      <c r="E1159" s="57">
        <v>6000</v>
      </c>
      <c r="F1159" s="1127" t="s">
        <v>2433</v>
      </c>
      <c r="G1159" s="1" t="s">
        <v>45</v>
      </c>
      <c r="H1159" s="1"/>
      <c r="I1159" s="1"/>
      <c r="J1159" s="1"/>
      <c r="K1159" s="1"/>
      <c r="L1159" s="1"/>
      <c r="M1159" s="211"/>
    </row>
    <row r="1160" spans="1:13" ht="19.5">
      <c r="A1160" s="1">
        <v>23</v>
      </c>
      <c r="B1160" s="2" t="s">
        <v>772</v>
      </c>
      <c r="C1160" s="1" t="s">
        <v>774</v>
      </c>
      <c r="D1160" s="4">
        <v>15527</v>
      </c>
      <c r="E1160" s="57">
        <v>6000</v>
      </c>
      <c r="F1160" s="1127" t="s">
        <v>2433</v>
      </c>
      <c r="G1160" s="1" t="s">
        <v>45</v>
      </c>
      <c r="H1160" s="1"/>
      <c r="I1160" s="1"/>
      <c r="J1160" s="1"/>
      <c r="K1160" s="1"/>
      <c r="L1160" s="1"/>
      <c r="M1160" s="211"/>
    </row>
    <row r="1161" spans="1:13" ht="19.5">
      <c r="A1161" s="1">
        <v>24</v>
      </c>
      <c r="B1161" s="2" t="s">
        <v>772</v>
      </c>
      <c r="C1161" s="1" t="s">
        <v>775</v>
      </c>
      <c r="D1161" s="4">
        <v>15527</v>
      </c>
      <c r="E1161" s="57">
        <v>6000</v>
      </c>
      <c r="F1161" s="1127" t="s">
        <v>2433</v>
      </c>
      <c r="G1161" s="1" t="s">
        <v>45</v>
      </c>
      <c r="H1161" s="1"/>
      <c r="I1161" s="1"/>
      <c r="J1161" s="1"/>
      <c r="K1161" s="1"/>
      <c r="L1161" s="1"/>
      <c r="M1161" s="211"/>
    </row>
    <row r="1162" spans="1:13" ht="19.5">
      <c r="A1162" s="1">
        <v>25</v>
      </c>
      <c r="B1162" s="2" t="s">
        <v>772</v>
      </c>
      <c r="C1162" s="1" t="s">
        <v>776</v>
      </c>
      <c r="D1162" s="4">
        <v>15527</v>
      </c>
      <c r="E1162" s="57">
        <v>6000</v>
      </c>
      <c r="F1162" s="1127" t="s">
        <v>2433</v>
      </c>
      <c r="G1162" s="1" t="s">
        <v>45</v>
      </c>
      <c r="H1162" s="1"/>
      <c r="I1162" s="1"/>
      <c r="J1162" s="1"/>
      <c r="K1162" s="1"/>
      <c r="L1162" s="1"/>
      <c r="M1162" s="211"/>
    </row>
    <row r="1163" spans="1:13" ht="19.5">
      <c r="A1163" s="1">
        <v>26</v>
      </c>
      <c r="B1163" s="2" t="s">
        <v>772</v>
      </c>
      <c r="C1163" s="1" t="s">
        <v>777</v>
      </c>
      <c r="D1163" s="4">
        <v>15527</v>
      </c>
      <c r="E1163" s="57">
        <v>6000</v>
      </c>
      <c r="F1163" s="1127" t="s">
        <v>2433</v>
      </c>
      <c r="G1163" s="1" t="s">
        <v>45</v>
      </c>
      <c r="H1163" s="1"/>
      <c r="I1163" s="1"/>
      <c r="J1163" s="1"/>
      <c r="K1163" s="1"/>
      <c r="L1163" s="1"/>
      <c r="M1163" s="211"/>
    </row>
    <row r="1164" spans="1:13" ht="19.5">
      <c r="A1164" s="1">
        <v>27</v>
      </c>
      <c r="B1164" s="2" t="s">
        <v>772</v>
      </c>
      <c r="C1164" s="1" t="s">
        <v>778</v>
      </c>
      <c r="D1164" s="4">
        <v>15527</v>
      </c>
      <c r="E1164" s="57">
        <v>6000</v>
      </c>
      <c r="F1164" s="1127" t="s">
        <v>2433</v>
      </c>
      <c r="G1164" s="1" t="s">
        <v>45</v>
      </c>
      <c r="H1164" s="1"/>
      <c r="I1164" s="1"/>
      <c r="J1164" s="1"/>
      <c r="K1164" s="1"/>
      <c r="L1164" s="1"/>
      <c r="M1164" s="211"/>
    </row>
    <row r="1165" spans="1:13" ht="19.5">
      <c r="A1165" s="1">
        <v>28</v>
      </c>
      <c r="B1165" s="2" t="s">
        <v>772</v>
      </c>
      <c r="C1165" s="1" t="s">
        <v>779</v>
      </c>
      <c r="D1165" s="4">
        <v>15527</v>
      </c>
      <c r="E1165" s="57">
        <v>6000</v>
      </c>
      <c r="F1165" s="1127" t="s">
        <v>2433</v>
      </c>
      <c r="G1165" s="1" t="s">
        <v>45</v>
      </c>
      <c r="H1165" s="1"/>
      <c r="I1165" s="1"/>
      <c r="J1165" s="1"/>
      <c r="K1165" s="1"/>
      <c r="L1165" s="1"/>
      <c r="M1165" s="211"/>
    </row>
    <row r="1166" spans="1:13" ht="19.5">
      <c r="A1166" s="1">
        <v>29</v>
      </c>
      <c r="B1166" s="2" t="s">
        <v>772</v>
      </c>
      <c r="C1166" s="1" t="s">
        <v>780</v>
      </c>
      <c r="D1166" s="4">
        <v>15527</v>
      </c>
      <c r="E1166" s="57">
        <v>6000</v>
      </c>
      <c r="F1166" s="1127" t="s">
        <v>2433</v>
      </c>
      <c r="G1166" s="1" t="s">
        <v>45</v>
      </c>
      <c r="H1166" s="1"/>
      <c r="I1166" s="1"/>
      <c r="J1166" s="1"/>
      <c r="K1166" s="1"/>
      <c r="L1166" s="1"/>
      <c r="M1166" s="211"/>
    </row>
    <row r="1167" spans="1:13" ht="19.5">
      <c r="A1167" s="1">
        <v>30</v>
      </c>
      <c r="B1167" s="2" t="s">
        <v>772</v>
      </c>
      <c r="C1167" s="1" t="s">
        <v>781</v>
      </c>
      <c r="D1167" s="4">
        <v>15527</v>
      </c>
      <c r="E1167" s="57">
        <v>6000</v>
      </c>
      <c r="F1167" s="1127" t="s">
        <v>2433</v>
      </c>
      <c r="G1167" s="1" t="s">
        <v>45</v>
      </c>
      <c r="H1167" s="1"/>
      <c r="I1167" s="1"/>
      <c r="J1167" s="1"/>
      <c r="K1167" s="1"/>
      <c r="L1167" s="1"/>
      <c r="M1167" s="211"/>
    </row>
    <row r="1168" spans="1:13" ht="19.5">
      <c r="A1168" s="1">
        <v>31</v>
      </c>
      <c r="B1168" s="2" t="s">
        <v>772</v>
      </c>
      <c r="C1168" s="1" t="s">
        <v>782</v>
      </c>
      <c r="D1168" s="4">
        <v>15527</v>
      </c>
      <c r="E1168" s="57">
        <v>6000</v>
      </c>
      <c r="F1168" s="1127" t="s">
        <v>2433</v>
      </c>
      <c r="G1168" s="1" t="s">
        <v>45</v>
      </c>
      <c r="H1168" s="1"/>
      <c r="I1168" s="1"/>
      <c r="J1168" s="1"/>
      <c r="K1168" s="1"/>
      <c r="L1168" s="1"/>
      <c r="M1168" s="211"/>
    </row>
    <row r="1169" spans="1:13" ht="19.5">
      <c r="A1169" s="1">
        <v>32</v>
      </c>
      <c r="B1169" s="2" t="s">
        <v>772</v>
      </c>
      <c r="C1169" s="1" t="s">
        <v>783</v>
      </c>
      <c r="D1169" s="4">
        <v>15527</v>
      </c>
      <c r="E1169" s="57">
        <v>6000</v>
      </c>
      <c r="F1169" s="1127" t="s">
        <v>2433</v>
      </c>
      <c r="G1169" s="1" t="s">
        <v>45</v>
      </c>
      <c r="H1169" s="1"/>
      <c r="I1169" s="1"/>
      <c r="J1169" s="1"/>
      <c r="K1169" s="1"/>
      <c r="L1169" s="1"/>
      <c r="M1169" s="211"/>
    </row>
    <row r="1170" spans="1:13" ht="19.5">
      <c r="A1170" s="1">
        <v>33</v>
      </c>
      <c r="B1170" s="2" t="s">
        <v>772</v>
      </c>
      <c r="C1170" s="1" t="s">
        <v>784</v>
      </c>
      <c r="D1170" s="4">
        <v>15527</v>
      </c>
      <c r="E1170" s="57">
        <v>6000</v>
      </c>
      <c r="F1170" s="1127" t="s">
        <v>2433</v>
      </c>
      <c r="G1170" s="1" t="s">
        <v>45</v>
      </c>
      <c r="H1170" s="1"/>
      <c r="I1170" s="1"/>
      <c r="J1170" s="1"/>
      <c r="K1170" s="1"/>
      <c r="L1170" s="1"/>
      <c r="M1170" s="211"/>
    </row>
    <row r="1171" spans="1:13" ht="19.5">
      <c r="A1171" s="1">
        <v>34</v>
      </c>
      <c r="B1171" s="2" t="s">
        <v>772</v>
      </c>
      <c r="C1171" s="1" t="s">
        <v>785</v>
      </c>
      <c r="D1171" s="4">
        <v>15527</v>
      </c>
      <c r="E1171" s="57">
        <v>6000</v>
      </c>
      <c r="F1171" s="1127" t="s">
        <v>2433</v>
      </c>
      <c r="G1171" s="1" t="s">
        <v>45</v>
      </c>
      <c r="H1171" s="1"/>
      <c r="I1171" s="1"/>
      <c r="J1171" s="1"/>
      <c r="K1171" s="1"/>
      <c r="L1171" s="1"/>
      <c r="M1171" s="211"/>
    </row>
    <row r="1172" spans="1:13" ht="19.5">
      <c r="A1172" s="1">
        <v>35</v>
      </c>
      <c r="B1172" s="2" t="s">
        <v>772</v>
      </c>
      <c r="C1172" s="1" t="s">
        <v>786</v>
      </c>
      <c r="D1172" s="4">
        <v>15527</v>
      </c>
      <c r="E1172" s="57">
        <v>6000</v>
      </c>
      <c r="F1172" s="1127" t="s">
        <v>2433</v>
      </c>
      <c r="G1172" s="1" t="s">
        <v>45</v>
      </c>
      <c r="H1172" s="1"/>
      <c r="I1172" s="1"/>
      <c r="J1172" s="1"/>
      <c r="K1172" s="1"/>
      <c r="L1172" s="1"/>
      <c r="M1172" s="211"/>
    </row>
    <row r="1173" spans="1:13" ht="19.5">
      <c r="A1173" s="1">
        <v>36</v>
      </c>
      <c r="B1173" s="2" t="s">
        <v>788</v>
      </c>
      <c r="C1173" s="1" t="s">
        <v>789</v>
      </c>
      <c r="D1173" s="4">
        <v>16108</v>
      </c>
      <c r="E1173" s="57">
        <v>1300</v>
      </c>
      <c r="F1173" s="1127" t="s">
        <v>2433</v>
      </c>
      <c r="G1173" s="1" t="s">
        <v>45</v>
      </c>
      <c r="H1173" s="1"/>
      <c r="I1173" s="1"/>
      <c r="J1173" s="1"/>
      <c r="K1173" s="1"/>
      <c r="L1173" s="1"/>
      <c r="M1173" s="211" t="s">
        <v>3495</v>
      </c>
    </row>
    <row r="1174" spans="1:13" ht="19.5">
      <c r="A1174" s="1">
        <v>37</v>
      </c>
      <c r="B1174" s="2" t="s">
        <v>788</v>
      </c>
      <c r="C1174" s="1" t="s">
        <v>790</v>
      </c>
      <c r="D1174" s="4">
        <v>16108</v>
      </c>
      <c r="E1174" s="57">
        <v>1300</v>
      </c>
      <c r="F1174" s="1127" t="s">
        <v>2433</v>
      </c>
      <c r="G1174" s="1" t="s">
        <v>45</v>
      </c>
      <c r="H1174" s="1"/>
      <c r="I1174" s="1"/>
      <c r="J1174" s="1"/>
      <c r="K1174" s="1"/>
      <c r="L1174" s="1"/>
      <c r="M1174" s="211"/>
    </row>
    <row r="1175" spans="1:13" ht="19.5">
      <c r="A1175" s="1">
        <v>38</v>
      </c>
      <c r="B1175" s="2" t="s">
        <v>787</v>
      </c>
      <c r="C1175" s="1" t="s">
        <v>791</v>
      </c>
      <c r="D1175" s="4">
        <v>17774</v>
      </c>
      <c r="E1175" s="1083">
        <v>1600</v>
      </c>
      <c r="F1175" s="939" t="s">
        <v>1508</v>
      </c>
      <c r="G1175" s="1" t="s">
        <v>45</v>
      </c>
      <c r="I1175" s="1"/>
      <c r="J1175" s="1"/>
      <c r="K1175" s="1"/>
      <c r="L1175" s="1"/>
      <c r="M1175" s="211" t="s">
        <v>3511</v>
      </c>
    </row>
    <row r="1176" spans="1:13" ht="19.5">
      <c r="A1176" s="1">
        <v>39</v>
      </c>
      <c r="B1176" s="2" t="s">
        <v>2328</v>
      </c>
      <c r="C1176" s="1" t="s">
        <v>2327</v>
      </c>
      <c r="D1176" s="4">
        <v>17774</v>
      </c>
      <c r="E1176" s="1083">
        <v>1600</v>
      </c>
      <c r="F1176" s="939" t="s">
        <v>1508</v>
      </c>
      <c r="G1176" s="1" t="s">
        <v>45</v>
      </c>
      <c r="I1176" s="1"/>
      <c r="J1176" s="1"/>
      <c r="K1176" s="1"/>
      <c r="L1176" s="1"/>
      <c r="M1176" s="211" t="s">
        <v>3513</v>
      </c>
    </row>
    <row r="1177" spans="1:13" ht="19.5">
      <c r="A1177" s="1">
        <v>40</v>
      </c>
      <c r="B1177" s="2" t="s">
        <v>788</v>
      </c>
      <c r="C1177" s="1" t="s">
        <v>792</v>
      </c>
      <c r="D1177" s="4">
        <v>17791</v>
      </c>
      <c r="E1177" s="57">
        <v>1100</v>
      </c>
      <c r="F1177" s="1127" t="s">
        <v>2422</v>
      </c>
      <c r="G1177" s="1" t="s">
        <v>45</v>
      </c>
      <c r="H1177" s="1"/>
      <c r="I1177" s="1"/>
      <c r="J1177" s="1"/>
      <c r="K1177" s="1"/>
      <c r="L1177" s="1"/>
      <c r="M1177" s="211"/>
    </row>
    <row r="1178" spans="1:13" ht="19.5">
      <c r="A1178" s="1">
        <v>41</v>
      </c>
      <c r="B1178" s="2" t="s">
        <v>793</v>
      </c>
      <c r="C1178" s="1" t="s">
        <v>794</v>
      </c>
      <c r="D1178" s="4">
        <v>18203</v>
      </c>
      <c r="E1178" s="57">
        <v>1300</v>
      </c>
      <c r="F1178" s="1127" t="s">
        <v>2433</v>
      </c>
      <c r="G1178" s="1" t="s">
        <v>45</v>
      </c>
      <c r="H1178" s="1"/>
      <c r="I1178" s="1"/>
      <c r="J1178" s="1"/>
      <c r="K1178" s="1"/>
      <c r="L1178" s="1"/>
      <c r="M1178" s="211"/>
    </row>
    <row r="1179" spans="1:13" ht="20.100000000000001" customHeight="1">
      <c r="A1179" s="1">
        <v>42</v>
      </c>
      <c r="B1179" s="2" t="s">
        <v>788</v>
      </c>
      <c r="C1179" s="1" t="s">
        <v>795</v>
      </c>
      <c r="D1179" s="4">
        <v>19163</v>
      </c>
      <c r="E1179" s="57">
        <v>1650</v>
      </c>
      <c r="F1179" s="1127" t="s">
        <v>2433</v>
      </c>
      <c r="G1179" s="1" t="s">
        <v>45</v>
      </c>
      <c r="H1179" s="1"/>
      <c r="I1179" s="1"/>
      <c r="J1179" s="1"/>
      <c r="K1179" s="1"/>
      <c r="L1179" s="1"/>
      <c r="M1179" s="211"/>
    </row>
    <row r="1180" spans="1:13" ht="20.100000000000001" customHeight="1">
      <c r="A1180" s="1">
        <v>43</v>
      </c>
      <c r="B1180" s="2" t="s">
        <v>788</v>
      </c>
      <c r="C1180" s="1" t="s">
        <v>796</v>
      </c>
      <c r="D1180" s="4">
        <v>19163</v>
      </c>
      <c r="E1180" s="57">
        <v>1650</v>
      </c>
      <c r="F1180" s="1127" t="s">
        <v>2433</v>
      </c>
      <c r="G1180" s="1" t="s">
        <v>45</v>
      </c>
      <c r="H1180" s="1"/>
      <c r="I1180" s="1"/>
      <c r="J1180" s="1"/>
      <c r="K1180" s="1"/>
      <c r="L1180" s="1"/>
      <c r="M1180" s="211"/>
    </row>
    <row r="1181" spans="1:13" ht="20.100000000000001" customHeight="1">
      <c r="A1181" s="1">
        <v>44</v>
      </c>
      <c r="B1181" s="2" t="s">
        <v>788</v>
      </c>
      <c r="C1181" s="1" t="s">
        <v>797</v>
      </c>
      <c r="D1181" s="4">
        <v>19163</v>
      </c>
      <c r="E1181" s="57">
        <v>1650</v>
      </c>
      <c r="F1181" s="1127" t="s">
        <v>2433</v>
      </c>
      <c r="G1181" s="1" t="s">
        <v>45</v>
      </c>
      <c r="H1181" s="1"/>
      <c r="I1181" s="1"/>
      <c r="J1181" s="1"/>
      <c r="K1181" s="1"/>
      <c r="L1181" s="1"/>
      <c r="M1181" s="211"/>
    </row>
    <row r="1182" spans="1:13" ht="20.100000000000001" customHeight="1">
      <c r="A1182" s="1">
        <v>45</v>
      </c>
      <c r="B1182" s="2" t="s">
        <v>788</v>
      </c>
      <c r="C1182" s="1" t="s">
        <v>798</v>
      </c>
      <c r="D1182" s="4">
        <v>19163</v>
      </c>
      <c r="E1182" s="57">
        <v>1650</v>
      </c>
      <c r="F1182" s="1127" t="s">
        <v>2433</v>
      </c>
      <c r="G1182" s="1" t="s">
        <v>45</v>
      </c>
      <c r="H1182" s="1"/>
      <c r="I1182" s="1"/>
      <c r="J1182" s="1"/>
      <c r="K1182" s="1"/>
      <c r="L1182" s="1"/>
      <c r="M1182" s="211"/>
    </row>
    <row r="1183" spans="1:13" ht="20.100000000000001" customHeight="1">
      <c r="A1183" s="1">
        <v>46</v>
      </c>
      <c r="B1183" s="511" t="s">
        <v>793</v>
      </c>
      <c r="C1183" s="223" t="s">
        <v>2347</v>
      </c>
      <c r="D1183" s="270">
        <v>19737</v>
      </c>
      <c r="E1183" s="1105">
        <v>1200</v>
      </c>
      <c r="F1183" s="1184" t="s">
        <v>2433</v>
      </c>
      <c r="G1183" s="223" t="s">
        <v>45</v>
      </c>
      <c r="H1183" s="223"/>
      <c r="I1183" s="223"/>
      <c r="J1183" s="223"/>
      <c r="K1183" s="223"/>
      <c r="L1183" s="223"/>
      <c r="M1183" s="289" t="s">
        <v>3523</v>
      </c>
    </row>
    <row r="1184" spans="1:13" ht="20.100000000000001" customHeight="1">
      <c r="A1184" s="1">
        <v>47</v>
      </c>
      <c r="B1184" s="511" t="s">
        <v>793</v>
      </c>
      <c r="C1184" s="223" t="s">
        <v>801</v>
      </c>
      <c r="D1184" s="270">
        <v>19737</v>
      </c>
      <c r="E1184" s="1105">
        <v>1200</v>
      </c>
      <c r="F1184" s="1184" t="s">
        <v>2433</v>
      </c>
      <c r="G1184" s="223" t="s">
        <v>45</v>
      </c>
      <c r="H1184" s="223"/>
      <c r="I1184" s="223"/>
      <c r="J1184" s="223"/>
      <c r="K1184" s="223"/>
      <c r="L1184" s="223"/>
      <c r="M1184" s="289" t="s">
        <v>3523</v>
      </c>
    </row>
    <row r="1185" spans="1:13" ht="20.100000000000001" customHeight="1">
      <c r="A1185" s="1">
        <v>48</v>
      </c>
      <c r="B1185" s="2" t="s">
        <v>793</v>
      </c>
      <c r="C1185" s="1" t="s">
        <v>2329</v>
      </c>
      <c r="D1185" s="4">
        <v>20024</v>
      </c>
      <c r="E1185" s="57">
        <v>1100</v>
      </c>
      <c r="F1185" s="1127" t="s">
        <v>2433</v>
      </c>
      <c r="G1185" s="1" t="s">
        <v>45</v>
      </c>
      <c r="H1185" s="1"/>
      <c r="I1185" s="1"/>
      <c r="J1185" s="1"/>
      <c r="K1185" s="1"/>
      <c r="L1185" s="1"/>
      <c r="M1185" s="211" t="s">
        <v>3450</v>
      </c>
    </row>
    <row r="1186" spans="1:13" ht="20.100000000000001" customHeight="1">
      <c r="A1186" s="1">
        <v>49</v>
      </c>
      <c r="B1186" s="2" t="s">
        <v>793</v>
      </c>
      <c r="C1186" s="1" t="s">
        <v>802</v>
      </c>
      <c r="D1186" s="4">
        <v>20387</v>
      </c>
      <c r="E1186" s="57">
        <v>1300</v>
      </c>
      <c r="F1186" s="1127" t="s">
        <v>2433</v>
      </c>
      <c r="G1186" s="1" t="s">
        <v>45</v>
      </c>
      <c r="H1186" s="1"/>
      <c r="I1186" s="1"/>
      <c r="J1186" s="1"/>
      <c r="K1186" s="1"/>
      <c r="L1186" s="1"/>
      <c r="M1186" s="211"/>
    </row>
    <row r="1187" spans="1:13" ht="20.100000000000001" customHeight="1">
      <c r="A1187" s="1">
        <v>50</v>
      </c>
      <c r="B1187" s="2" t="s">
        <v>1721</v>
      </c>
      <c r="C1187" s="1" t="s">
        <v>803</v>
      </c>
      <c r="D1187" s="4">
        <v>21779</v>
      </c>
      <c r="E1187" s="57">
        <v>500</v>
      </c>
      <c r="F1187" s="1127" t="s">
        <v>2433</v>
      </c>
      <c r="G1187" s="1" t="s">
        <v>45</v>
      </c>
      <c r="H1187" s="1"/>
      <c r="I1187" s="1"/>
      <c r="J1187" s="1"/>
      <c r="K1187" s="1"/>
      <c r="L1187" s="1"/>
      <c r="M1187" s="211"/>
    </row>
    <row r="1188" spans="1:13" ht="20.100000000000001" customHeight="1">
      <c r="A1188" s="1">
        <v>51</v>
      </c>
      <c r="B1188" s="2" t="s">
        <v>804</v>
      </c>
      <c r="C1188" s="1" t="s">
        <v>805</v>
      </c>
      <c r="D1188" s="4">
        <v>21779</v>
      </c>
      <c r="E1188" s="57">
        <v>500</v>
      </c>
      <c r="F1188" s="1127" t="s">
        <v>2433</v>
      </c>
      <c r="G1188" s="1" t="s">
        <v>45</v>
      </c>
      <c r="H1188" s="1"/>
      <c r="I1188" s="1"/>
      <c r="J1188" s="1"/>
      <c r="K1188" s="1"/>
      <c r="L1188" s="1"/>
      <c r="M1188" s="211"/>
    </row>
    <row r="1189" spans="1:13" ht="20.100000000000001" customHeight="1">
      <c r="A1189" s="1">
        <v>52</v>
      </c>
      <c r="B1189" s="2" t="s">
        <v>806</v>
      </c>
      <c r="C1189" s="1" t="s">
        <v>807</v>
      </c>
      <c r="D1189" s="4">
        <v>21961</v>
      </c>
      <c r="E1189" s="57">
        <v>1800</v>
      </c>
      <c r="F1189" s="1127" t="s">
        <v>2433</v>
      </c>
      <c r="G1189" s="1" t="s">
        <v>45</v>
      </c>
      <c r="H1189" s="1"/>
      <c r="I1189" s="1"/>
      <c r="J1189" s="1"/>
      <c r="K1189" s="1"/>
      <c r="L1189" s="1"/>
      <c r="M1189" s="211" t="s">
        <v>3444</v>
      </c>
    </row>
    <row r="1190" spans="1:13" ht="20.100000000000001" customHeight="1">
      <c r="A1190" s="1">
        <v>53</v>
      </c>
      <c r="B1190" s="2" t="s">
        <v>806</v>
      </c>
      <c r="C1190" s="1" t="s">
        <v>808</v>
      </c>
      <c r="D1190" s="4">
        <v>21961</v>
      </c>
      <c r="E1190" s="57">
        <v>1800</v>
      </c>
      <c r="F1190" s="1127" t="s">
        <v>2433</v>
      </c>
      <c r="G1190" s="1" t="s">
        <v>45</v>
      </c>
      <c r="H1190" s="1"/>
      <c r="I1190" s="1"/>
      <c r="J1190" s="1"/>
      <c r="K1190" s="1"/>
      <c r="L1190" s="1"/>
      <c r="M1190" s="211"/>
    </row>
    <row r="1191" spans="1:13" ht="19.5">
      <c r="A1191" s="1">
        <v>54</v>
      </c>
      <c r="B1191" s="2" t="s">
        <v>2704</v>
      </c>
      <c r="C1191" s="1" t="s">
        <v>2705</v>
      </c>
      <c r="D1191" s="4">
        <v>23595</v>
      </c>
      <c r="E1191" s="57">
        <v>3820</v>
      </c>
      <c r="F1191" s="1129" t="s">
        <v>1265</v>
      </c>
      <c r="G1191" s="1" t="s">
        <v>45</v>
      </c>
      <c r="H1191" s="1"/>
      <c r="I1191" s="1"/>
      <c r="J1191" s="1"/>
      <c r="K1191" s="1"/>
      <c r="L1191" s="1"/>
      <c r="M1191" s="211" t="s">
        <v>3170</v>
      </c>
    </row>
    <row r="1192" spans="1:13" s="914" customFormat="1" ht="20.25" thickBot="1">
      <c r="A1192" s="909">
        <v>54</v>
      </c>
      <c r="B1192" s="908"/>
      <c r="C1192" s="909"/>
      <c r="D1192" s="910" t="s">
        <v>64</v>
      </c>
      <c r="E1192" s="911">
        <f>SUM(E1138:E1191)</f>
        <v>145270</v>
      </c>
      <c r="F1192" s="909"/>
      <c r="G1192" s="909"/>
      <c r="H1192" s="909"/>
      <c r="I1192" s="909"/>
      <c r="J1192" s="909"/>
      <c r="K1192" s="909"/>
      <c r="L1192" s="909"/>
      <c r="M1192" s="913"/>
    </row>
    <row r="1193" spans="1:13" ht="20.25" thickTop="1">
      <c r="A1193" s="238"/>
      <c r="B1193" s="212" t="s">
        <v>2882</v>
      </c>
      <c r="C1193" s="1"/>
      <c r="D1193" s="1"/>
      <c r="E1193" s="302"/>
      <c r="F1193" s="1"/>
      <c r="G1193" s="1"/>
      <c r="H1193" s="1"/>
      <c r="I1193" s="1"/>
      <c r="J1193" s="1"/>
      <c r="K1193" s="1"/>
      <c r="L1193" s="1"/>
      <c r="M1193" s="211"/>
    </row>
    <row r="1194" spans="1:13" ht="19.5">
      <c r="A1194" s="1">
        <v>1</v>
      </c>
      <c r="B1194" s="2" t="s">
        <v>2887</v>
      </c>
      <c r="C1194" s="1" t="s">
        <v>2888</v>
      </c>
      <c r="D1194" s="4">
        <v>242816</v>
      </c>
      <c r="E1194" s="56">
        <v>3852</v>
      </c>
      <c r="F1194" s="1139" t="s">
        <v>1583</v>
      </c>
      <c r="G1194" s="1" t="s">
        <v>45</v>
      </c>
      <c r="H1194" s="1"/>
      <c r="I1194" s="1"/>
      <c r="J1194" s="1"/>
      <c r="K1194" s="1"/>
      <c r="L1194" s="1"/>
      <c r="M1194" s="211" t="s">
        <v>3514</v>
      </c>
    </row>
    <row r="1195" spans="1:13" ht="19.5">
      <c r="A1195" s="1">
        <v>2</v>
      </c>
      <c r="B1195" s="2" t="s">
        <v>2889</v>
      </c>
      <c r="C1195" s="1" t="s">
        <v>2890</v>
      </c>
      <c r="D1195" s="4">
        <v>242816</v>
      </c>
      <c r="E1195" s="56">
        <v>4066</v>
      </c>
      <c r="F1195" s="1139" t="s">
        <v>1583</v>
      </c>
      <c r="G1195" s="1" t="s">
        <v>45</v>
      </c>
      <c r="H1195" s="1"/>
      <c r="I1195" s="1"/>
      <c r="J1195" s="1"/>
      <c r="K1195" s="1"/>
      <c r="L1195" s="1"/>
      <c r="M1195" s="211" t="s">
        <v>3514</v>
      </c>
    </row>
    <row r="1196" spans="1:13" ht="19.5">
      <c r="A1196" s="1">
        <v>3</v>
      </c>
      <c r="B1196" s="2" t="s">
        <v>2887</v>
      </c>
      <c r="C1196" s="1" t="s">
        <v>2891</v>
      </c>
      <c r="D1196" s="4">
        <v>242816</v>
      </c>
      <c r="E1196" s="56">
        <v>5992</v>
      </c>
      <c r="F1196" s="1139" t="s">
        <v>1583</v>
      </c>
      <c r="G1196" s="1" t="s">
        <v>45</v>
      </c>
      <c r="H1196" s="1"/>
      <c r="I1196" s="1"/>
      <c r="J1196" s="1"/>
      <c r="K1196" s="1"/>
      <c r="L1196" s="1"/>
      <c r="M1196" s="211" t="s">
        <v>3514</v>
      </c>
    </row>
    <row r="1197" spans="1:13" ht="19.5">
      <c r="A1197" s="1">
        <v>4</v>
      </c>
      <c r="B1197" s="2" t="s">
        <v>2883</v>
      </c>
      <c r="C1197" s="1" t="s">
        <v>2884</v>
      </c>
      <c r="D1197" s="4">
        <v>242914</v>
      </c>
      <c r="E1197" s="57">
        <v>5885</v>
      </c>
      <c r="F1197" s="1139" t="s">
        <v>1583</v>
      </c>
      <c r="G1197" s="1" t="s">
        <v>45</v>
      </c>
      <c r="H1197" s="1"/>
      <c r="I1197" s="1"/>
      <c r="J1197" s="1"/>
      <c r="K1197" s="1"/>
      <c r="L1197" s="1"/>
      <c r="M1197" s="211" t="s">
        <v>1583</v>
      </c>
    </row>
    <row r="1198" spans="1:13" ht="19.5">
      <c r="A1198" s="1">
        <v>5</v>
      </c>
      <c r="B1198" s="2" t="s">
        <v>2883</v>
      </c>
      <c r="C1198" s="1" t="s">
        <v>2885</v>
      </c>
      <c r="D1198" s="4">
        <v>242914</v>
      </c>
      <c r="E1198" s="56">
        <v>1605</v>
      </c>
      <c r="F1198" s="1139" t="s">
        <v>1583</v>
      </c>
      <c r="G1198" s="1" t="s">
        <v>45</v>
      </c>
      <c r="H1198" s="1"/>
      <c r="I1198" s="1"/>
      <c r="J1198" s="1"/>
      <c r="K1198" s="1"/>
      <c r="L1198" s="1"/>
      <c r="M1198" s="211" t="s">
        <v>3198</v>
      </c>
    </row>
    <row r="1199" spans="1:13" ht="19.5">
      <c r="A1199" s="1">
        <v>6</v>
      </c>
      <c r="B1199" s="2" t="s">
        <v>2883</v>
      </c>
      <c r="C1199" s="1" t="s">
        <v>2886</v>
      </c>
      <c r="D1199" s="4">
        <v>242914</v>
      </c>
      <c r="E1199" s="56">
        <v>1605</v>
      </c>
      <c r="F1199" s="1139" t="s">
        <v>1583</v>
      </c>
      <c r="G1199" s="1" t="s">
        <v>45</v>
      </c>
      <c r="H1199" s="1"/>
      <c r="I1199" s="1"/>
      <c r="J1199" s="1"/>
      <c r="K1199" s="1"/>
      <c r="L1199" s="1"/>
      <c r="M1199" s="211" t="s">
        <v>3198</v>
      </c>
    </row>
    <row r="1200" spans="1:13" ht="19.5">
      <c r="A1200" s="1">
        <v>7</v>
      </c>
      <c r="B1200" s="2" t="s">
        <v>2178</v>
      </c>
      <c r="C1200" s="1" t="s">
        <v>2958</v>
      </c>
      <c r="D1200" s="4">
        <v>242831</v>
      </c>
      <c r="E1200" s="56">
        <v>11800</v>
      </c>
      <c r="F1200" s="1139" t="s">
        <v>2770</v>
      </c>
      <c r="G1200" s="1" t="s">
        <v>45</v>
      </c>
      <c r="H1200" s="1"/>
      <c r="I1200" s="1"/>
      <c r="J1200" s="1"/>
      <c r="K1200" s="1"/>
      <c r="L1200" s="1"/>
      <c r="M1200" s="211"/>
    </row>
    <row r="1201" spans="1:13" ht="19.5">
      <c r="A1201" s="1">
        <v>8</v>
      </c>
      <c r="B1201" s="2" t="s">
        <v>2178</v>
      </c>
      <c r="C1201" s="1" t="s">
        <v>2959</v>
      </c>
      <c r="D1201" s="4">
        <v>242831</v>
      </c>
      <c r="E1201" s="56">
        <v>14040</v>
      </c>
      <c r="F1201" s="1139" t="s">
        <v>2770</v>
      </c>
      <c r="G1201" s="1" t="s">
        <v>45</v>
      </c>
      <c r="H1201" s="1"/>
      <c r="I1201" s="1"/>
      <c r="J1201" s="1"/>
      <c r="K1201" s="1"/>
      <c r="L1201" s="1"/>
      <c r="M1201" s="211"/>
    </row>
    <row r="1202" spans="1:13" ht="19.5">
      <c r="A1202" s="1">
        <v>9</v>
      </c>
      <c r="B1202" s="2" t="s">
        <v>2178</v>
      </c>
      <c r="C1202" s="1" t="s">
        <v>2960</v>
      </c>
      <c r="D1202" s="4">
        <v>242831</v>
      </c>
      <c r="E1202" s="56">
        <v>26080</v>
      </c>
      <c r="F1202" s="1139" t="s">
        <v>2770</v>
      </c>
      <c r="G1202" s="1" t="s">
        <v>45</v>
      </c>
      <c r="H1202" s="1"/>
      <c r="I1202" s="1"/>
      <c r="J1202" s="1"/>
      <c r="K1202" s="1"/>
      <c r="L1202" s="1"/>
      <c r="M1202" s="211"/>
    </row>
    <row r="1203" spans="1:13" ht="19.5">
      <c r="A1203" s="1">
        <v>10</v>
      </c>
      <c r="B1203" s="2" t="s">
        <v>2178</v>
      </c>
      <c r="C1203" s="1" t="s">
        <v>2961</v>
      </c>
      <c r="D1203" s="4">
        <v>242831</v>
      </c>
      <c r="E1203" s="56">
        <v>26080</v>
      </c>
      <c r="F1203" s="1139" t="s">
        <v>2770</v>
      </c>
      <c r="G1203" s="1" t="s">
        <v>45</v>
      </c>
      <c r="H1203" s="1"/>
      <c r="I1203" s="1"/>
      <c r="J1203" s="1"/>
      <c r="K1203" s="1"/>
      <c r="L1203" s="1"/>
      <c r="M1203" s="211"/>
    </row>
    <row r="1204" spans="1:13" ht="19.5">
      <c r="A1204" s="1">
        <v>11</v>
      </c>
      <c r="B1204" s="2" t="s">
        <v>2178</v>
      </c>
      <c r="C1204" s="1" t="s">
        <v>2962</v>
      </c>
      <c r="D1204" s="4">
        <v>242831</v>
      </c>
      <c r="E1204" s="56">
        <v>25940</v>
      </c>
      <c r="F1204" s="1139" t="s">
        <v>2770</v>
      </c>
      <c r="G1204" s="1" t="s">
        <v>45</v>
      </c>
      <c r="H1204" s="1"/>
      <c r="I1204" s="1"/>
      <c r="J1204" s="1"/>
      <c r="K1204" s="1"/>
      <c r="L1204" s="1"/>
      <c r="M1204" s="211"/>
    </row>
    <row r="1205" spans="1:13" ht="19.5">
      <c r="A1205" s="1">
        <v>12</v>
      </c>
      <c r="B1205" s="2" t="s">
        <v>2178</v>
      </c>
      <c r="C1205" s="1" t="s">
        <v>2963</v>
      </c>
      <c r="D1205" s="4">
        <v>242831</v>
      </c>
      <c r="E1205" s="56">
        <v>76200</v>
      </c>
      <c r="F1205" s="1139" t="s">
        <v>2770</v>
      </c>
      <c r="G1205" s="1" t="s">
        <v>45</v>
      </c>
      <c r="H1205" s="1"/>
      <c r="I1205" s="1"/>
      <c r="J1205" s="1"/>
      <c r="K1205" s="1"/>
      <c r="L1205" s="1"/>
      <c r="M1205" s="211"/>
    </row>
    <row r="1206" spans="1:13" ht="19.5">
      <c r="A1206" s="1">
        <v>13</v>
      </c>
      <c r="B1206" s="2" t="s">
        <v>2178</v>
      </c>
      <c r="C1206" s="1" t="s">
        <v>2964</v>
      </c>
      <c r="D1206" s="4">
        <v>242831</v>
      </c>
      <c r="E1206" s="56">
        <v>5700</v>
      </c>
      <c r="F1206" s="1139" t="s">
        <v>2770</v>
      </c>
      <c r="G1206" s="1" t="s">
        <v>45</v>
      </c>
      <c r="H1206" s="1"/>
      <c r="I1206" s="1"/>
      <c r="J1206" s="1"/>
      <c r="K1206" s="1"/>
      <c r="L1206" s="1"/>
      <c r="M1206" s="211"/>
    </row>
    <row r="1207" spans="1:13" ht="19.5">
      <c r="A1207" s="1">
        <v>14</v>
      </c>
      <c r="B1207" s="2" t="s">
        <v>2178</v>
      </c>
      <c r="C1207" s="1" t="s">
        <v>2965</v>
      </c>
      <c r="D1207" s="4">
        <v>242831</v>
      </c>
      <c r="E1207" s="56">
        <v>3420</v>
      </c>
      <c r="F1207" s="1139" t="s">
        <v>2770</v>
      </c>
      <c r="G1207" s="1" t="s">
        <v>45</v>
      </c>
      <c r="H1207" s="1"/>
      <c r="I1207" s="1"/>
      <c r="J1207" s="1"/>
      <c r="K1207" s="1"/>
      <c r="L1207" s="1"/>
      <c r="M1207" s="211"/>
    </row>
    <row r="1208" spans="1:13" ht="19.5">
      <c r="A1208" s="1">
        <v>15</v>
      </c>
      <c r="B1208" s="2" t="s">
        <v>2178</v>
      </c>
      <c r="C1208" s="1" t="s">
        <v>2966</v>
      </c>
      <c r="D1208" s="4">
        <v>242831</v>
      </c>
      <c r="E1208" s="56">
        <v>8120</v>
      </c>
      <c r="F1208" s="1139" t="s">
        <v>2770</v>
      </c>
      <c r="G1208" s="1" t="s">
        <v>45</v>
      </c>
      <c r="H1208" s="1"/>
      <c r="I1208" s="1"/>
      <c r="J1208" s="1"/>
      <c r="K1208" s="1"/>
      <c r="L1208" s="1"/>
      <c r="M1208" s="211"/>
    </row>
    <row r="1209" spans="1:13" ht="19.5">
      <c r="A1209" s="1">
        <v>16</v>
      </c>
      <c r="B1209" s="2" t="s">
        <v>2178</v>
      </c>
      <c r="C1209" s="1" t="s">
        <v>2967</v>
      </c>
      <c r="D1209" s="4">
        <v>242831</v>
      </c>
      <c r="E1209" s="56">
        <v>8120</v>
      </c>
      <c r="F1209" s="1139" t="s">
        <v>2770</v>
      </c>
      <c r="G1209" s="1" t="s">
        <v>45</v>
      </c>
      <c r="H1209" s="1"/>
      <c r="I1209" s="1"/>
      <c r="J1209" s="1"/>
      <c r="K1209" s="1"/>
      <c r="L1209" s="1"/>
      <c r="M1209" s="211"/>
    </row>
    <row r="1210" spans="1:13" ht="19.5">
      <c r="A1210" s="1">
        <v>17</v>
      </c>
      <c r="B1210" s="2" t="s">
        <v>2178</v>
      </c>
      <c r="C1210" s="1" t="s">
        <v>2968</v>
      </c>
      <c r="D1210" s="4">
        <v>242831</v>
      </c>
      <c r="E1210" s="56">
        <v>9000</v>
      </c>
      <c r="F1210" s="1139" t="s">
        <v>2770</v>
      </c>
      <c r="G1210" s="1" t="s">
        <v>45</v>
      </c>
      <c r="H1210" s="1"/>
      <c r="I1210" s="1"/>
      <c r="J1210" s="1"/>
      <c r="K1210" s="1"/>
      <c r="L1210" s="1"/>
      <c r="M1210" s="211"/>
    </row>
    <row r="1211" spans="1:13" s="914" customFormat="1" ht="20.25" thickBot="1">
      <c r="A1211" s="909">
        <v>17</v>
      </c>
      <c r="B1211" s="908"/>
      <c r="C1211" s="909"/>
      <c r="D1211" s="910" t="s">
        <v>64</v>
      </c>
      <c r="E1211" s="911">
        <f>SUM(E1194:E1210)</f>
        <v>237505</v>
      </c>
      <c r="F1211" s="909"/>
      <c r="G1211" s="909"/>
      <c r="H1211" s="909"/>
      <c r="I1211" s="909"/>
      <c r="J1211" s="909"/>
      <c r="K1211" s="909"/>
      <c r="L1211" s="909"/>
      <c r="M1211" s="913"/>
    </row>
    <row r="1212" spans="1:13" ht="22.5" thickTop="1">
      <c r="A1212" s="1"/>
      <c r="B1212" s="212" t="s">
        <v>842</v>
      </c>
      <c r="C1212" s="1"/>
      <c r="D1212" s="233"/>
      <c r="E1212" s="280"/>
      <c r="F1212" s="1"/>
      <c r="G1212" s="1"/>
      <c r="H1212" s="1"/>
      <c r="I1212" s="1"/>
      <c r="J1212" s="1"/>
      <c r="K1212" s="1"/>
      <c r="L1212" s="1"/>
      <c r="M1212" s="211"/>
    </row>
    <row r="1213" spans="1:13" ht="19.5">
      <c r="A1213" s="1">
        <v>1</v>
      </c>
      <c r="B1213" s="2" t="s">
        <v>843</v>
      </c>
      <c r="C1213" s="1" t="s">
        <v>844</v>
      </c>
      <c r="D1213" s="4">
        <v>13676</v>
      </c>
      <c r="E1213" s="57">
        <v>3745</v>
      </c>
      <c r="F1213" s="1127" t="s">
        <v>2433</v>
      </c>
      <c r="G1213" s="1" t="s">
        <v>45</v>
      </c>
      <c r="H1213" s="1"/>
      <c r="I1213" s="1"/>
      <c r="J1213" s="1"/>
      <c r="K1213" s="1"/>
      <c r="L1213" s="1"/>
      <c r="M1213" s="211"/>
    </row>
    <row r="1214" spans="1:13" ht="19.5">
      <c r="A1214" s="1">
        <v>2</v>
      </c>
      <c r="B1214" s="2" t="s">
        <v>843</v>
      </c>
      <c r="C1214" s="1" t="s">
        <v>845</v>
      </c>
      <c r="D1214" s="4">
        <v>13676</v>
      </c>
      <c r="E1214" s="57">
        <v>3745</v>
      </c>
      <c r="F1214" s="1127" t="s">
        <v>2433</v>
      </c>
      <c r="G1214" s="1" t="s">
        <v>45</v>
      </c>
      <c r="H1214" s="1"/>
      <c r="I1214" s="1"/>
      <c r="J1214" s="1"/>
      <c r="K1214" s="1"/>
      <c r="L1214" s="1"/>
      <c r="M1214" s="211"/>
    </row>
    <row r="1215" spans="1:13" ht="19.5">
      <c r="A1215" s="1">
        <v>3</v>
      </c>
      <c r="B1215" s="2" t="s">
        <v>843</v>
      </c>
      <c r="C1215" s="1" t="s">
        <v>846</v>
      </c>
      <c r="D1215" s="4">
        <v>13676</v>
      </c>
      <c r="E1215" s="57">
        <v>3745</v>
      </c>
      <c r="F1215" s="1127" t="s">
        <v>2433</v>
      </c>
      <c r="G1215" s="1" t="s">
        <v>45</v>
      </c>
      <c r="H1215" s="1"/>
      <c r="I1215" s="1"/>
      <c r="J1215" s="1"/>
      <c r="K1215" s="1"/>
      <c r="L1215" s="1"/>
      <c r="M1215" s="211"/>
    </row>
    <row r="1216" spans="1:13" ht="19.5">
      <c r="A1216" s="1">
        <v>4</v>
      </c>
      <c r="B1216" s="2" t="s">
        <v>843</v>
      </c>
      <c r="C1216" s="1" t="s">
        <v>847</v>
      </c>
      <c r="D1216" s="4">
        <v>13676</v>
      </c>
      <c r="E1216" s="57">
        <v>3745</v>
      </c>
      <c r="F1216" s="1127" t="s">
        <v>2433</v>
      </c>
      <c r="G1216" s="1" t="s">
        <v>45</v>
      </c>
      <c r="H1216" s="1"/>
      <c r="I1216" s="1"/>
      <c r="J1216" s="1"/>
      <c r="K1216" s="1"/>
      <c r="L1216" s="1"/>
      <c r="M1216" s="211"/>
    </row>
    <row r="1217" spans="1:13" ht="19.5">
      <c r="A1217" s="1">
        <v>5</v>
      </c>
      <c r="B1217" s="2" t="s">
        <v>848</v>
      </c>
      <c r="C1217" s="1" t="s">
        <v>849</v>
      </c>
      <c r="D1217" s="4">
        <v>15354</v>
      </c>
      <c r="E1217" s="57">
        <v>14157</v>
      </c>
      <c r="F1217" s="1127" t="s">
        <v>2433</v>
      </c>
      <c r="G1217" s="1" t="s">
        <v>45</v>
      </c>
      <c r="H1217" s="1"/>
      <c r="I1217" s="1"/>
      <c r="J1217" s="1"/>
      <c r="K1217" s="1"/>
      <c r="L1217" s="1"/>
      <c r="M1217" s="211"/>
    </row>
    <row r="1218" spans="1:13" ht="19.5">
      <c r="A1218" s="1">
        <v>6</v>
      </c>
      <c r="B1218" s="2" t="s">
        <v>2325</v>
      </c>
      <c r="C1218" s="1" t="s">
        <v>2326</v>
      </c>
      <c r="D1218" s="4">
        <v>18896</v>
      </c>
      <c r="E1218" s="57">
        <v>9500</v>
      </c>
      <c r="F1218" s="1011" t="s">
        <v>1649</v>
      </c>
      <c r="G1218" s="1" t="s">
        <v>45</v>
      </c>
      <c r="H1218" s="1"/>
      <c r="I1218" s="1"/>
      <c r="J1218" s="1"/>
      <c r="K1218" s="1"/>
      <c r="L1218" s="1"/>
      <c r="M1218" s="211"/>
    </row>
    <row r="1219" spans="1:13" ht="19.5">
      <c r="A1219" s="1">
        <v>7</v>
      </c>
      <c r="B1219" s="2" t="s">
        <v>850</v>
      </c>
      <c r="C1219" s="1" t="s">
        <v>851</v>
      </c>
      <c r="D1219" s="4">
        <v>18896</v>
      </c>
      <c r="E1219" s="57">
        <v>9500</v>
      </c>
      <c r="F1219" s="1127" t="s">
        <v>2433</v>
      </c>
      <c r="G1219" s="1" t="s">
        <v>45</v>
      </c>
      <c r="H1219" s="1"/>
      <c r="I1219" s="1"/>
      <c r="J1219" s="1"/>
      <c r="K1219" s="1"/>
      <c r="L1219" s="1"/>
      <c r="M1219" s="211"/>
    </row>
    <row r="1220" spans="1:13" s="914" customFormat="1" ht="20.25" thickBot="1">
      <c r="A1220" s="909">
        <v>7</v>
      </c>
      <c r="B1220" s="908"/>
      <c r="C1220" s="909"/>
      <c r="D1220" s="910" t="s">
        <v>64</v>
      </c>
      <c r="E1220" s="911">
        <f>SUM(E1213:E1219)</f>
        <v>48137</v>
      </c>
      <c r="F1220" s="909"/>
      <c r="G1220" s="909"/>
      <c r="H1220" s="909"/>
      <c r="I1220" s="909"/>
      <c r="J1220" s="909"/>
      <c r="K1220" s="909"/>
      <c r="L1220" s="909"/>
      <c r="M1220" s="913"/>
    </row>
    <row r="1221" spans="1:13" ht="20.25" thickTop="1">
      <c r="A1221" s="1"/>
      <c r="B1221" s="2"/>
      <c r="C1221" s="1"/>
      <c r="D1221" s="47"/>
      <c r="E1221" s="278"/>
      <c r="F1221" s="1"/>
      <c r="G1221" s="1"/>
      <c r="H1221" s="1"/>
      <c r="I1221" s="1"/>
      <c r="J1221" s="1"/>
      <c r="K1221" s="1"/>
      <c r="L1221" s="1"/>
      <c r="M1221" s="211"/>
    </row>
    <row r="1222" spans="1:13" ht="19.5">
      <c r="A1222" s="1"/>
      <c r="B1222" s="212" t="s">
        <v>3274</v>
      </c>
      <c r="C1222" s="1"/>
      <c r="D1222" s="47"/>
      <c r="E1222" s="278"/>
      <c r="F1222" s="1"/>
      <c r="G1222" s="1"/>
      <c r="H1222" s="1"/>
      <c r="I1222" s="1"/>
      <c r="J1222" s="1"/>
      <c r="K1222" s="1"/>
      <c r="L1222" s="1"/>
      <c r="M1222" s="211"/>
    </row>
    <row r="1223" spans="1:13" ht="19.5">
      <c r="A1223" s="1">
        <v>1</v>
      </c>
      <c r="B1223" s="2" t="s">
        <v>3275</v>
      </c>
      <c r="C1223" s="1" t="s">
        <v>3276</v>
      </c>
      <c r="D1223" s="277">
        <v>24041</v>
      </c>
      <c r="E1223" s="278">
        <v>9900</v>
      </c>
      <c r="F1223" s="1129" t="s">
        <v>3277</v>
      </c>
      <c r="G1223" s="1" t="s">
        <v>45</v>
      </c>
      <c r="H1223" s="1"/>
      <c r="I1223" s="1"/>
      <c r="J1223" s="1"/>
      <c r="K1223" s="1"/>
      <c r="L1223" s="1"/>
      <c r="M1223" s="211" t="s">
        <v>3278</v>
      </c>
    </row>
    <row r="1224" spans="1:13" s="914" customFormat="1" ht="20.25" thickBot="1">
      <c r="A1224" s="909">
        <v>1</v>
      </c>
      <c r="B1224" s="908"/>
      <c r="C1224" s="909"/>
      <c r="D1224" s="910" t="s">
        <v>64</v>
      </c>
      <c r="E1224" s="911">
        <f>SUM(E1223)</f>
        <v>9900</v>
      </c>
      <c r="F1224" s="909"/>
      <c r="G1224" s="909"/>
      <c r="H1224" s="909"/>
      <c r="I1224" s="909"/>
      <c r="J1224" s="909"/>
      <c r="K1224" s="909"/>
      <c r="L1224" s="909"/>
      <c r="M1224" s="913"/>
    </row>
    <row r="1225" spans="1:13" ht="20.25" thickTop="1">
      <c r="A1225" s="1"/>
      <c r="B1225" s="2"/>
      <c r="C1225" s="1"/>
      <c r="D1225" s="47"/>
      <c r="E1225" s="269"/>
      <c r="F1225" s="1"/>
      <c r="G1225" s="1"/>
      <c r="H1225" s="1"/>
      <c r="I1225" s="1"/>
      <c r="J1225" s="1"/>
      <c r="K1225" s="1"/>
      <c r="L1225" s="1"/>
      <c r="M1225" s="211"/>
    </row>
    <row r="1226" spans="1:13" ht="19.5">
      <c r="A1226" s="1"/>
      <c r="B1226" s="2"/>
      <c r="C1226" s="1"/>
      <c r="D1226" s="47"/>
      <c r="E1226" s="264"/>
      <c r="F1226" s="1"/>
      <c r="G1226" s="1"/>
      <c r="H1226" s="1"/>
      <c r="I1226" s="1"/>
      <c r="J1226" s="1"/>
      <c r="K1226" s="1"/>
      <c r="L1226" s="1"/>
      <c r="M1226" s="211"/>
    </row>
    <row r="1227" spans="1:13" ht="21.75">
      <c r="A1227" s="1"/>
      <c r="B1227" s="212" t="s">
        <v>1565</v>
      </c>
      <c r="C1227" s="1"/>
      <c r="D1227" s="233"/>
      <c r="E1227" s="280"/>
      <c r="F1227" s="1"/>
      <c r="G1227" s="1"/>
      <c r="H1227" s="1"/>
      <c r="I1227" s="1"/>
      <c r="J1227" s="1"/>
      <c r="K1227" s="1"/>
      <c r="L1227" s="1"/>
      <c r="M1227" s="211"/>
    </row>
    <row r="1228" spans="1:13" ht="19.5">
      <c r="A1228" s="1">
        <v>1</v>
      </c>
      <c r="B1228" s="303" t="s">
        <v>2733</v>
      </c>
      <c r="C1228" s="1" t="s">
        <v>2735</v>
      </c>
      <c r="D1228" s="173">
        <v>242779</v>
      </c>
      <c r="E1228" s="304">
        <v>59000</v>
      </c>
      <c r="F1228" s="1139" t="s">
        <v>1583</v>
      </c>
      <c r="G1228" s="194" t="s">
        <v>45</v>
      </c>
      <c r="H1228" s="1"/>
      <c r="I1228" s="1"/>
      <c r="J1228" s="1"/>
      <c r="K1228" s="1"/>
      <c r="L1228" s="1"/>
      <c r="M1228" s="211" t="s">
        <v>3468</v>
      </c>
    </row>
    <row r="1229" spans="1:13" ht="19.5">
      <c r="A1229" s="1">
        <v>2</v>
      </c>
      <c r="B1229" s="303" t="s">
        <v>2733</v>
      </c>
      <c r="C1229" s="1" t="s">
        <v>2734</v>
      </c>
      <c r="D1229" s="173">
        <v>242779</v>
      </c>
      <c r="E1229" s="304">
        <v>59000</v>
      </c>
      <c r="F1229" s="1139" t="s">
        <v>2769</v>
      </c>
      <c r="G1229" s="194" t="s">
        <v>45</v>
      </c>
      <c r="H1229" s="1"/>
      <c r="I1229" s="1"/>
      <c r="J1229" s="1"/>
      <c r="K1229" s="1"/>
      <c r="L1229" s="1"/>
      <c r="M1229" s="211" t="s">
        <v>3501</v>
      </c>
    </row>
    <row r="1230" spans="1:13" ht="19.5">
      <c r="A1230" s="857">
        <v>3</v>
      </c>
      <c r="B1230" s="905" t="s">
        <v>3998</v>
      </c>
      <c r="C1230" s="857" t="s">
        <v>3858</v>
      </c>
      <c r="D1230" s="866" t="s">
        <v>3999</v>
      </c>
      <c r="E1230" s="861">
        <v>60000</v>
      </c>
      <c r="F1230" s="857" t="s">
        <v>3861</v>
      </c>
      <c r="G1230" s="857" t="s">
        <v>45</v>
      </c>
      <c r="H1230" s="857"/>
      <c r="I1230" s="857"/>
      <c r="J1230" s="857"/>
      <c r="K1230" s="857"/>
      <c r="L1230" s="857"/>
      <c r="M1230" s="860"/>
    </row>
    <row r="1231" spans="1:13" s="914" customFormat="1" ht="20.25" thickBot="1">
      <c r="A1231" s="909">
        <v>4</v>
      </c>
      <c r="B1231" s="908"/>
      <c r="C1231" s="909"/>
      <c r="D1231" s="910" t="s">
        <v>64</v>
      </c>
      <c r="E1231" s="911">
        <f>SUM(E1228:E1230)</f>
        <v>178000</v>
      </c>
      <c r="F1231" s="909"/>
      <c r="G1231" s="909"/>
      <c r="H1231" s="909"/>
      <c r="I1231" s="909"/>
      <c r="J1231" s="909"/>
      <c r="K1231" s="909"/>
      <c r="L1231" s="909"/>
      <c r="M1231" s="913"/>
    </row>
    <row r="1232" spans="1:13" ht="20.25" thickTop="1">
      <c r="A1232" s="1"/>
      <c r="B1232" s="2"/>
      <c r="C1232" s="1"/>
      <c r="D1232" s="47"/>
      <c r="E1232" s="278"/>
      <c r="F1232" s="1"/>
      <c r="G1232" s="1"/>
      <c r="H1232" s="1"/>
      <c r="I1232" s="1"/>
      <c r="J1232" s="1"/>
      <c r="K1232" s="1"/>
      <c r="L1232" s="1"/>
      <c r="M1232" s="211"/>
    </row>
    <row r="1233" spans="1:13" ht="21.75">
      <c r="A1233" s="1"/>
      <c r="B1233" s="305" t="s">
        <v>981</v>
      </c>
      <c r="C1233" s="1"/>
      <c r="D1233" s="233"/>
      <c r="E1233" s="280"/>
      <c r="F1233" s="1"/>
      <c r="G1233" s="1"/>
      <c r="H1233" s="1"/>
      <c r="I1233" s="1"/>
      <c r="J1233" s="1"/>
      <c r="K1233" s="1"/>
      <c r="L1233" s="1"/>
      <c r="M1233" s="211"/>
    </row>
    <row r="1234" spans="1:13" ht="19.5">
      <c r="A1234" s="1">
        <v>1</v>
      </c>
      <c r="B1234" s="306" t="s">
        <v>982</v>
      </c>
      <c r="C1234" s="1" t="s">
        <v>983</v>
      </c>
      <c r="D1234" s="4">
        <v>11659</v>
      </c>
      <c r="E1234" s="57">
        <v>5660</v>
      </c>
      <c r="F1234" s="1127" t="s">
        <v>2433</v>
      </c>
      <c r="G1234" s="1" t="s">
        <v>45</v>
      </c>
      <c r="H1234" s="1"/>
      <c r="I1234" s="1"/>
      <c r="J1234" s="1"/>
      <c r="K1234" s="1"/>
      <c r="L1234" s="1"/>
      <c r="M1234" s="211"/>
    </row>
    <row r="1235" spans="1:13" ht="19.5">
      <c r="A1235" s="1">
        <v>2</v>
      </c>
      <c r="B1235" s="306" t="s">
        <v>3962</v>
      </c>
      <c r="C1235" s="1" t="s">
        <v>3961</v>
      </c>
      <c r="D1235" s="4">
        <v>24391</v>
      </c>
      <c r="E1235" s="56">
        <v>8500</v>
      </c>
      <c r="F1235" s="1127" t="s">
        <v>2433</v>
      </c>
      <c r="G1235" s="1" t="s">
        <v>45</v>
      </c>
      <c r="H1235" s="1"/>
      <c r="I1235" s="1"/>
      <c r="J1235" s="1"/>
      <c r="K1235" s="1"/>
      <c r="L1235" s="1"/>
      <c r="M1235" s="211" t="s">
        <v>3145</v>
      </c>
    </row>
    <row r="1236" spans="1:13" s="249" customFormat="1" ht="19.5">
      <c r="A1236" s="82">
        <v>3</v>
      </c>
      <c r="B1236" s="830" t="s">
        <v>982</v>
      </c>
      <c r="C1236" s="82" t="s">
        <v>983</v>
      </c>
      <c r="D1236" s="84">
        <v>11659</v>
      </c>
      <c r="E1236" s="85">
        <v>5660</v>
      </c>
      <c r="F1236" s="1128" t="s">
        <v>2433</v>
      </c>
      <c r="G1236" s="82" t="s">
        <v>45</v>
      </c>
      <c r="H1236" s="82"/>
      <c r="I1236" s="82"/>
      <c r="J1236" s="82"/>
      <c r="K1236" s="82"/>
      <c r="L1236" s="82"/>
      <c r="M1236" s="214"/>
    </row>
    <row r="1237" spans="1:13" s="914" customFormat="1" ht="20.25" thickBot="1">
      <c r="A1237" s="909">
        <v>3</v>
      </c>
      <c r="B1237" s="918"/>
      <c r="C1237" s="909"/>
      <c r="D1237" s="910" t="s">
        <v>64</v>
      </c>
      <c r="E1237" s="911">
        <f>SUM(E1234:E1235)</f>
        <v>14160</v>
      </c>
      <c r="F1237" s="909"/>
      <c r="G1237" s="909"/>
      <c r="H1237" s="909"/>
      <c r="I1237" s="909"/>
      <c r="J1237" s="909"/>
      <c r="K1237" s="909"/>
      <c r="L1237" s="909"/>
      <c r="M1237" s="913"/>
    </row>
    <row r="1238" spans="1:13" ht="20.25" thickTop="1">
      <c r="A1238" s="1"/>
      <c r="B1238" s="48"/>
      <c r="C1238" s="1"/>
      <c r="D1238" s="47"/>
      <c r="E1238" s="278"/>
      <c r="F1238" s="1"/>
      <c r="G1238" s="1"/>
      <c r="H1238" s="1"/>
      <c r="I1238" s="1"/>
      <c r="J1238" s="1"/>
      <c r="K1238" s="1"/>
      <c r="L1238" s="1"/>
      <c r="M1238" s="211"/>
    </row>
    <row r="1239" spans="1:13" ht="21.75">
      <c r="A1239" s="1"/>
      <c r="B1239" s="305" t="s">
        <v>2330</v>
      </c>
      <c r="C1239" s="1"/>
      <c r="D1239" s="233"/>
      <c r="E1239" s="280"/>
      <c r="F1239" s="1"/>
      <c r="G1239" s="1"/>
      <c r="H1239" s="1"/>
      <c r="I1239" s="1"/>
      <c r="J1239" s="1"/>
      <c r="K1239" s="1"/>
      <c r="L1239" s="1"/>
      <c r="M1239" s="211"/>
    </row>
    <row r="1240" spans="1:13" ht="19.5">
      <c r="A1240" s="1">
        <v>1</v>
      </c>
      <c r="B1240" s="2" t="s">
        <v>2331</v>
      </c>
      <c r="C1240" s="1" t="s">
        <v>2332</v>
      </c>
      <c r="D1240" s="4">
        <v>14329</v>
      </c>
      <c r="E1240" s="57">
        <v>8300</v>
      </c>
      <c r="F1240" s="1127" t="s">
        <v>2433</v>
      </c>
      <c r="G1240" s="1" t="s">
        <v>45</v>
      </c>
      <c r="H1240" s="1"/>
      <c r="I1240" s="1"/>
      <c r="J1240" s="1"/>
      <c r="K1240" s="1"/>
      <c r="L1240" s="1"/>
      <c r="M1240" s="211"/>
    </row>
    <row r="1241" spans="1:13" ht="19.5">
      <c r="A1241" s="1">
        <v>2</v>
      </c>
      <c r="B1241" s="306" t="s">
        <v>2331</v>
      </c>
      <c r="C1241" s="1" t="s">
        <v>2333</v>
      </c>
      <c r="D1241" s="4">
        <v>14329</v>
      </c>
      <c r="E1241" s="57">
        <v>8300</v>
      </c>
      <c r="F1241" s="1127" t="s">
        <v>2433</v>
      </c>
      <c r="G1241" s="1" t="s">
        <v>45</v>
      </c>
      <c r="H1241" s="1"/>
      <c r="I1241" s="1"/>
      <c r="J1241" s="1"/>
      <c r="K1241" s="1"/>
      <c r="L1241" s="1"/>
      <c r="M1241" s="211"/>
    </row>
    <row r="1242" spans="1:13" ht="19.5">
      <c r="A1242" s="1">
        <v>3</v>
      </c>
      <c r="B1242" s="306" t="s">
        <v>2331</v>
      </c>
      <c r="C1242" s="1" t="s">
        <v>2334</v>
      </c>
      <c r="D1242" s="4">
        <v>14329</v>
      </c>
      <c r="E1242" s="57">
        <v>8300</v>
      </c>
      <c r="F1242" s="1127" t="s">
        <v>2433</v>
      </c>
      <c r="G1242" s="1" t="s">
        <v>45</v>
      </c>
      <c r="H1242" s="1"/>
      <c r="I1242" s="1"/>
      <c r="J1242" s="1"/>
      <c r="K1242" s="1"/>
      <c r="L1242" s="1"/>
      <c r="M1242" s="211"/>
    </row>
    <row r="1243" spans="1:13" ht="19.5">
      <c r="A1243" s="1">
        <v>4</v>
      </c>
      <c r="B1243" s="306" t="s">
        <v>2331</v>
      </c>
      <c r="C1243" s="1" t="s">
        <v>2335</v>
      </c>
      <c r="D1243" s="4">
        <v>14329</v>
      </c>
      <c r="E1243" s="57">
        <v>8300</v>
      </c>
      <c r="F1243" s="1127" t="s">
        <v>2433</v>
      </c>
      <c r="G1243" s="1" t="s">
        <v>45</v>
      </c>
      <c r="H1243" s="1"/>
      <c r="I1243" s="1"/>
      <c r="J1243" s="1"/>
      <c r="K1243" s="1"/>
      <c r="L1243" s="1"/>
      <c r="M1243" s="211"/>
    </row>
    <row r="1244" spans="1:13" ht="19.5">
      <c r="A1244" s="1">
        <v>5</v>
      </c>
      <c r="B1244" s="306" t="s">
        <v>2331</v>
      </c>
      <c r="C1244" s="1" t="s">
        <v>2336</v>
      </c>
      <c r="D1244" s="4">
        <v>14329</v>
      </c>
      <c r="E1244" s="57">
        <v>8300</v>
      </c>
      <c r="F1244" s="1127" t="s">
        <v>2433</v>
      </c>
      <c r="G1244" s="1" t="s">
        <v>45</v>
      </c>
      <c r="H1244" s="1"/>
      <c r="I1244" s="1"/>
      <c r="J1244" s="1"/>
      <c r="K1244" s="1"/>
      <c r="L1244" s="1"/>
      <c r="M1244" s="211"/>
    </row>
    <row r="1245" spans="1:13" s="914" customFormat="1" ht="20.25" thickBot="1">
      <c r="A1245" s="909">
        <v>5</v>
      </c>
      <c r="B1245" s="918"/>
      <c r="C1245" s="909"/>
      <c r="D1245" s="910" t="s">
        <v>64</v>
      </c>
      <c r="E1245" s="911">
        <f>SUM(E1240:E1244)</f>
        <v>41500</v>
      </c>
      <c r="F1245" s="909"/>
      <c r="G1245" s="909"/>
      <c r="H1245" s="909"/>
      <c r="I1245" s="909"/>
      <c r="J1245" s="909"/>
      <c r="K1245" s="909"/>
      <c r="L1245" s="909"/>
      <c r="M1245" s="913"/>
    </row>
    <row r="1246" spans="1:13" ht="20.25" thickTop="1">
      <c r="A1246" s="1"/>
      <c r="B1246" s="48"/>
      <c r="C1246" s="1"/>
      <c r="D1246" s="47"/>
      <c r="E1246" s="95"/>
      <c r="F1246" s="1"/>
      <c r="G1246" s="1"/>
      <c r="H1246" s="1"/>
      <c r="I1246" s="1"/>
      <c r="J1246" s="1"/>
      <c r="K1246" s="1"/>
      <c r="L1246" s="1"/>
      <c r="M1246" s="211"/>
    </row>
    <row r="1247" spans="1:13" ht="19.5">
      <c r="A1247" s="1"/>
      <c r="B1247" s="307" t="s">
        <v>984</v>
      </c>
      <c r="C1247" s="1"/>
      <c r="D1247" s="47"/>
      <c r="E1247" s="264"/>
      <c r="F1247" s="1"/>
      <c r="G1247" s="1"/>
      <c r="H1247" s="1"/>
      <c r="I1247" s="1"/>
      <c r="J1247" s="1"/>
      <c r="K1247" s="1"/>
      <c r="L1247" s="1"/>
      <c r="M1247" s="211"/>
    </row>
    <row r="1248" spans="1:13" ht="19.5">
      <c r="A1248" s="1">
        <v>1</v>
      </c>
      <c r="B1248" s="182" t="s">
        <v>985</v>
      </c>
      <c r="C1248" s="1" t="s">
        <v>986</v>
      </c>
      <c r="D1248" s="4">
        <v>17873</v>
      </c>
      <c r="E1248" s="57">
        <v>50000</v>
      </c>
      <c r="F1248" s="1127" t="s">
        <v>2433</v>
      </c>
      <c r="G1248" s="1" t="s">
        <v>45</v>
      </c>
      <c r="H1248" s="1"/>
      <c r="I1248" s="1"/>
      <c r="J1248" s="1"/>
      <c r="K1248" s="1"/>
      <c r="L1248" s="1"/>
      <c r="M1248" s="211"/>
    </row>
    <row r="1249" spans="1:13" s="914" customFormat="1" ht="20.25" thickBot="1">
      <c r="A1249" s="909">
        <v>1</v>
      </c>
      <c r="B1249" s="908"/>
      <c r="C1249" s="909"/>
      <c r="D1249" s="910" t="s">
        <v>64</v>
      </c>
      <c r="E1249" s="911">
        <f>SUM(E1248)</f>
        <v>50000</v>
      </c>
      <c r="F1249" s="909"/>
      <c r="G1249" s="909"/>
      <c r="H1249" s="909"/>
      <c r="I1249" s="909"/>
      <c r="J1249" s="909"/>
      <c r="K1249" s="909"/>
      <c r="L1249" s="909"/>
      <c r="M1249" s="913"/>
    </row>
    <row r="1250" spans="1:13" ht="20.25" thickTop="1">
      <c r="A1250" s="1"/>
      <c r="B1250" s="2"/>
      <c r="C1250" s="1"/>
      <c r="D1250" s="47"/>
      <c r="E1250" s="278"/>
      <c r="F1250" s="1"/>
      <c r="G1250" s="1"/>
      <c r="H1250" s="1"/>
      <c r="I1250" s="1"/>
      <c r="J1250" s="1"/>
      <c r="K1250" s="1"/>
      <c r="L1250" s="1"/>
      <c r="M1250" s="211"/>
    </row>
    <row r="1251" spans="1:13" ht="19.5">
      <c r="A1251" s="1"/>
      <c r="B1251" s="2"/>
      <c r="C1251" s="1"/>
      <c r="D1251" s="47"/>
      <c r="E1251" s="264"/>
      <c r="F1251" s="1"/>
      <c r="G1251" s="1"/>
      <c r="H1251" s="1"/>
      <c r="I1251" s="1"/>
      <c r="J1251" s="1"/>
      <c r="K1251" s="1"/>
      <c r="L1251" s="1"/>
      <c r="M1251" s="211"/>
    </row>
    <row r="1252" spans="1:13" ht="19.5">
      <c r="A1252" s="1"/>
      <c r="B1252" s="212" t="s">
        <v>966</v>
      </c>
      <c r="C1252" s="1"/>
      <c r="D1252" s="1"/>
      <c r="E1252" s="57"/>
      <c r="F1252" s="1"/>
      <c r="G1252" s="1"/>
      <c r="H1252" s="1"/>
      <c r="I1252" s="1"/>
      <c r="J1252" s="1"/>
      <c r="K1252" s="1"/>
      <c r="L1252" s="1"/>
      <c r="M1252" s="211"/>
    </row>
    <row r="1253" spans="1:13" ht="19.5">
      <c r="A1253" s="1">
        <v>1</v>
      </c>
      <c r="B1253" s="2" t="s">
        <v>967</v>
      </c>
      <c r="C1253" s="1" t="s">
        <v>968</v>
      </c>
      <c r="D1253" s="4">
        <v>17932</v>
      </c>
      <c r="E1253" s="57">
        <v>4000</v>
      </c>
      <c r="F1253" s="1127" t="s">
        <v>2433</v>
      </c>
      <c r="G1253" s="1" t="s">
        <v>45</v>
      </c>
      <c r="H1253" s="1"/>
      <c r="I1253" s="1"/>
      <c r="J1253" s="1"/>
      <c r="K1253" s="1"/>
      <c r="L1253" s="1"/>
      <c r="M1253" s="211"/>
    </row>
    <row r="1254" spans="1:13" ht="19.5">
      <c r="A1254" s="1">
        <v>2</v>
      </c>
      <c r="B1254" s="2" t="s">
        <v>967</v>
      </c>
      <c r="C1254" s="1" t="s">
        <v>969</v>
      </c>
      <c r="D1254" s="4">
        <v>17932</v>
      </c>
      <c r="E1254" s="57">
        <v>4000</v>
      </c>
      <c r="F1254" s="1127" t="s">
        <v>2433</v>
      </c>
      <c r="G1254" s="1" t="s">
        <v>45</v>
      </c>
      <c r="H1254" s="1"/>
      <c r="I1254" s="1"/>
      <c r="J1254" s="1"/>
      <c r="K1254" s="1"/>
      <c r="L1254" s="1"/>
      <c r="M1254" s="211"/>
    </row>
    <row r="1255" spans="1:13" ht="19.5">
      <c r="A1255" s="1">
        <v>3</v>
      </c>
      <c r="B1255" s="2" t="s">
        <v>967</v>
      </c>
      <c r="C1255" s="1" t="s">
        <v>970</v>
      </c>
      <c r="D1255" s="4">
        <v>17932</v>
      </c>
      <c r="E1255" s="57">
        <v>4000</v>
      </c>
      <c r="F1255" s="1127" t="s">
        <v>2433</v>
      </c>
      <c r="G1255" s="1" t="s">
        <v>45</v>
      </c>
      <c r="H1255" s="1"/>
      <c r="I1255" s="1"/>
      <c r="J1255" s="1"/>
      <c r="K1255" s="1"/>
      <c r="L1255" s="1"/>
      <c r="M1255" s="211"/>
    </row>
    <row r="1256" spans="1:13" ht="19.5">
      <c r="A1256" s="1">
        <v>4</v>
      </c>
      <c r="B1256" s="2" t="s">
        <v>967</v>
      </c>
      <c r="C1256" s="1" t="s">
        <v>971</v>
      </c>
      <c r="D1256" s="4">
        <v>17932</v>
      </c>
      <c r="E1256" s="57">
        <v>4500</v>
      </c>
      <c r="F1256" s="1127" t="s">
        <v>2433</v>
      </c>
      <c r="G1256" s="1" t="s">
        <v>45</v>
      </c>
      <c r="H1256" s="1"/>
      <c r="I1256" s="1"/>
      <c r="J1256" s="1"/>
      <c r="K1256" s="1"/>
      <c r="L1256" s="1"/>
      <c r="M1256" s="211"/>
    </row>
    <row r="1257" spans="1:13" ht="19.5">
      <c r="A1257" s="1">
        <v>5</v>
      </c>
      <c r="B1257" s="2" t="s">
        <v>967</v>
      </c>
      <c r="C1257" s="1" t="s">
        <v>972</v>
      </c>
      <c r="D1257" s="4">
        <v>17932</v>
      </c>
      <c r="E1257" s="57">
        <v>4500</v>
      </c>
      <c r="F1257" s="1127" t="s">
        <v>2433</v>
      </c>
      <c r="G1257" s="1" t="s">
        <v>45</v>
      </c>
      <c r="H1257" s="1"/>
      <c r="I1257" s="1"/>
      <c r="J1257" s="1"/>
      <c r="K1257" s="1"/>
      <c r="L1257" s="1"/>
      <c r="M1257" s="211"/>
    </row>
    <row r="1258" spans="1:13" ht="19.5">
      <c r="A1258" s="1">
        <v>6</v>
      </c>
      <c r="B1258" s="2" t="s">
        <v>967</v>
      </c>
      <c r="C1258" s="1" t="s">
        <v>973</v>
      </c>
      <c r="D1258" s="4">
        <v>17932</v>
      </c>
      <c r="E1258" s="57">
        <v>4500</v>
      </c>
      <c r="F1258" s="1127" t="s">
        <v>2433</v>
      </c>
      <c r="G1258" s="1" t="s">
        <v>45</v>
      </c>
      <c r="H1258" s="1"/>
      <c r="I1258" s="1"/>
      <c r="J1258" s="1"/>
      <c r="K1258" s="1"/>
      <c r="L1258" s="1"/>
      <c r="M1258" s="211"/>
    </row>
    <row r="1259" spans="1:13" ht="19.5">
      <c r="A1259" s="1">
        <v>7</v>
      </c>
      <c r="B1259" s="2" t="s">
        <v>967</v>
      </c>
      <c r="C1259" s="1" t="s">
        <v>974</v>
      </c>
      <c r="D1259" s="4">
        <v>17932</v>
      </c>
      <c r="E1259" s="57">
        <v>3500</v>
      </c>
      <c r="F1259" s="1127" t="s">
        <v>2433</v>
      </c>
      <c r="G1259" s="1" t="s">
        <v>45</v>
      </c>
      <c r="H1259" s="1"/>
      <c r="I1259" s="1"/>
      <c r="J1259" s="1"/>
      <c r="K1259" s="1"/>
      <c r="L1259" s="1"/>
      <c r="M1259" s="211"/>
    </row>
    <row r="1260" spans="1:13" ht="19.5">
      <c r="A1260" s="1">
        <v>8</v>
      </c>
      <c r="B1260" s="2" t="s">
        <v>967</v>
      </c>
      <c r="C1260" s="1" t="s">
        <v>975</v>
      </c>
      <c r="D1260" s="4">
        <v>17932</v>
      </c>
      <c r="E1260" s="57">
        <v>3500</v>
      </c>
      <c r="F1260" s="1127" t="s">
        <v>2433</v>
      </c>
      <c r="G1260" s="1" t="s">
        <v>45</v>
      </c>
      <c r="H1260" s="1"/>
      <c r="I1260" s="1"/>
      <c r="J1260" s="1"/>
      <c r="K1260" s="1"/>
      <c r="L1260" s="1"/>
      <c r="M1260" s="211"/>
    </row>
    <row r="1261" spans="1:13" ht="19.5">
      <c r="A1261" s="1">
        <v>9</v>
      </c>
      <c r="B1261" s="2" t="s">
        <v>967</v>
      </c>
      <c r="C1261" s="1" t="s">
        <v>976</v>
      </c>
      <c r="D1261" s="4">
        <v>17932</v>
      </c>
      <c r="E1261" s="57">
        <v>3500</v>
      </c>
      <c r="F1261" s="1127" t="s">
        <v>2433</v>
      </c>
      <c r="G1261" s="1" t="s">
        <v>45</v>
      </c>
      <c r="H1261" s="1"/>
      <c r="I1261" s="1"/>
      <c r="J1261" s="1"/>
      <c r="K1261" s="1"/>
      <c r="L1261" s="1"/>
      <c r="M1261" s="211"/>
    </row>
    <row r="1262" spans="1:13" ht="19.5">
      <c r="A1262" s="1">
        <v>10</v>
      </c>
      <c r="B1262" s="2" t="s">
        <v>967</v>
      </c>
      <c r="C1262" s="1" t="s">
        <v>977</v>
      </c>
      <c r="D1262" s="4">
        <v>17932</v>
      </c>
      <c r="E1262" s="57">
        <v>3500</v>
      </c>
      <c r="F1262" s="1127" t="s">
        <v>2433</v>
      </c>
      <c r="G1262" s="1" t="s">
        <v>45</v>
      </c>
      <c r="H1262" s="1"/>
      <c r="I1262" s="1"/>
      <c r="J1262" s="1"/>
      <c r="K1262" s="1"/>
      <c r="L1262" s="1"/>
      <c r="M1262" s="211"/>
    </row>
    <row r="1263" spans="1:13" ht="19.5">
      <c r="A1263" s="1">
        <v>11</v>
      </c>
      <c r="B1263" s="2" t="s">
        <v>1167</v>
      </c>
      <c r="C1263" s="1" t="s">
        <v>1168</v>
      </c>
      <c r="D1263" s="4">
        <v>19041</v>
      </c>
      <c r="E1263" s="1077">
        <v>4500</v>
      </c>
      <c r="F1263" s="939" t="s">
        <v>999</v>
      </c>
      <c r="G1263" s="1" t="s">
        <v>45</v>
      </c>
      <c r="H1263" s="1"/>
      <c r="I1263" s="1"/>
      <c r="J1263" s="1"/>
      <c r="K1263" s="1"/>
      <c r="L1263" s="1"/>
      <c r="M1263" s="211"/>
    </row>
    <row r="1264" spans="1:13" ht="19.5">
      <c r="A1264" s="1">
        <v>12</v>
      </c>
      <c r="B1264" s="2" t="s">
        <v>1167</v>
      </c>
      <c r="C1264" s="1" t="s">
        <v>1169</v>
      </c>
      <c r="D1264" s="4">
        <v>19041</v>
      </c>
      <c r="E1264" s="1077">
        <v>4500</v>
      </c>
      <c r="F1264" s="939" t="s">
        <v>999</v>
      </c>
      <c r="G1264" s="1" t="s">
        <v>45</v>
      </c>
      <c r="H1264" s="1"/>
      <c r="I1264" s="1"/>
      <c r="J1264" s="1"/>
      <c r="K1264" s="1"/>
      <c r="L1264" s="1"/>
      <c r="M1264" s="211"/>
    </row>
    <row r="1265" spans="1:13" ht="19.5">
      <c r="A1265" s="1">
        <v>13</v>
      </c>
      <c r="B1265" s="2" t="s">
        <v>1167</v>
      </c>
      <c r="C1265" s="1" t="s">
        <v>1170</v>
      </c>
      <c r="D1265" s="4">
        <v>19041</v>
      </c>
      <c r="E1265" s="1077">
        <v>4500</v>
      </c>
      <c r="F1265" s="939" t="s">
        <v>999</v>
      </c>
      <c r="G1265" s="1" t="s">
        <v>45</v>
      </c>
      <c r="H1265" s="1"/>
      <c r="I1265" s="1"/>
      <c r="J1265" s="1"/>
      <c r="K1265" s="1"/>
      <c r="L1265" s="1"/>
      <c r="M1265" s="211"/>
    </row>
    <row r="1266" spans="1:13" ht="19.5">
      <c r="A1266" s="1">
        <v>14</v>
      </c>
      <c r="B1266" s="2" t="s">
        <v>1167</v>
      </c>
      <c r="C1266" s="1" t="s">
        <v>1171</v>
      </c>
      <c r="D1266" s="4">
        <v>19041</v>
      </c>
      <c r="E1266" s="1077">
        <v>4500</v>
      </c>
      <c r="F1266" s="939" t="s">
        <v>999</v>
      </c>
      <c r="G1266" s="1" t="s">
        <v>45</v>
      </c>
      <c r="H1266" s="1"/>
      <c r="I1266" s="1"/>
      <c r="J1266" s="1"/>
      <c r="K1266" s="1"/>
      <c r="L1266" s="1"/>
      <c r="M1266" s="211"/>
    </row>
    <row r="1267" spans="1:13" ht="19.5">
      <c r="A1267" s="1">
        <v>15</v>
      </c>
      <c r="B1267" s="2" t="s">
        <v>1167</v>
      </c>
      <c r="C1267" s="1" t="s">
        <v>1172</v>
      </c>
      <c r="D1267" s="4">
        <v>19041</v>
      </c>
      <c r="E1267" s="1077">
        <v>4500</v>
      </c>
      <c r="F1267" s="939" t="s">
        <v>999</v>
      </c>
      <c r="G1267" s="1" t="s">
        <v>45</v>
      </c>
      <c r="H1267" s="1"/>
      <c r="I1267" s="1"/>
      <c r="J1267" s="1"/>
      <c r="K1267" s="1"/>
      <c r="L1267" s="1"/>
      <c r="M1267" s="211"/>
    </row>
    <row r="1268" spans="1:13" ht="19.5">
      <c r="A1268" s="1">
        <v>16</v>
      </c>
      <c r="B1268" s="2" t="s">
        <v>1167</v>
      </c>
      <c r="C1268" s="1" t="s">
        <v>1173</v>
      </c>
      <c r="D1268" s="4">
        <v>19041</v>
      </c>
      <c r="E1268" s="1077">
        <v>4500</v>
      </c>
      <c r="F1268" s="939" t="s">
        <v>999</v>
      </c>
      <c r="G1268" s="1" t="s">
        <v>45</v>
      </c>
      <c r="H1268" s="1"/>
      <c r="I1268" s="1"/>
      <c r="J1268" s="1"/>
      <c r="K1268" s="1"/>
      <c r="L1268" s="1"/>
      <c r="M1268" s="211"/>
    </row>
    <row r="1269" spans="1:13" ht="19.5">
      <c r="A1269" s="1">
        <v>17</v>
      </c>
      <c r="B1269" s="2" t="s">
        <v>1167</v>
      </c>
      <c r="C1269" s="1" t="s">
        <v>1174</v>
      </c>
      <c r="D1269" s="4">
        <v>19041</v>
      </c>
      <c r="E1269" s="1077">
        <v>4500</v>
      </c>
      <c r="F1269" s="939" t="s">
        <v>999</v>
      </c>
      <c r="G1269" s="1" t="s">
        <v>45</v>
      </c>
      <c r="H1269" s="1"/>
      <c r="I1269" s="1"/>
      <c r="J1269" s="1"/>
      <c r="K1269" s="1"/>
      <c r="L1269" s="1"/>
      <c r="M1269" s="211"/>
    </row>
    <row r="1270" spans="1:13" ht="19.5">
      <c r="A1270" s="1">
        <v>18</v>
      </c>
      <c r="B1270" s="2" t="s">
        <v>1167</v>
      </c>
      <c r="C1270" s="1" t="s">
        <v>1175</v>
      </c>
      <c r="D1270" s="4">
        <v>19041</v>
      </c>
      <c r="E1270" s="1077">
        <v>4500</v>
      </c>
      <c r="F1270" s="939" t="s">
        <v>999</v>
      </c>
      <c r="G1270" s="1" t="s">
        <v>45</v>
      </c>
      <c r="H1270" s="1"/>
      <c r="I1270" s="1"/>
      <c r="J1270" s="1"/>
      <c r="K1270" s="1"/>
      <c r="L1270" s="1"/>
      <c r="M1270" s="211"/>
    </row>
    <row r="1271" spans="1:13" ht="19.5">
      <c r="A1271" s="1">
        <v>19</v>
      </c>
      <c r="B1271" s="2" t="s">
        <v>1176</v>
      </c>
      <c r="C1271" s="1" t="s">
        <v>1177</v>
      </c>
      <c r="D1271" s="4">
        <v>19041</v>
      </c>
      <c r="E1271" s="1077">
        <v>5200</v>
      </c>
      <c r="F1271" s="939" t="s">
        <v>999</v>
      </c>
      <c r="G1271" s="1" t="s">
        <v>45</v>
      </c>
      <c r="H1271" s="1"/>
      <c r="I1271" s="1"/>
      <c r="J1271" s="1"/>
      <c r="K1271" s="1"/>
      <c r="L1271" s="1"/>
      <c r="M1271" s="211"/>
    </row>
    <row r="1272" spans="1:13" ht="19.5">
      <c r="A1272" s="1">
        <v>20</v>
      </c>
      <c r="B1272" s="2" t="s">
        <v>1176</v>
      </c>
      <c r="C1272" s="1" t="s">
        <v>1178</v>
      </c>
      <c r="D1272" s="4">
        <v>19041</v>
      </c>
      <c r="E1272" s="1077">
        <v>5200</v>
      </c>
      <c r="F1272" s="939" t="s">
        <v>999</v>
      </c>
      <c r="G1272" s="1" t="s">
        <v>45</v>
      </c>
      <c r="H1272" s="1"/>
      <c r="I1272" s="1"/>
      <c r="J1272" s="1"/>
      <c r="K1272" s="1"/>
      <c r="L1272" s="1"/>
      <c r="M1272" s="211"/>
    </row>
    <row r="1273" spans="1:13" ht="19.5">
      <c r="A1273" s="1">
        <v>21</v>
      </c>
      <c r="B1273" s="2" t="s">
        <v>1176</v>
      </c>
      <c r="C1273" s="1" t="s">
        <v>1179</v>
      </c>
      <c r="D1273" s="4">
        <v>19041</v>
      </c>
      <c r="E1273" s="1077">
        <v>5200</v>
      </c>
      <c r="F1273" s="939" t="s">
        <v>999</v>
      </c>
      <c r="G1273" s="1" t="s">
        <v>45</v>
      </c>
      <c r="H1273" s="1"/>
      <c r="I1273" s="1"/>
      <c r="J1273" s="1"/>
      <c r="K1273" s="1"/>
      <c r="L1273" s="1"/>
      <c r="M1273" s="211"/>
    </row>
    <row r="1274" spans="1:13" ht="19.5">
      <c r="A1274" s="1">
        <v>22</v>
      </c>
      <c r="B1274" s="2" t="s">
        <v>1176</v>
      </c>
      <c r="C1274" s="1" t="s">
        <v>1180</v>
      </c>
      <c r="D1274" s="4">
        <v>19041</v>
      </c>
      <c r="E1274" s="1077">
        <v>5200</v>
      </c>
      <c r="F1274" s="939" t="s">
        <v>999</v>
      </c>
      <c r="G1274" s="1" t="s">
        <v>45</v>
      </c>
      <c r="H1274" s="1"/>
      <c r="I1274" s="1"/>
      <c r="J1274" s="1"/>
      <c r="K1274" s="1"/>
      <c r="L1274" s="1"/>
      <c r="M1274" s="211"/>
    </row>
    <row r="1275" spans="1:13" ht="19.5">
      <c r="A1275" s="1">
        <v>23</v>
      </c>
      <c r="B1275" s="2" t="s">
        <v>987</v>
      </c>
      <c r="C1275" s="1" t="s">
        <v>988</v>
      </c>
      <c r="D1275" s="4">
        <v>19041</v>
      </c>
      <c r="E1275" s="57">
        <v>5200</v>
      </c>
      <c r="F1275" s="1127" t="s">
        <v>2433</v>
      </c>
      <c r="G1275" s="1" t="s">
        <v>45</v>
      </c>
      <c r="H1275" s="1"/>
      <c r="I1275" s="1"/>
      <c r="J1275" s="1"/>
      <c r="K1275" s="1"/>
      <c r="L1275" s="1"/>
      <c r="M1275" s="211"/>
    </row>
    <row r="1276" spans="1:13" ht="19.5">
      <c r="A1276" s="1">
        <v>24</v>
      </c>
      <c r="B1276" s="2" t="s">
        <v>987</v>
      </c>
      <c r="C1276" s="1" t="s">
        <v>989</v>
      </c>
      <c r="D1276" s="4">
        <v>19041</v>
      </c>
      <c r="E1276" s="57">
        <v>5200</v>
      </c>
      <c r="F1276" s="1127" t="s">
        <v>2433</v>
      </c>
      <c r="G1276" s="1" t="s">
        <v>45</v>
      </c>
      <c r="H1276" s="1"/>
      <c r="I1276" s="1"/>
      <c r="J1276" s="1"/>
      <c r="K1276" s="1"/>
      <c r="L1276" s="1"/>
      <c r="M1276" s="211"/>
    </row>
    <row r="1277" spans="1:13" ht="19.5">
      <c r="A1277" s="1">
        <v>25</v>
      </c>
      <c r="B1277" s="2" t="s">
        <v>1181</v>
      </c>
      <c r="C1277" s="1" t="s">
        <v>1182</v>
      </c>
      <c r="D1277" s="4">
        <v>19041</v>
      </c>
      <c r="E1277" s="1077">
        <v>6200</v>
      </c>
      <c r="F1277" s="939" t="s">
        <v>999</v>
      </c>
      <c r="G1277" s="1" t="s">
        <v>45</v>
      </c>
      <c r="H1277" s="1"/>
      <c r="I1277" s="1"/>
      <c r="J1277" s="1"/>
      <c r="K1277" s="1"/>
      <c r="L1277" s="1"/>
      <c r="M1277" s="211"/>
    </row>
    <row r="1278" spans="1:13" ht="19.5">
      <c r="A1278" s="1">
        <v>26</v>
      </c>
      <c r="B1278" s="2" t="s">
        <v>1181</v>
      </c>
      <c r="C1278" s="1" t="s">
        <v>1183</v>
      </c>
      <c r="D1278" s="4">
        <v>19041</v>
      </c>
      <c r="E1278" s="1077">
        <v>6200</v>
      </c>
      <c r="F1278" s="939" t="s">
        <v>999</v>
      </c>
      <c r="G1278" s="1" t="s">
        <v>45</v>
      </c>
      <c r="H1278" s="1"/>
      <c r="I1278" s="1"/>
      <c r="J1278" s="1"/>
      <c r="K1278" s="1"/>
      <c r="L1278" s="1"/>
      <c r="M1278" s="211"/>
    </row>
    <row r="1279" spans="1:13" ht="19.5">
      <c r="A1279" s="1">
        <v>27</v>
      </c>
      <c r="B1279" s="2" t="s">
        <v>1181</v>
      </c>
      <c r="C1279" s="1" t="s">
        <v>1184</v>
      </c>
      <c r="D1279" s="4">
        <v>19041</v>
      </c>
      <c r="E1279" s="1077">
        <v>6200</v>
      </c>
      <c r="F1279" s="939" t="s">
        <v>999</v>
      </c>
      <c r="G1279" s="1" t="s">
        <v>45</v>
      </c>
      <c r="H1279" s="1"/>
      <c r="I1279" s="1"/>
      <c r="J1279" s="1"/>
      <c r="K1279" s="1"/>
      <c r="L1279" s="1"/>
      <c r="M1279" s="211"/>
    </row>
    <row r="1280" spans="1:13" ht="19.5">
      <c r="A1280" s="1">
        <v>28</v>
      </c>
      <c r="B1280" s="2" t="s">
        <v>1181</v>
      </c>
      <c r="C1280" s="1" t="s">
        <v>1185</v>
      </c>
      <c r="D1280" s="4">
        <v>19041</v>
      </c>
      <c r="E1280" s="1077">
        <v>6200</v>
      </c>
      <c r="F1280" s="939" t="s">
        <v>999</v>
      </c>
      <c r="G1280" s="1" t="s">
        <v>45</v>
      </c>
      <c r="H1280" s="1"/>
      <c r="I1280" s="1"/>
      <c r="J1280" s="1"/>
      <c r="K1280" s="1"/>
      <c r="L1280" s="1"/>
      <c r="M1280" s="211"/>
    </row>
    <row r="1281" spans="1:13" ht="19.5">
      <c r="A1281" s="1">
        <v>29</v>
      </c>
      <c r="B1281" s="2" t="s">
        <v>1181</v>
      </c>
      <c r="C1281" s="1" t="s">
        <v>1186</v>
      </c>
      <c r="D1281" s="4">
        <v>19041</v>
      </c>
      <c r="E1281" s="1077">
        <v>6200</v>
      </c>
      <c r="F1281" s="939" t="s">
        <v>999</v>
      </c>
      <c r="G1281" s="1" t="s">
        <v>45</v>
      </c>
      <c r="H1281" s="1"/>
      <c r="I1281" s="1"/>
      <c r="J1281" s="1"/>
      <c r="K1281" s="1"/>
      <c r="L1281" s="1"/>
      <c r="M1281" s="211"/>
    </row>
    <row r="1282" spans="1:13" ht="19.5">
      <c r="A1282" s="1">
        <v>30</v>
      </c>
      <c r="B1282" s="2" t="s">
        <v>1181</v>
      </c>
      <c r="C1282" s="1" t="s">
        <v>991</v>
      </c>
      <c r="D1282" s="4">
        <v>19041</v>
      </c>
      <c r="E1282" s="1082">
        <v>6200</v>
      </c>
      <c r="F1282" s="1011" t="s">
        <v>999</v>
      </c>
      <c r="G1282" s="1" t="s">
        <v>45</v>
      </c>
      <c r="H1282" s="1"/>
      <c r="I1282" s="1"/>
      <c r="J1282" s="1"/>
      <c r="K1282" s="1"/>
      <c r="L1282" s="1"/>
      <c r="M1282" s="211"/>
    </row>
    <row r="1283" spans="1:13" ht="19.5">
      <c r="A1283" s="1">
        <v>31</v>
      </c>
      <c r="B1283" s="2" t="s">
        <v>990</v>
      </c>
      <c r="C1283" s="1" t="s">
        <v>992</v>
      </c>
      <c r="D1283" s="4">
        <v>19041</v>
      </c>
      <c r="E1283" s="57">
        <v>6200</v>
      </c>
      <c r="F1283" s="1127" t="s">
        <v>2433</v>
      </c>
      <c r="G1283" s="1" t="s">
        <v>45</v>
      </c>
      <c r="H1283" s="1"/>
      <c r="I1283" s="1"/>
      <c r="J1283" s="1"/>
      <c r="K1283" s="1"/>
      <c r="L1283" s="1"/>
      <c r="M1283" s="211"/>
    </row>
    <row r="1284" spans="1:13" ht="19.5">
      <c r="A1284" s="1">
        <v>32</v>
      </c>
      <c r="B1284" s="2" t="s">
        <v>1187</v>
      </c>
      <c r="C1284" s="1" t="s">
        <v>1188</v>
      </c>
      <c r="D1284" s="4">
        <v>19041</v>
      </c>
      <c r="E1284" s="1077">
        <v>6200</v>
      </c>
      <c r="F1284" s="939" t="s">
        <v>999</v>
      </c>
      <c r="G1284" s="1" t="s">
        <v>45</v>
      </c>
      <c r="H1284" s="1"/>
      <c r="I1284" s="1"/>
      <c r="J1284" s="1"/>
      <c r="K1284" s="1"/>
      <c r="L1284" s="1"/>
      <c r="M1284" s="211"/>
    </row>
    <row r="1285" spans="1:13" ht="19.5">
      <c r="A1285" s="1">
        <v>33</v>
      </c>
      <c r="B1285" s="2" t="s">
        <v>1187</v>
      </c>
      <c r="C1285" s="1" t="s">
        <v>1189</v>
      </c>
      <c r="D1285" s="4">
        <v>19041</v>
      </c>
      <c r="E1285" s="1077">
        <v>6200</v>
      </c>
      <c r="F1285" s="939" t="s">
        <v>999</v>
      </c>
      <c r="G1285" s="1" t="s">
        <v>45</v>
      </c>
      <c r="H1285" s="1"/>
      <c r="I1285" s="1"/>
      <c r="J1285" s="1"/>
      <c r="K1285" s="1"/>
      <c r="L1285" s="1"/>
      <c r="M1285" s="211"/>
    </row>
    <row r="1286" spans="1:13" ht="19.5">
      <c r="A1286" s="1">
        <v>34</v>
      </c>
      <c r="B1286" s="2" t="s">
        <v>1187</v>
      </c>
      <c r="C1286" s="1" t="s">
        <v>1190</v>
      </c>
      <c r="D1286" s="4">
        <v>19041</v>
      </c>
      <c r="E1286" s="1077">
        <v>6200</v>
      </c>
      <c r="F1286" s="939" t="s">
        <v>999</v>
      </c>
      <c r="G1286" s="1" t="s">
        <v>45</v>
      </c>
      <c r="H1286" s="1"/>
      <c r="I1286" s="1"/>
      <c r="J1286" s="1"/>
      <c r="K1286" s="1"/>
      <c r="L1286" s="1"/>
      <c r="M1286" s="211"/>
    </row>
    <row r="1287" spans="1:13" ht="19.5">
      <c r="A1287" s="1">
        <v>35</v>
      </c>
      <c r="B1287" s="2" t="s">
        <v>1187</v>
      </c>
      <c r="C1287" s="1" t="s">
        <v>1191</v>
      </c>
      <c r="D1287" s="4">
        <v>19041</v>
      </c>
      <c r="E1287" s="1077">
        <v>6200</v>
      </c>
      <c r="F1287" s="939" t="s">
        <v>999</v>
      </c>
      <c r="G1287" s="1" t="s">
        <v>45</v>
      </c>
      <c r="H1287" s="1"/>
      <c r="I1287" s="1"/>
      <c r="J1287" s="1"/>
      <c r="K1287" s="1"/>
      <c r="L1287" s="1"/>
      <c r="M1287" s="211"/>
    </row>
    <row r="1288" spans="1:13" ht="19.5">
      <c r="A1288" s="1">
        <v>36</v>
      </c>
      <c r="B1288" s="2" t="s">
        <v>1187</v>
      </c>
      <c r="C1288" s="1" t="s">
        <v>1192</v>
      </c>
      <c r="D1288" s="4">
        <v>19041</v>
      </c>
      <c r="E1288" s="1077">
        <v>6200</v>
      </c>
      <c r="F1288" s="939" t="s">
        <v>999</v>
      </c>
      <c r="G1288" s="1" t="s">
        <v>45</v>
      </c>
      <c r="H1288" s="1"/>
      <c r="I1288" s="1"/>
      <c r="J1288" s="1"/>
      <c r="K1288" s="1"/>
      <c r="L1288" s="1"/>
      <c r="M1288" s="211"/>
    </row>
    <row r="1289" spans="1:13" ht="19.5">
      <c r="A1289" s="1">
        <v>37</v>
      </c>
      <c r="B1289" s="2" t="s">
        <v>1187</v>
      </c>
      <c r="C1289" s="1" t="s">
        <v>1193</v>
      </c>
      <c r="D1289" s="4">
        <v>19041</v>
      </c>
      <c r="E1289" s="1077">
        <v>6200</v>
      </c>
      <c r="F1289" s="939" t="s">
        <v>999</v>
      </c>
      <c r="G1289" s="1" t="s">
        <v>45</v>
      </c>
      <c r="H1289" s="1"/>
      <c r="I1289" s="1"/>
      <c r="J1289" s="1"/>
      <c r="K1289" s="1"/>
      <c r="L1289" s="1"/>
      <c r="M1289" s="211"/>
    </row>
    <row r="1290" spans="1:13" ht="39">
      <c r="A1290" s="223">
        <v>38</v>
      </c>
      <c r="B1290" s="511" t="s">
        <v>3399</v>
      </c>
      <c r="C1290" s="223" t="s">
        <v>3400</v>
      </c>
      <c r="D1290" s="270" t="s">
        <v>3401</v>
      </c>
      <c r="E1290" s="532">
        <v>8000</v>
      </c>
      <c r="F1290" s="1125" t="s">
        <v>3515</v>
      </c>
      <c r="G1290" s="223" t="s">
        <v>45</v>
      </c>
      <c r="H1290" s="223"/>
      <c r="I1290" s="223"/>
      <c r="J1290" s="223"/>
      <c r="K1290" s="223"/>
      <c r="L1290" s="223"/>
      <c r="M1290" s="289" t="s">
        <v>3524</v>
      </c>
    </row>
    <row r="1291" spans="1:13" s="914" customFormat="1" ht="20.25" thickBot="1">
      <c r="A1291" s="909">
        <v>38</v>
      </c>
      <c r="B1291" s="918"/>
      <c r="C1291" s="909"/>
      <c r="D1291" s="910" t="s">
        <v>64</v>
      </c>
      <c r="E1291" s="911">
        <f>SUM(E1253:E1290)</f>
        <v>195300</v>
      </c>
      <c r="F1291" s="909"/>
      <c r="G1291" s="909"/>
      <c r="H1291" s="909"/>
      <c r="I1291" s="909"/>
      <c r="J1291" s="909"/>
      <c r="K1291" s="909"/>
      <c r="L1291" s="909"/>
      <c r="M1291" s="913"/>
    </row>
    <row r="1292" spans="1:13" ht="20.25" thickTop="1">
      <c r="A1292" s="1"/>
      <c r="B1292" s="178" t="s">
        <v>1194</v>
      </c>
      <c r="C1292" s="1"/>
      <c r="D1292" s="308"/>
      <c r="E1292" s="187"/>
      <c r="F1292" s="1"/>
      <c r="G1292" s="1"/>
      <c r="H1292" s="1"/>
      <c r="I1292" s="1"/>
      <c r="J1292" s="1"/>
      <c r="K1292" s="1"/>
      <c r="L1292" s="1"/>
      <c r="M1292" s="211"/>
    </row>
    <row r="1293" spans="1:13" ht="19.5">
      <c r="A1293" s="1">
        <v>1</v>
      </c>
      <c r="B1293" s="3" t="s">
        <v>2652</v>
      </c>
      <c r="C1293" s="158" t="s">
        <v>2653</v>
      </c>
      <c r="D1293" s="4">
        <v>23522</v>
      </c>
      <c r="E1293" s="1077">
        <v>234009</v>
      </c>
      <c r="F1293" s="939" t="s">
        <v>999</v>
      </c>
      <c r="G1293" s="1" t="s">
        <v>45</v>
      </c>
      <c r="H1293" s="1"/>
      <c r="I1293" s="1"/>
      <c r="J1293" s="1"/>
      <c r="K1293" s="1"/>
      <c r="L1293" s="1"/>
      <c r="M1293" s="211"/>
    </row>
    <row r="1294" spans="1:13" s="914" customFormat="1" ht="20.25" thickBot="1">
      <c r="A1294" s="909">
        <v>1</v>
      </c>
      <c r="B1294" s="921"/>
      <c r="C1294" s="909"/>
      <c r="D1294" s="910" t="s">
        <v>64</v>
      </c>
      <c r="E1294" s="911">
        <f>SUM(E1293:E1293)</f>
        <v>234009</v>
      </c>
      <c r="F1294" s="909"/>
      <c r="G1294" s="909"/>
      <c r="H1294" s="909"/>
      <c r="I1294" s="909"/>
      <c r="J1294" s="909"/>
      <c r="K1294" s="909"/>
      <c r="L1294" s="909"/>
      <c r="M1294" s="913"/>
    </row>
    <row r="1295" spans="1:13" ht="20.25" thickTop="1">
      <c r="A1295" s="1"/>
      <c r="B1295" s="212" t="s">
        <v>993</v>
      </c>
      <c r="C1295" s="1"/>
      <c r="D1295" s="4"/>
      <c r="E1295" s="302"/>
      <c r="F1295" s="1"/>
      <c r="G1295" s="1"/>
      <c r="H1295" s="1"/>
      <c r="I1295" s="1"/>
      <c r="J1295" s="1"/>
      <c r="K1295" s="1"/>
      <c r="L1295" s="1"/>
      <c r="M1295" s="211"/>
    </row>
    <row r="1296" spans="1:13" ht="19.5">
      <c r="A1296" s="1">
        <v>1</v>
      </c>
      <c r="B1296" s="2" t="s">
        <v>994</v>
      </c>
      <c r="C1296" s="1" t="s">
        <v>995</v>
      </c>
      <c r="D1296" s="4">
        <v>20666</v>
      </c>
      <c r="E1296" s="57">
        <v>9400</v>
      </c>
      <c r="F1296" s="1127" t="s">
        <v>2433</v>
      </c>
      <c r="G1296" s="1" t="s">
        <v>45</v>
      </c>
      <c r="H1296" s="1"/>
      <c r="I1296" s="1"/>
      <c r="J1296" s="1"/>
      <c r="K1296" s="1"/>
      <c r="L1296" s="1"/>
      <c r="M1296" s="211"/>
    </row>
    <row r="1297" spans="1:13" s="914" customFormat="1" ht="20.25" thickBot="1">
      <c r="A1297" s="909">
        <v>1</v>
      </c>
      <c r="B1297" s="908"/>
      <c r="C1297" s="909"/>
      <c r="D1297" s="920" t="s">
        <v>996</v>
      </c>
      <c r="E1297" s="911">
        <f>SUM(E1296)</f>
        <v>9400</v>
      </c>
      <c r="F1297" s="909"/>
      <c r="G1297" s="937"/>
      <c r="H1297" s="937"/>
      <c r="I1297" s="937"/>
      <c r="J1297" s="937"/>
      <c r="K1297" s="937"/>
      <c r="L1297" s="937"/>
      <c r="M1297" s="938"/>
    </row>
    <row r="1298" spans="1:13" ht="20.25" thickTop="1">
      <c r="A1298" s="1"/>
      <c r="B1298" s="2"/>
      <c r="C1298" s="1"/>
      <c r="D1298" s="277"/>
      <c r="E1298" s="269"/>
      <c r="F1298" s="1"/>
      <c r="G1298" s="222"/>
      <c r="H1298" s="222"/>
      <c r="I1298" s="222"/>
      <c r="J1298" s="222"/>
      <c r="K1298" s="222"/>
      <c r="L1298" s="222"/>
      <c r="M1298" s="528"/>
    </row>
    <row r="1299" spans="1:13" s="944" customFormat="1" ht="20.25" thickBot="1">
      <c r="A1299" s="939">
        <f>A1297+A1294+A1291+A1249+A1245+A1237+A1231+A1224+A1220+A1211+A1192+A1136+A1124+A1119+A1113+A1106+A994+A988+A984+A981+A971+A831+A827+A802+A764+A274+A40+A977</f>
        <v>1213</v>
      </c>
      <c r="B1299" s="940"/>
      <c r="C1299" s="939"/>
      <c r="D1299" s="941" t="s">
        <v>1723</v>
      </c>
      <c r="E1299" s="942">
        <f>E1297+E1294+E1291+E1249+E1245+E1237+E1231+E1224+E1220+E1211+E1192+E1136+E1124+E1119+E1113+E1106+E994+E988+E984+E981+E977+E971+E831+E827+E802+E764+E274+E40</f>
        <v>11974579.690000001</v>
      </c>
      <c r="F1299" s="939"/>
      <c r="G1299" s="939"/>
      <c r="H1299" s="939"/>
      <c r="I1299" s="939"/>
      <c r="J1299" s="939"/>
      <c r="K1299" s="939"/>
      <c r="L1299" s="939"/>
      <c r="M1299" s="943"/>
    </row>
    <row r="1300" spans="1:13" ht="15" thickTop="1"/>
  </sheetData>
  <autoFilter ref="F1:F1300" xr:uid="{8D5AD2FC-1AE1-406C-8940-697D747296AD}"/>
  <mergeCells count="23">
    <mergeCell ref="A155:A156"/>
    <mergeCell ref="C155:C156"/>
    <mergeCell ref="E155:E15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  <mergeCell ref="M5:M6"/>
    <mergeCell ref="A149:A150"/>
    <mergeCell ref="C149:C150"/>
    <mergeCell ref="E149:E150"/>
    <mergeCell ref="A151:A152"/>
    <mergeCell ref="C151:C152"/>
    <mergeCell ref="E151:E152"/>
    <mergeCell ref="A153:A154"/>
    <mergeCell ref="C153:C154"/>
    <mergeCell ref="E153:E154"/>
  </mergeCells>
  <phoneticPr fontId="60" type="noConversion"/>
  <dataValidations disablePrompts="1" count="1">
    <dataValidation operator="greaterThanOrEqual" allowBlank="1" showInputMessage="1" showErrorMessage="1" sqref="B1239 B1228:B1230 B1241:B1244 B1233:B1236" xr:uid="{00000000-0002-0000-0400-000000000000}"/>
  </dataValidations>
  <hyperlinks>
    <hyperlink ref="B57" r:id="rId1" display="โต๊ะประชุมสภาเทศบาล@1" xr:uid="{00000000-0004-0000-0400-000000000000}"/>
    <hyperlink ref="B183" r:id="rId2" display="โต๊ะประชุมผู้บริหาร@1" xr:uid="{00000000-0004-0000-0400-000001000000}"/>
    <hyperlink ref="B184:B187" r:id="rId3" display="โต๊ะประชุมผู้บริหาร@1" xr:uid="{00000000-0004-0000-0400-000002000000}"/>
    <hyperlink ref="B189" r:id="rId4" display="โต๊ะครึ่งวงกลมต่อโค้ง@1" xr:uid="{00000000-0004-0000-0400-000003000000}"/>
    <hyperlink ref="B188" r:id="rId5" display="โต๊ะประชุมผู้บริหาร@1" xr:uid="{00000000-0004-0000-0400-000004000000}"/>
    <hyperlink ref="B190" r:id="rId6" display="โต๊ะครึ่งวงกลมต่อโค้ง@1" xr:uid="{00000000-0004-0000-0400-000005000000}"/>
    <hyperlink ref="B287" r:id="rId7" display="เก้าอี้คณะผู้บริหารเทศบาล@1" xr:uid="{00000000-0004-0000-0400-000008000000}"/>
    <hyperlink ref="B297" r:id="rId8" display="เก้าอี้ผู้บริหารเบาะหนังปนฝ้าย@1" xr:uid="{00000000-0004-0000-0400-000009000000}"/>
    <hyperlink ref="B298:B300" r:id="rId9" display="เก้าอี้ผู้บริหารเบาะหนังปนฝ้าย@1" xr:uid="{00000000-0004-0000-0400-00000A000000}"/>
    <hyperlink ref="B303:B309" r:id="rId10" display="เก้าอี้ผู้บริหารเบาะหนังปนฝ้าย@1" xr:uid="{00000000-0004-0000-0400-00000B000000}"/>
    <hyperlink ref="B310" r:id="rId11" display="เก้าอี้ผู้บริหารเบาะหนังปนฝ้าย@1" xr:uid="{00000000-0004-0000-0400-00000C000000}"/>
    <hyperlink ref="B301:B302" r:id="rId12" display="เก้าอี้ผู้บริหารเบาะหนังปนฝ้าย@1" xr:uid="{00000000-0004-0000-0400-00000D000000}"/>
    <hyperlink ref="B288" r:id="rId13" display="เก้าอี้คณะผู้บริหารเทศบาล@1" xr:uid="{00000000-0004-0000-0400-00000F000000}"/>
    <hyperlink ref="B289" r:id="rId14" display="เก้าอี้คณะผู้บริหารเทศบาล@1" xr:uid="{00000000-0004-0000-0400-000010000000}"/>
    <hyperlink ref="B290" r:id="rId15" display="เก้าอี้คณะผู้บริหารเทศบาล@1" xr:uid="{00000000-0004-0000-0400-000011000000}"/>
  </hyperlinks>
  <pageMargins left="0.15748031496062992" right="0.15748031496062992" top="0.43307086614173229" bottom="0.35433070866141736" header="0.31496062992125984" footer="0.31496062992125984"/>
  <pageSetup paperSize="9" scale="80" fitToHeight="0" orientation="landscape" horizontalDpi="4294967294" r:id="rId16"/>
  <rowBreaks count="1" manualBreakCount="1">
    <brk id="1052" max="12" man="1"/>
  </rowBreaks>
  <legacy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M141"/>
  <sheetViews>
    <sheetView view="pageBreakPreview" topLeftCell="A19" zoomScale="85" zoomScaleSheetLayoutView="85" workbookViewId="0">
      <selection activeCell="F134" sqref="F134"/>
    </sheetView>
  </sheetViews>
  <sheetFormatPr defaultColWidth="9" defaultRowHeight="19.5"/>
  <cols>
    <col min="1" max="1" width="5.25" style="36" customWidth="1"/>
    <col min="2" max="2" width="38" style="36" customWidth="1"/>
    <col min="3" max="3" width="12.25" style="36" customWidth="1"/>
    <col min="4" max="4" width="9.75" style="36" customWidth="1"/>
    <col min="5" max="5" width="15.625" style="220" customWidth="1"/>
    <col min="6" max="6" width="11.75" style="36" customWidth="1"/>
    <col min="7" max="12" width="4.625" style="36" customWidth="1"/>
    <col min="13" max="13" width="15.125" style="422" customWidth="1"/>
    <col min="14" max="16384" width="9" style="36"/>
  </cols>
  <sheetData>
    <row r="1" spans="1:13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>
      <c r="A2" s="1231" t="s">
        <v>3563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62"/>
    </row>
    <row r="7" spans="1:13">
      <c r="A7" s="42"/>
      <c r="B7" s="5" t="s">
        <v>1734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09"/>
    </row>
    <row r="8" spans="1:13">
      <c r="A8" s="42"/>
      <c r="B8" s="310" t="s">
        <v>1987</v>
      </c>
      <c r="C8" s="42"/>
      <c r="D8" s="43"/>
      <c r="E8" s="311"/>
      <c r="F8" s="218"/>
      <c r="G8" s="218"/>
      <c r="H8" s="218"/>
      <c r="I8" s="42"/>
      <c r="J8" s="218"/>
      <c r="K8" s="42"/>
      <c r="L8" s="42"/>
      <c r="M8" s="309"/>
    </row>
    <row r="9" spans="1:13">
      <c r="A9" s="312">
        <v>1</v>
      </c>
      <c r="B9" s="313" t="s">
        <v>1704</v>
      </c>
      <c r="C9" s="314" t="s">
        <v>1705</v>
      </c>
      <c r="D9" s="315">
        <v>12008</v>
      </c>
      <c r="E9" s="1099">
        <v>599000</v>
      </c>
      <c r="F9" s="1185" t="s">
        <v>1649</v>
      </c>
      <c r="G9" s="199" t="s">
        <v>45</v>
      </c>
      <c r="H9" s="317"/>
      <c r="I9" s="38"/>
      <c r="J9" s="317"/>
      <c r="K9" s="38"/>
      <c r="L9" s="38"/>
      <c r="M9" s="318" t="s">
        <v>3257</v>
      </c>
    </row>
    <row r="10" spans="1:13">
      <c r="A10" s="319"/>
      <c r="B10" s="320" t="s">
        <v>2380</v>
      </c>
      <c r="C10" s="321"/>
      <c r="D10" s="322"/>
      <c r="E10" s="323"/>
      <c r="F10" s="324"/>
      <c r="G10" s="325"/>
      <c r="H10" s="326"/>
      <c r="I10" s="40"/>
      <c r="J10" s="326"/>
      <c r="K10" s="40"/>
      <c r="L10" s="40"/>
      <c r="M10" s="267" t="s">
        <v>3258</v>
      </c>
    </row>
    <row r="11" spans="1:13">
      <c r="A11" s="319"/>
      <c r="B11" s="320" t="s">
        <v>2381</v>
      </c>
      <c r="C11" s="321"/>
      <c r="D11" s="322"/>
      <c r="E11" s="323"/>
      <c r="F11" s="324"/>
      <c r="G11" s="325"/>
      <c r="H11" s="326"/>
      <c r="I11" s="40"/>
      <c r="J11" s="326"/>
      <c r="K11" s="40"/>
      <c r="L11" s="40"/>
      <c r="M11" s="267" t="s">
        <v>3226</v>
      </c>
    </row>
    <row r="12" spans="1:13">
      <c r="A12" s="312">
        <v>2</v>
      </c>
      <c r="B12" s="313" t="s">
        <v>1706</v>
      </c>
      <c r="C12" s="314" t="s">
        <v>1707</v>
      </c>
      <c r="D12" s="315">
        <v>13809</v>
      </c>
      <c r="E12" s="1099">
        <v>350000</v>
      </c>
      <c r="F12" s="1185" t="s">
        <v>1649</v>
      </c>
      <c r="G12" s="199" t="s">
        <v>45</v>
      </c>
      <c r="H12" s="317"/>
      <c r="I12" s="38"/>
      <c r="J12" s="317"/>
      <c r="K12" s="38"/>
      <c r="L12" s="38"/>
      <c r="M12" s="318" t="s">
        <v>3207</v>
      </c>
    </row>
    <row r="13" spans="1:13">
      <c r="A13" s="319"/>
      <c r="B13" s="320" t="s">
        <v>2382</v>
      </c>
      <c r="C13" s="321"/>
      <c r="D13" s="322"/>
      <c r="E13" s="323"/>
      <c r="F13" s="327"/>
      <c r="G13" s="325"/>
      <c r="H13" s="326"/>
      <c r="I13" s="40"/>
      <c r="J13" s="326"/>
      <c r="K13" s="40"/>
      <c r="L13" s="40"/>
      <c r="M13" s="267" t="s">
        <v>3259</v>
      </c>
    </row>
    <row r="14" spans="1:13">
      <c r="A14" s="319"/>
      <c r="B14" s="320" t="s">
        <v>2383</v>
      </c>
      <c r="C14" s="321"/>
      <c r="D14" s="322"/>
      <c r="E14" s="323"/>
      <c r="F14" s="327"/>
      <c r="G14" s="325"/>
      <c r="H14" s="326"/>
      <c r="I14" s="40"/>
      <c r="J14" s="326"/>
      <c r="K14" s="40"/>
      <c r="L14" s="40"/>
      <c r="M14" s="267" t="s">
        <v>3226</v>
      </c>
    </row>
    <row r="15" spans="1:13">
      <c r="A15" s="42"/>
      <c r="B15" s="328" t="s">
        <v>3236</v>
      </c>
      <c r="C15" s="42"/>
      <c r="D15" s="43"/>
      <c r="E15" s="217"/>
      <c r="F15" s="329"/>
      <c r="G15" s="218"/>
      <c r="H15" s="218"/>
      <c r="I15" s="42"/>
      <c r="J15" s="218"/>
      <c r="K15" s="42"/>
      <c r="L15" s="42"/>
      <c r="M15" s="309"/>
    </row>
    <row r="16" spans="1:13">
      <c r="A16" s="232">
        <v>3</v>
      </c>
      <c r="B16" s="328" t="s">
        <v>1994</v>
      </c>
      <c r="C16" s="232" t="s">
        <v>1995</v>
      </c>
      <c r="D16" s="263">
        <v>14606</v>
      </c>
      <c r="E16" s="330">
        <v>525000</v>
      </c>
      <c r="F16" s="1127" t="s">
        <v>2433</v>
      </c>
      <c r="G16" s="158" t="s">
        <v>45</v>
      </c>
      <c r="H16" s="218"/>
      <c r="I16" s="42"/>
      <c r="J16" s="218"/>
      <c r="K16" s="42"/>
      <c r="L16" s="42"/>
      <c r="M16" s="309"/>
    </row>
    <row r="17" spans="1:13" s="332" customFormat="1">
      <c r="A17" s="312">
        <v>4</v>
      </c>
      <c r="B17" s="257" t="s">
        <v>2384</v>
      </c>
      <c r="C17" s="314" t="s">
        <v>1708</v>
      </c>
      <c r="D17" s="315">
        <v>15699</v>
      </c>
      <c r="E17" s="1099">
        <v>450000</v>
      </c>
      <c r="F17" s="1185" t="s">
        <v>1649</v>
      </c>
      <c r="G17" s="199" t="s">
        <v>45</v>
      </c>
      <c r="H17" s="331"/>
      <c r="I17" s="38"/>
      <c r="J17" s="331"/>
      <c r="K17" s="38"/>
      <c r="L17" s="38"/>
      <c r="M17" s="318" t="s">
        <v>3207</v>
      </c>
    </row>
    <row r="18" spans="1:13" s="332" customFormat="1">
      <c r="A18" s="319"/>
      <c r="B18" s="333" t="s">
        <v>2385</v>
      </c>
      <c r="C18" s="321"/>
      <c r="D18" s="322"/>
      <c r="E18" s="323"/>
      <c r="F18" s="327"/>
      <c r="G18" s="325"/>
      <c r="H18" s="334"/>
      <c r="I18" s="40"/>
      <c r="J18" s="334"/>
      <c r="K18" s="40"/>
      <c r="L18" s="40"/>
      <c r="M18" s="267" t="s">
        <v>3260</v>
      </c>
    </row>
    <row r="19" spans="1:13" s="332" customFormat="1">
      <c r="A19" s="319"/>
      <c r="B19" s="333" t="s">
        <v>2386</v>
      </c>
      <c r="C19" s="321"/>
      <c r="D19" s="322"/>
      <c r="E19" s="323"/>
      <c r="F19" s="327"/>
      <c r="G19" s="325"/>
      <c r="H19" s="334"/>
      <c r="I19" s="40"/>
      <c r="J19" s="334"/>
      <c r="K19" s="40"/>
      <c r="L19" s="40"/>
      <c r="M19" s="267" t="s">
        <v>3226</v>
      </c>
    </row>
    <row r="20" spans="1:13" s="332" customFormat="1">
      <c r="A20" s="319"/>
      <c r="B20" s="333" t="s">
        <v>2387</v>
      </c>
      <c r="C20" s="321"/>
      <c r="D20" s="322"/>
      <c r="E20" s="323"/>
      <c r="F20" s="327"/>
      <c r="G20" s="325"/>
      <c r="H20" s="335"/>
      <c r="I20" s="42"/>
      <c r="J20" s="335"/>
      <c r="K20" s="42"/>
      <c r="L20" s="42"/>
      <c r="M20" s="309"/>
    </row>
    <row r="21" spans="1:13" s="332" customFormat="1" ht="21">
      <c r="A21" s="1">
        <v>5</v>
      </c>
      <c r="B21" s="336" t="s">
        <v>1507</v>
      </c>
      <c r="C21" s="1" t="s">
        <v>2060</v>
      </c>
      <c r="D21" s="4">
        <v>16770</v>
      </c>
      <c r="E21" s="1094">
        <v>750000</v>
      </c>
      <c r="F21" s="1186" t="s">
        <v>1508</v>
      </c>
      <c r="G21" s="158" t="s">
        <v>45</v>
      </c>
      <c r="I21" s="42"/>
      <c r="J21" s="335"/>
      <c r="K21" s="42"/>
      <c r="L21" s="42"/>
      <c r="M21" s="520" t="s">
        <v>3525</v>
      </c>
    </row>
    <row r="22" spans="1:13" s="332" customFormat="1" ht="21">
      <c r="A22" s="35">
        <v>6</v>
      </c>
      <c r="B22" s="337" t="s">
        <v>3082</v>
      </c>
      <c r="C22" s="35" t="s">
        <v>3083</v>
      </c>
      <c r="D22" s="4">
        <v>16770</v>
      </c>
      <c r="E22" s="1094">
        <v>750000</v>
      </c>
      <c r="F22" s="1181" t="s">
        <v>3084</v>
      </c>
      <c r="G22" s="232" t="s">
        <v>45</v>
      </c>
      <c r="I22" s="42"/>
      <c r="J22" s="335"/>
      <c r="K22" s="42"/>
      <c r="L22" s="42"/>
      <c r="M22" s="520" t="s">
        <v>3513</v>
      </c>
    </row>
    <row r="23" spans="1:13" s="623" customFormat="1" ht="21">
      <c r="A23" s="878">
        <v>7</v>
      </c>
      <c r="B23" s="879" t="s">
        <v>3778</v>
      </c>
      <c r="C23" s="880" t="s">
        <v>3780</v>
      </c>
      <c r="D23" s="881">
        <v>235710</v>
      </c>
      <c r="E23" s="876">
        <v>439800</v>
      </c>
      <c r="F23" s="878" t="s">
        <v>3781</v>
      </c>
      <c r="G23" s="874" t="s">
        <v>45</v>
      </c>
      <c r="H23" s="882"/>
      <c r="I23" s="883"/>
      <c r="J23" s="884"/>
      <c r="K23" s="883"/>
      <c r="L23" s="883"/>
      <c r="M23" s="885" t="s">
        <v>3801</v>
      </c>
    </row>
    <row r="24" spans="1:13" s="960" customFormat="1" ht="20.25" thickBot="1">
      <c r="A24" s="958">
        <v>7</v>
      </c>
      <c r="B24" s="959"/>
      <c r="E24" s="961">
        <f>SUM(E9:E23)</f>
        <v>3863800</v>
      </c>
      <c r="F24" s="962"/>
      <c r="G24" s="963"/>
      <c r="H24" s="964"/>
      <c r="I24" s="965"/>
      <c r="J24" s="964"/>
      <c r="K24" s="965"/>
      <c r="L24" s="965"/>
      <c r="M24" s="966"/>
    </row>
    <row r="25" spans="1:13" s="332" customFormat="1" ht="20.25" thickTop="1">
      <c r="A25" s="1"/>
      <c r="B25" s="342" t="s">
        <v>1988</v>
      </c>
      <c r="C25" s="1"/>
      <c r="D25" s="4"/>
      <c r="E25" s="62"/>
      <c r="F25" s="1"/>
      <c r="G25" s="158"/>
      <c r="H25" s="343"/>
      <c r="I25" s="45"/>
      <c r="J25" s="343"/>
      <c r="K25" s="45"/>
      <c r="L25" s="45"/>
      <c r="M25" s="183"/>
    </row>
    <row r="26" spans="1:13" s="249" customFormat="1">
      <c r="A26" s="344" t="s">
        <v>2633</v>
      </c>
      <c r="B26" s="345" t="s">
        <v>2634</v>
      </c>
      <c r="C26" s="346" t="s">
        <v>2637</v>
      </c>
      <c r="D26" s="347">
        <v>45838</v>
      </c>
      <c r="E26" s="348">
        <v>1109836</v>
      </c>
      <c r="F26" s="1140" t="s">
        <v>1649</v>
      </c>
      <c r="G26" s="349"/>
      <c r="H26" s="349"/>
      <c r="I26" s="349" t="s">
        <v>45</v>
      </c>
      <c r="J26" s="350"/>
      <c r="K26" s="351"/>
      <c r="L26" s="351"/>
      <c r="M26" s="352"/>
    </row>
    <row r="27" spans="1:13" s="249" customFormat="1">
      <c r="A27" s="353"/>
      <c r="B27" s="354" t="s">
        <v>2635</v>
      </c>
      <c r="C27" s="355"/>
      <c r="D27" s="356"/>
      <c r="E27" s="357"/>
      <c r="F27" s="358"/>
      <c r="G27" s="359"/>
      <c r="H27" s="360"/>
      <c r="I27" s="361"/>
      <c r="J27" s="360"/>
      <c r="K27" s="361"/>
      <c r="L27" s="361"/>
      <c r="M27" s="362"/>
    </row>
    <row r="28" spans="1:13" s="249" customFormat="1" ht="21">
      <c r="A28" s="353"/>
      <c r="B28" s="363" t="s">
        <v>2636</v>
      </c>
      <c r="C28" s="355"/>
      <c r="D28" s="356"/>
      <c r="E28" s="357"/>
      <c r="F28" s="358"/>
      <c r="G28" s="359"/>
      <c r="H28" s="360"/>
      <c r="I28" s="361"/>
      <c r="J28" s="360"/>
      <c r="K28" s="361"/>
      <c r="L28" s="361"/>
      <c r="M28" s="362"/>
    </row>
    <row r="29" spans="1:13" s="249" customFormat="1">
      <c r="A29" s="344" t="s">
        <v>2459</v>
      </c>
      <c r="B29" s="345" t="s">
        <v>2638</v>
      </c>
      <c r="C29" s="346" t="s">
        <v>2642</v>
      </c>
      <c r="D29" s="347">
        <v>13112</v>
      </c>
      <c r="E29" s="348">
        <v>1142774</v>
      </c>
      <c r="F29" s="1140" t="s">
        <v>1649</v>
      </c>
      <c r="G29" s="349"/>
      <c r="H29" s="349"/>
      <c r="I29" s="349" t="s">
        <v>45</v>
      </c>
      <c r="J29" s="350"/>
      <c r="K29" s="351"/>
      <c r="L29" s="351"/>
      <c r="M29" s="352"/>
    </row>
    <row r="30" spans="1:13" s="249" customFormat="1">
      <c r="A30" s="353"/>
      <c r="B30" s="354" t="s">
        <v>2639</v>
      </c>
      <c r="C30" s="355"/>
      <c r="D30" s="356"/>
      <c r="E30" s="357"/>
      <c r="F30" s="358"/>
      <c r="G30" s="359"/>
      <c r="H30" s="360"/>
      <c r="I30" s="361"/>
      <c r="J30" s="360"/>
      <c r="K30" s="361"/>
      <c r="L30" s="361"/>
      <c r="M30" s="362"/>
    </row>
    <row r="31" spans="1:13" s="249" customFormat="1" ht="21">
      <c r="A31" s="353"/>
      <c r="B31" s="363" t="s">
        <v>2640</v>
      </c>
      <c r="C31" s="355"/>
      <c r="D31" s="356"/>
      <c r="E31" s="357"/>
      <c r="F31" s="358"/>
      <c r="G31" s="359"/>
      <c r="H31" s="360"/>
      <c r="I31" s="361"/>
      <c r="J31" s="360"/>
      <c r="K31" s="361"/>
      <c r="L31" s="361"/>
      <c r="M31" s="362"/>
    </row>
    <row r="32" spans="1:13" s="249" customFormat="1">
      <c r="A32" s="364"/>
      <c r="B32" s="365" t="s">
        <v>2641</v>
      </c>
      <c r="C32" s="364"/>
      <c r="D32" s="366"/>
      <c r="E32" s="366"/>
      <c r="F32" s="367">
        <f ca="1">+F32:J38</f>
        <v>0</v>
      </c>
      <c r="G32" s="368"/>
      <c r="H32" s="369"/>
      <c r="I32" s="370"/>
      <c r="J32" s="369"/>
      <c r="K32" s="370"/>
      <c r="L32" s="370"/>
      <c r="M32" s="371"/>
    </row>
    <row r="33" spans="1:13">
      <c r="A33" s="312">
        <v>3</v>
      </c>
      <c r="B33" s="372" t="s">
        <v>2388</v>
      </c>
      <c r="C33" s="338" t="s">
        <v>1711</v>
      </c>
      <c r="D33" s="315">
        <v>12845</v>
      </c>
      <c r="E33" s="1100">
        <v>14450000</v>
      </c>
      <c r="F33" s="1119" t="s">
        <v>1649</v>
      </c>
      <c r="G33" s="373" t="s">
        <v>45</v>
      </c>
      <c r="H33" s="374"/>
      <c r="I33" s="340"/>
      <c r="J33" s="374"/>
      <c r="K33" s="340"/>
      <c r="L33" s="340"/>
      <c r="M33" s="341" t="s">
        <v>3207</v>
      </c>
    </row>
    <row r="34" spans="1:13">
      <c r="A34" s="319"/>
      <c r="B34" s="375" t="s">
        <v>2389</v>
      </c>
      <c r="C34" s="376"/>
      <c r="D34" s="322"/>
      <c r="E34" s="377"/>
      <c r="F34" s="378"/>
      <c r="G34" s="276"/>
      <c r="H34" s="379"/>
      <c r="I34" s="380"/>
      <c r="J34" s="379"/>
      <c r="K34" s="380"/>
      <c r="L34" s="380"/>
      <c r="M34" s="381" t="s">
        <v>3261</v>
      </c>
    </row>
    <row r="35" spans="1:13">
      <c r="A35" s="319"/>
      <c r="B35" s="375" t="s">
        <v>2390</v>
      </c>
      <c r="C35" s="376"/>
      <c r="D35" s="322"/>
      <c r="E35" s="377"/>
      <c r="F35" s="378"/>
      <c r="G35" s="276"/>
      <c r="H35" s="379"/>
      <c r="I35" s="380"/>
      <c r="J35" s="379"/>
      <c r="K35" s="380"/>
      <c r="L35" s="380"/>
      <c r="M35" s="381"/>
    </row>
    <row r="36" spans="1:13">
      <c r="A36" s="319"/>
      <c r="B36" s="375" t="s">
        <v>2391</v>
      </c>
      <c r="C36" s="376"/>
      <c r="D36" s="322"/>
      <c r="E36" s="377"/>
      <c r="F36" s="378"/>
      <c r="G36" s="276"/>
      <c r="H36" s="379"/>
      <c r="I36" s="380"/>
      <c r="J36" s="379"/>
      <c r="K36" s="380"/>
      <c r="L36" s="380"/>
      <c r="M36" s="381"/>
    </row>
    <row r="37" spans="1:13">
      <c r="A37" s="382"/>
      <c r="B37" s="383" t="s">
        <v>2392</v>
      </c>
      <c r="C37" s="382"/>
      <c r="D37" s="384"/>
      <c r="E37" s="384"/>
      <c r="F37" s="282"/>
      <c r="G37" s="385"/>
      <c r="H37" s="386"/>
      <c r="I37" s="217"/>
      <c r="J37" s="386"/>
      <c r="K37" s="217"/>
      <c r="L37" s="217"/>
      <c r="M37" s="387"/>
    </row>
    <row r="38" spans="1:13">
      <c r="A38" s="388" t="s">
        <v>2643</v>
      </c>
      <c r="B38" s="389" t="s">
        <v>2396</v>
      </c>
      <c r="C38" s="346" t="s">
        <v>1992</v>
      </c>
      <c r="D38" s="347">
        <v>13872</v>
      </c>
      <c r="E38" s="348">
        <v>1142774</v>
      </c>
      <c r="F38" s="1140" t="s">
        <v>1649</v>
      </c>
      <c r="G38" s="199"/>
      <c r="H38" s="199"/>
      <c r="I38" s="390" t="s">
        <v>45</v>
      </c>
      <c r="J38" s="379"/>
      <c r="K38" s="380"/>
      <c r="L38" s="380"/>
      <c r="M38" s="381"/>
    </row>
    <row r="39" spans="1:13">
      <c r="A39" s="324"/>
      <c r="B39" s="391" t="s">
        <v>2449</v>
      </c>
      <c r="C39" s="355"/>
      <c r="D39" s="356"/>
      <c r="E39" s="357"/>
      <c r="F39" s="358"/>
      <c r="G39" s="325"/>
      <c r="H39" s="379"/>
      <c r="I39" s="380"/>
      <c r="J39" s="379"/>
      <c r="K39" s="380"/>
      <c r="L39" s="380"/>
      <c r="M39" s="381"/>
    </row>
    <row r="40" spans="1:13">
      <c r="A40" s="324"/>
      <c r="B40" s="391" t="s">
        <v>2450</v>
      </c>
      <c r="C40" s="355"/>
      <c r="D40" s="356"/>
      <c r="E40" s="357"/>
      <c r="F40" s="358"/>
      <c r="G40" s="325"/>
      <c r="H40" s="379"/>
      <c r="I40" s="380"/>
      <c r="J40" s="379"/>
      <c r="K40" s="380"/>
      <c r="L40" s="380"/>
      <c r="M40" s="381"/>
    </row>
    <row r="41" spans="1:13">
      <c r="A41" s="324"/>
      <c r="B41" s="391" t="s">
        <v>2451</v>
      </c>
      <c r="C41" s="355"/>
      <c r="D41" s="356"/>
      <c r="E41" s="357"/>
      <c r="F41" s="358"/>
      <c r="G41" s="325"/>
      <c r="H41" s="379"/>
      <c r="I41" s="380"/>
      <c r="J41" s="379"/>
      <c r="K41" s="380"/>
      <c r="L41" s="380"/>
      <c r="M41" s="381"/>
    </row>
    <row r="42" spans="1:13">
      <c r="A42" s="35"/>
      <c r="B42" s="392" t="s">
        <v>2452</v>
      </c>
      <c r="C42" s="364"/>
      <c r="D42" s="393"/>
      <c r="E42" s="366"/>
      <c r="F42" s="367"/>
      <c r="G42" s="232"/>
      <c r="H42" s="386"/>
      <c r="I42" s="217"/>
      <c r="J42" s="386"/>
      <c r="K42" s="217"/>
      <c r="L42" s="217"/>
      <c r="M42" s="387"/>
    </row>
    <row r="43" spans="1:13" s="44" customFormat="1">
      <c r="A43" s="192">
        <v>5</v>
      </c>
      <c r="B43" s="257" t="s">
        <v>2393</v>
      </c>
      <c r="C43" s="312" t="s">
        <v>1713</v>
      </c>
      <c r="D43" s="315">
        <v>14553</v>
      </c>
      <c r="E43" s="1100">
        <v>6490000</v>
      </c>
      <c r="F43" s="1119" t="s">
        <v>1649</v>
      </c>
      <c r="G43" s="373" t="s">
        <v>45</v>
      </c>
      <c r="H43" s="339"/>
      <c r="I43" s="340"/>
      <c r="J43" s="339"/>
      <c r="K43" s="340"/>
      <c r="L43" s="340"/>
      <c r="M43" s="341" t="s">
        <v>3207</v>
      </c>
    </row>
    <row r="44" spans="1:13" s="44" customFormat="1">
      <c r="A44" s="324"/>
      <c r="B44" s="333" t="s">
        <v>2394</v>
      </c>
      <c r="C44" s="319"/>
      <c r="D44" s="322"/>
      <c r="E44" s="377"/>
      <c r="F44" s="378"/>
      <c r="G44" s="276"/>
      <c r="H44" s="394"/>
      <c r="I44" s="380"/>
      <c r="J44" s="394"/>
      <c r="K44" s="380"/>
      <c r="L44" s="380"/>
      <c r="M44" s="381" t="s">
        <v>3262</v>
      </c>
    </row>
    <row r="45" spans="1:13" s="44" customFormat="1">
      <c r="A45" s="324"/>
      <c r="B45" s="333" t="s">
        <v>2395</v>
      </c>
      <c r="C45" s="319"/>
      <c r="D45" s="322"/>
      <c r="E45" s="377"/>
      <c r="F45" s="378"/>
      <c r="G45" s="276"/>
      <c r="H45" s="394"/>
      <c r="I45" s="380"/>
      <c r="J45" s="394"/>
      <c r="K45" s="380"/>
      <c r="L45" s="380"/>
      <c r="M45" s="381"/>
    </row>
    <row r="46" spans="1:13" s="44" customFormat="1">
      <c r="A46" s="324"/>
      <c r="B46" s="333" t="s">
        <v>3227</v>
      </c>
      <c r="C46" s="319"/>
      <c r="D46" s="322"/>
      <c r="E46" s="377"/>
      <c r="F46" s="378"/>
      <c r="G46" s="276"/>
      <c r="H46" s="394"/>
      <c r="I46" s="380"/>
      <c r="J46" s="394"/>
      <c r="K46" s="380"/>
      <c r="L46" s="380"/>
      <c r="M46" s="381"/>
    </row>
    <row r="47" spans="1:13" s="44" customFormat="1">
      <c r="A47" s="35"/>
      <c r="B47" s="395"/>
      <c r="C47" s="396"/>
      <c r="D47" s="397"/>
      <c r="E47" s="384"/>
      <c r="F47" s="282"/>
      <c r="G47" s="330"/>
      <c r="H47" s="398"/>
      <c r="I47" s="217"/>
      <c r="J47" s="398"/>
      <c r="K47" s="217"/>
      <c r="L47" s="217"/>
      <c r="M47" s="387"/>
    </row>
    <row r="48" spans="1:13" s="44" customFormat="1">
      <c r="A48" s="312">
        <v>6</v>
      </c>
      <c r="B48" s="313" t="s">
        <v>2396</v>
      </c>
      <c r="C48" s="314" t="s">
        <v>1714</v>
      </c>
      <c r="D48" s="315">
        <v>14935</v>
      </c>
      <c r="E48" s="1100">
        <v>1992340</v>
      </c>
      <c r="F48" s="1119" t="s">
        <v>1649</v>
      </c>
      <c r="G48" s="373" t="s">
        <v>45</v>
      </c>
      <c r="H48" s="339"/>
      <c r="I48" s="340"/>
      <c r="J48" s="339"/>
      <c r="K48" s="340"/>
      <c r="L48" s="340"/>
      <c r="M48" s="341" t="s">
        <v>3207</v>
      </c>
    </row>
    <row r="49" spans="1:13" s="44" customFormat="1">
      <c r="A49" s="319"/>
      <c r="B49" s="320" t="s">
        <v>2397</v>
      </c>
      <c r="C49" s="321"/>
      <c r="D49" s="322"/>
      <c r="E49" s="377"/>
      <c r="F49" s="378"/>
      <c r="G49" s="276"/>
      <c r="H49" s="394"/>
      <c r="I49" s="380"/>
      <c r="J49" s="394"/>
      <c r="K49" s="380"/>
      <c r="L49" s="380"/>
      <c r="M49" s="381" t="s">
        <v>3263</v>
      </c>
    </row>
    <row r="50" spans="1:13" s="44" customFormat="1">
      <c r="A50" s="319"/>
      <c r="B50" s="320" t="s">
        <v>2398</v>
      </c>
      <c r="C50" s="321"/>
      <c r="D50" s="322"/>
      <c r="E50" s="377"/>
      <c r="F50" s="378"/>
      <c r="G50" s="276"/>
      <c r="H50" s="394"/>
      <c r="I50" s="380"/>
      <c r="J50" s="394"/>
      <c r="K50" s="380"/>
      <c r="L50" s="380"/>
      <c r="M50" s="381"/>
    </row>
    <row r="51" spans="1:13" s="44" customFormat="1">
      <c r="A51" s="319"/>
      <c r="B51" s="320" t="s">
        <v>2399</v>
      </c>
      <c r="C51" s="321"/>
      <c r="D51" s="322"/>
      <c r="E51" s="377"/>
      <c r="F51" s="378"/>
      <c r="G51" s="276"/>
      <c r="H51" s="394"/>
      <c r="I51" s="380"/>
      <c r="J51" s="394"/>
      <c r="K51" s="380"/>
      <c r="L51" s="380"/>
      <c r="M51" s="381"/>
    </row>
    <row r="52" spans="1:13" s="44" customFormat="1">
      <c r="A52" s="396"/>
      <c r="B52" s="399">
        <v>3664</v>
      </c>
      <c r="C52" s="400"/>
      <c r="D52" s="397"/>
      <c r="E52" s="384"/>
      <c r="F52" s="35"/>
      <c r="G52" s="401"/>
      <c r="H52" s="398"/>
      <c r="I52" s="217"/>
      <c r="J52" s="398"/>
      <c r="K52" s="217"/>
      <c r="L52" s="217"/>
      <c r="M52" s="387"/>
    </row>
    <row r="53" spans="1:13" s="44" customFormat="1">
      <c r="A53" s="260">
        <v>7</v>
      </c>
      <c r="B53" s="402" t="s">
        <v>2000</v>
      </c>
      <c r="C53" s="242" t="s">
        <v>2001</v>
      </c>
      <c r="D53" s="243">
        <v>14799</v>
      </c>
      <c r="E53" s="403">
        <v>349000</v>
      </c>
      <c r="F53" s="1011" t="s">
        <v>1649</v>
      </c>
      <c r="G53" s="185" t="s">
        <v>45</v>
      </c>
      <c r="H53" s="404"/>
      <c r="I53" s="311"/>
      <c r="J53" s="404"/>
      <c r="K53" s="311"/>
      <c r="L53" s="311"/>
      <c r="M53" s="405"/>
    </row>
    <row r="54" spans="1:13" s="44" customFormat="1">
      <c r="A54" s="192">
        <v>8</v>
      </c>
      <c r="B54" s="257" t="s">
        <v>2400</v>
      </c>
      <c r="C54" s="314" t="s">
        <v>1715</v>
      </c>
      <c r="D54" s="315">
        <v>14981</v>
      </c>
      <c r="E54" s="1100">
        <v>21733400</v>
      </c>
      <c r="F54" s="1119" t="s">
        <v>1649</v>
      </c>
      <c r="G54" s="373" t="s">
        <v>45</v>
      </c>
      <c r="H54" s="339"/>
      <c r="I54" s="340"/>
      <c r="J54" s="339"/>
      <c r="K54" s="340"/>
      <c r="L54" s="340"/>
      <c r="M54" s="341" t="s">
        <v>3207</v>
      </c>
    </row>
    <row r="55" spans="1:13" s="44" customFormat="1">
      <c r="A55" s="324"/>
      <c r="B55" s="333" t="s">
        <v>2401</v>
      </c>
      <c r="C55" s="321"/>
      <c r="D55" s="322"/>
      <c r="E55" s="377"/>
      <c r="F55" s="378"/>
      <c r="G55" s="276"/>
      <c r="H55" s="394"/>
      <c r="I55" s="380"/>
      <c r="J55" s="394"/>
      <c r="K55" s="380"/>
      <c r="L55" s="380"/>
      <c r="M55" s="381" t="s">
        <v>3264</v>
      </c>
    </row>
    <row r="56" spans="1:13" s="44" customFormat="1">
      <c r="A56" s="324"/>
      <c r="B56" s="333" t="s">
        <v>2402</v>
      </c>
      <c r="C56" s="321"/>
      <c r="D56" s="322"/>
      <c r="E56" s="377"/>
      <c r="F56" s="378"/>
      <c r="G56" s="276"/>
      <c r="H56" s="394"/>
      <c r="I56" s="380"/>
      <c r="J56" s="394"/>
      <c r="K56" s="380"/>
      <c r="L56" s="380"/>
      <c r="M56" s="381"/>
    </row>
    <row r="57" spans="1:13" s="44" customFormat="1">
      <c r="A57" s="35"/>
      <c r="B57" s="395" t="s">
        <v>3228</v>
      </c>
      <c r="C57" s="400"/>
      <c r="D57" s="397"/>
      <c r="E57" s="384"/>
      <c r="F57" s="282"/>
      <c r="G57" s="330"/>
      <c r="H57" s="398"/>
      <c r="I57" s="217"/>
      <c r="J57" s="398"/>
      <c r="K57" s="217"/>
      <c r="L57" s="217"/>
      <c r="M57" s="387"/>
    </row>
    <row r="58" spans="1:13" s="44" customFormat="1">
      <c r="A58" s="324">
        <v>9</v>
      </c>
      <c r="B58" s="333" t="s">
        <v>2419</v>
      </c>
      <c r="C58" s="376" t="s">
        <v>1993</v>
      </c>
      <c r="D58" s="322">
        <v>17896</v>
      </c>
      <c r="E58" s="377">
        <v>1137688</v>
      </c>
      <c r="F58" s="1141" t="s">
        <v>1649</v>
      </c>
      <c r="G58" s="325" t="s">
        <v>45</v>
      </c>
      <c r="H58" s="394"/>
      <c r="I58" s="380"/>
      <c r="J58" s="394"/>
      <c r="K58" s="380"/>
      <c r="L58" s="380"/>
      <c r="M58" s="381"/>
    </row>
    <row r="59" spans="1:13" s="44" customFormat="1">
      <c r="A59" s="324"/>
      <c r="B59" s="333" t="s">
        <v>2420</v>
      </c>
      <c r="C59" s="376"/>
      <c r="D59" s="322"/>
      <c r="E59" s="377"/>
      <c r="F59" s="378"/>
      <c r="G59" s="325"/>
      <c r="H59" s="394"/>
      <c r="I59" s="380"/>
      <c r="J59" s="394"/>
      <c r="K59" s="380"/>
      <c r="L59" s="380"/>
      <c r="M59" s="381"/>
    </row>
    <row r="60" spans="1:13" s="44" customFormat="1">
      <c r="A60" s="324"/>
      <c r="B60" s="333" t="s">
        <v>2421</v>
      </c>
      <c r="C60" s="376"/>
      <c r="D60" s="322"/>
      <c r="E60" s="377"/>
      <c r="F60" s="378"/>
      <c r="G60" s="325"/>
      <c r="H60" s="394"/>
      <c r="I60" s="380"/>
      <c r="J60" s="394"/>
      <c r="K60" s="380"/>
      <c r="L60" s="380"/>
      <c r="M60" s="381"/>
    </row>
    <row r="61" spans="1:13" s="44" customFormat="1">
      <c r="A61" s="324"/>
      <c r="B61" s="333" t="s">
        <v>3229</v>
      </c>
      <c r="C61" s="376"/>
      <c r="D61" s="322"/>
      <c r="E61" s="377">
        <f>SUM(E26:E60)</f>
        <v>49547812</v>
      </c>
      <c r="F61" s="378"/>
      <c r="G61" s="325"/>
      <c r="H61" s="394"/>
      <c r="I61" s="380"/>
      <c r="J61" s="394"/>
      <c r="K61" s="380"/>
      <c r="L61" s="380"/>
      <c r="M61" s="381"/>
    </row>
    <row r="62" spans="1:13" s="960" customFormat="1" ht="20.25" thickBot="1">
      <c r="A62" s="958">
        <v>9</v>
      </c>
      <c r="B62" s="959"/>
      <c r="C62" s="967"/>
      <c r="D62" s="968"/>
      <c r="E62" s="961">
        <f>SUM(E26:E58)</f>
        <v>49547812</v>
      </c>
      <c r="F62" s="962"/>
      <c r="G62" s="963"/>
      <c r="H62" s="964"/>
      <c r="I62" s="965"/>
      <c r="J62" s="964"/>
      <c r="K62" s="965"/>
      <c r="L62" s="965"/>
      <c r="M62" s="966"/>
    </row>
    <row r="63" spans="1:13" s="44" customFormat="1" ht="20.25" thickTop="1">
      <c r="A63" s="1"/>
      <c r="B63" s="342" t="s">
        <v>1989</v>
      </c>
      <c r="C63" s="242"/>
      <c r="D63" s="243"/>
      <c r="E63" s="403"/>
      <c r="F63" s="1"/>
      <c r="G63" s="406"/>
      <c r="H63" s="404"/>
      <c r="I63" s="311"/>
      <c r="J63" s="404"/>
      <c r="K63" s="311"/>
      <c r="L63" s="311"/>
      <c r="M63" s="405"/>
    </row>
    <row r="64" spans="1:13">
      <c r="A64" s="192">
        <v>1</v>
      </c>
      <c r="B64" s="257" t="s">
        <v>2403</v>
      </c>
      <c r="C64" s="312" t="s">
        <v>1712</v>
      </c>
      <c r="D64" s="315">
        <v>13288</v>
      </c>
      <c r="E64" s="1100">
        <v>1142774</v>
      </c>
      <c r="F64" s="1119" t="s">
        <v>1649</v>
      </c>
      <c r="G64" s="373" t="s">
        <v>45</v>
      </c>
      <c r="H64" s="374"/>
      <c r="I64" s="340"/>
      <c r="J64" s="374"/>
      <c r="K64" s="340"/>
      <c r="L64" s="340"/>
      <c r="M64" s="341" t="s">
        <v>3207</v>
      </c>
    </row>
    <row r="65" spans="1:13">
      <c r="A65" s="324"/>
      <c r="B65" s="333" t="s">
        <v>2404</v>
      </c>
      <c r="C65" s="319"/>
      <c r="D65" s="322"/>
      <c r="E65" s="377"/>
      <c r="F65" s="378"/>
      <c r="G65" s="276"/>
      <c r="H65" s="379"/>
      <c r="I65" s="380"/>
      <c r="J65" s="379"/>
      <c r="K65" s="380"/>
      <c r="L65" s="380"/>
      <c r="M65" s="381" t="s">
        <v>3265</v>
      </c>
    </row>
    <row r="66" spans="1:13">
      <c r="A66" s="324"/>
      <c r="B66" s="333" t="s">
        <v>2405</v>
      </c>
      <c r="C66" s="319"/>
      <c r="D66" s="322"/>
      <c r="E66" s="377"/>
      <c r="F66" s="378"/>
      <c r="G66" s="276"/>
      <c r="H66" s="379"/>
      <c r="I66" s="380"/>
      <c r="J66" s="379"/>
      <c r="K66" s="380"/>
      <c r="L66" s="380"/>
      <c r="M66" s="381"/>
    </row>
    <row r="67" spans="1:13">
      <c r="A67" s="324"/>
      <c r="B67" s="333" t="s">
        <v>2406</v>
      </c>
      <c r="C67" s="319"/>
      <c r="D67" s="322"/>
      <c r="E67" s="377"/>
      <c r="F67" s="378"/>
      <c r="G67" s="276"/>
      <c r="H67" s="379"/>
      <c r="I67" s="380"/>
      <c r="J67" s="379"/>
      <c r="K67" s="380"/>
      <c r="L67" s="380"/>
      <c r="M67" s="381"/>
    </row>
    <row r="68" spans="1:13">
      <c r="A68" s="324"/>
      <c r="B68" s="333" t="s">
        <v>3230</v>
      </c>
      <c r="C68" s="319"/>
      <c r="D68" s="322"/>
      <c r="E68" s="377"/>
      <c r="F68" s="378"/>
      <c r="G68" s="276"/>
      <c r="H68" s="379"/>
      <c r="I68" s="380"/>
      <c r="J68" s="379"/>
      <c r="K68" s="380"/>
      <c r="L68" s="380"/>
      <c r="M68" s="381"/>
    </row>
    <row r="69" spans="1:13">
      <c r="A69" s="312">
        <v>2</v>
      </c>
      <c r="B69" s="257" t="s">
        <v>2408</v>
      </c>
      <c r="C69" s="312" t="s">
        <v>1991</v>
      </c>
      <c r="D69" s="315">
        <v>15457</v>
      </c>
      <c r="E69" s="1100">
        <v>2329681.8199999998</v>
      </c>
      <c r="F69" s="1185" t="s">
        <v>1649</v>
      </c>
      <c r="G69" s="199" t="s">
        <v>45</v>
      </c>
      <c r="H69" s="317"/>
      <c r="I69" s="38"/>
      <c r="J69" s="317"/>
      <c r="K69" s="38"/>
      <c r="L69" s="38"/>
      <c r="M69" s="318" t="s">
        <v>3207</v>
      </c>
    </row>
    <row r="70" spans="1:13">
      <c r="A70" s="319"/>
      <c r="B70" s="333" t="s">
        <v>2409</v>
      </c>
      <c r="C70" s="319"/>
      <c r="D70" s="322"/>
      <c r="E70" s="377"/>
      <c r="F70" s="324"/>
      <c r="G70" s="325"/>
      <c r="H70" s="326"/>
      <c r="I70" s="40"/>
      <c r="J70" s="326"/>
      <c r="K70" s="40"/>
      <c r="L70" s="40"/>
      <c r="M70" s="267" t="s">
        <v>3266</v>
      </c>
    </row>
    <row r="71" spans="1:13">
      <c r="A71" s="319"/>
      <c r="B71" s="333" t="s">
        <v>2410</v>
      </c>
      <c r="C71" s="319"/>
      <c r="D71" s="322"/>
      <c r="E71" s="377"/>
      <c r="F71" s="324"/>
      <c r="G71" s="325"/>
      <c r="H71" s="326"/>
      <c r="I71" s="40"/>
      <c r="J71" s="326"/>
      <c r="K71" s="40"/>
      <c r="L71" s="40"/>
      <c r="M71" s="267"/>
    </row>
    <row r="72" spans="1:13">
      <c r="A72" s="319"/>
      <c r="B72" s="333" t="s">
        <v>3231</v>
      </c>
      <c r="C72" s="319"/>
      <c r="D72" s="322"/>
      <c r="E72" s="377"/>
      <c r="F72" s="324"/>
      <c r="G72" s="325"/>
      <c r="H72" s="326"/>
      <c r="I72" s="40"/>
      <c r="J72" s="326"/>
      <c r="K72" s="40"/>
      <c r="L72" s="40"/>
      <c r="M72" s="267"/>
    </row>
    <row r="73" spans="1:13" s="332" customFormat="1">
      <c r="A73" s="312">
        <v>3</v>
      </c>
      <c r="B73" s="257" t="s">
        <v>2407</v>
      </c>
      <c r="C73" s="314" t="s">
        <v>1709</v>
      </c>
      <c r="D73" s="315">
        <v>17851</v>
      </c>
      <c r="E73" s="1099">
        <v>3780000</v>
      </c>
      <c r="F73" s="1185" t="s">
        <v>1649</v>
      </c>
      <c r="G73" s="199" t="s">
        <v>45</v>
      </c>
      <c r="H73" s="331"/>
      <c r="I73" s="38"/>
      <c r="J73" s="331"/>
      <c r="K73" s="38"/>
      <c r="L73" s="38"/>
      <c r="M73" s="318" t="s">
        <v>3207</v>
      </c>
    </row>
    <row r="74" spans="1:13" s="332" customFormat="1">
      <c r="A74" s="319"/>
      <c r="B74" s="333" t="s">
        <v>2411</v>
      </c>
      <c r="C74" s="321"/>
      <c r="D74" s="322"/>
      <c r="E74" s="323"/>
      <c r="F74" s="324"/>
      <c r="G74" s="325"/>
      <c r="H74" s="334"/>
      <c r="I74" s="40"/>
      <c r="J74" s="334"/>
      <c r="K74" s="40"/>
      <c r="L74" s="40"/>
      <c r="M74" s="267" t="s">
        <v>3267</v>
      </c>
    </row>
    <row r="75" spans="1:13" s="332" customFormat="1">
      <c r="A75" s="396"/>
      <c r="B75" s="395" t="s">
        <v>3232</v>
      </c>
      <c r="C75" s="400"/>
      <c r="D75" s="397"/>
      <c r="E75" s="407"/>
      <c r="F75" s="35"/>
      <c r="G75" s="232"/>
      <c r="H75" s="335"/>
      <c r="I75" s="42"/>
      <c r="J75" s="335"/>
      <c r="K75" s="42"/>
      <c r="L75" s="42"/>
      <c r="M75" s="309"/>
    </row>
    <row r="76" spans="1:13" s="332" customFormat="1">
      <c r="A76" s="312">
        <v>4</v>
      </c>
      <c r="B76" s="257" t="s">
        <v>2412</v>
      </c>
      <c r="C76" s="314" t="s">
        <v>1710</v>
      </c>
      <c r="D76" s="315">
        <v>17866</v>
      </c>
      <c r="E76" s="1099">
        <v>2367696</v>
      </c>
      <c r="F76" s="1185" t="s">
        <v>1649</v>
      </c>
      <c r="G76" s="199" t="s">
        <v>45</v>
      </c>
      <c r="H76" s="331"/>
      <c r="I76" s="38"/>
      <c r="J76" s="331"/>
      <c r="K76" s="38"/>
      <c r="L76" s="38"/>
      <c r="M76" s="318" t="s">
        <v>3207</v>
      </c>
    </row>
    <row r="77" spans="1:13" s="332" customFormat="1">
      <c r="A77" s="319"/>
      <c r="B77" s="333" t="s">
        <v>2413</v>
      </c>
      <c r="C77" s="321"/>
      <c r="D77" s="322"/>
      <c r="E77" s="323"/>
      <c r="F77" s="324"/>
      <c r="G77" s="325"/>
      <c r="H77" s="334"/>
      <c r="I77" s="40"/>
      <c r="J77" s="334"/>
      <c r="K77" s="40"/>
      <c r="L77" s="40"/>
      <c r="M77" s="267" t="s">
        <v>3268</v>
      </c>
    </row>
    <row r="78" spans="1:13" s="332" customFormat="1">
      <c r="A78" s="396"/>
      <c r="B78" s="395" t="s">
        <v>3233</v>
      </c>
      <c r="C78" s="400"/>
      <c r="D78" s="397"/>
      <c r="E78" s="407"/>
      <c r="F78" s="35"/>
      <c r="G78" s="232"/>
      <c r="H78" s="335"/>
      <c r="I78" s="42"/>
      <c r="J78" s="335"/>
      <c r="K78" s="42"/>
      <c r="L78" s="42"/>
      <c r="M78" s="309"/>
    </row>
    <row r="79" spans="1:13" s="332" customFormat="1">
      <c r="A79" s="319">
        <v>5</v>
      </c>
      <c r="B79" s="333" t="s">
        <v>2414</v>
      </c>
      <c r="C79" s="314" t="s">
        <v>1702</v>
      </c>
      <c r="D79" s="315">
        <v>22999</v>
      </c>
      <c r="E79" s="1099">
        <v>2492500</v>
      </c>
      <c r="F79" s="1185" t="s">
        <v>1649</v>
      </c>
      <c r="G79" s="199" t="s">
        <v>45</v>
      </c>
      <c r="H79" s="334"/>
      <c r="I79" s="40"/>
      <c r="J79" s="334"/>
      <c r="K79" s="40"/>
      <c r="L79" s="40"/>
      <c r="M79" s="267" t="s">
        <v>3207</v>
      </c>
    </row>
    <row r="80" spans="1:13" s="332" customFormat="1">
      <c r="A80" s="319"/>
      <c r="B80" s="333" t="s">
        <v>2415</v>
      </c>
      <c r="C80" s="321"/>
      <c r="D80" s="322"/>
      <c r="E80" s="323"/>
      <c r="F80" s="324"/>
      <c r="G80" s="325"/>
      <c r="H80" s="334"/>
      <c r="I80" s="40"/>
      <c r="J80" s="334"/>
      <c r="K80" s="40"/>
      <c r="L80" s="40"/>
      <c r="M80" s="267" t="s">
        <v>3269</v>
      </c>
    </row>
    <row r="81" spans="1:13" s="332" customFormat="1">
      <c r="A81" s="319"/>
      <c r="B81" s="333" t="s">
        <v>2416</v>
      </c>
      <c r="C81" s="321"/>
      <c r="D81" s="322"/>
      <c r="E81" s="323"/>
      <c r="F81" s="324"/>
      <c r="G81" s="325"/>
      <c r="H81" s="334"/>
      <c r="I81" s="40"/>
      <c r="J81" s="334"/>
      <c r="K81" s="40"/>
      <c r="L81" s="40"/>
      <c r="M81" s="267"/>
    </row>
    <row r="82" spans="1:13" s="332" customFormat="1">
      <c r="A82" s="319"/>
      <c r="B82" s="333" t="s">
        <v>2417</v>
      </c>
      <c r="C82" s="321"/>
      <c r="D82" s="322"/>
      <c r="E82" s="323"/>
      <c r="F82" s="324"/>
      <c r="G82" s="325"/>
      <c r="H82" s="334"/>
      <c r="I82" s="40"/>
      <c r="J82" s="334"/>
      <c r="K82" s="40"/>
      <c r="L82" s="40"/>
      <c r="M82" s="267"/>
    </row>
    <row r="83" spans="1:13" s="332" customFormat="1">
      <c r="A83" s="396"/>
      <c r="B83" s="395" t="s">
        <v>3234</v>
      </c>
      <c r="C83" s="400"/>
      <c r="D83" s="397"/>
      <c r="E83" s="407"/>
      <c r="F83" s="35"/>
      <c r="G83" s="232"/>
      <c r="H83" s="335"/>
      <c r="I83" s="42"/>
      <c r="J83" s="335"/>
      <c r="K83" s="42"/>
      <c r="L83" s="42"/>
      <c r="M83" s="309"/>
    </row>
    <row r="84" spans="1:13" s="332" customFormat="1">
      <c r="A84" s="319">
        <v>6</v>
      </c>
      <c r="B84" s="333" t="s">
        <v>2414</v>
      </c>
      <c r="C84" s="314" t="s">
        <v>1703</v>
      </c>
      <c r="D84" s="315">
        <v>22999</v>
      </c>
      <c r="E84" s="1099">
        <v>2492500</v>
      </c>
      <c r="F84" s="1185" t="s">
        <v>1649</v>
      </c>
      <c r="G84" s="199" t="s">
        <v>45</v>
      </c>
      <c r="H84" s="334"/>
      <c r="I84" s="40"/>
      <c r="J84" s="334"/>
      <c r="K84" s="40"/>
      <c r="L84" s="40"/>
      <c r="M84" s="267" t="s">
        <v>3207</v>
      </c>
    </row>
    <row r="85" spans="1:13" s="332" customFormat="1">
      <c r="A85" s="319"/>
      <c r="B85" s="333" t="s">
        <v>2415</v>
      </c>
      <c r="C85" s="321"/>
      <c r="D85" s="322"/>
      <c r="E85" s="323"/>
      <c r="F85" s="324"/>
      <c r="G85" s="325"/>
      <c r="H85" s="334"/>
      <c r="I85" s="40"/>
      <c r="J85" s="334"/>
      <c r="K85" s="40"/>
      <c r="L85" s="40"/>
      <c r="M85" s="267" t="s">
        <v>3270</v>
      </c>
    </row>
    <row r="86" spans="1:13" s="332" customFormat="1">
      <c r="A86" s="319"/>
      <c r="B86" s="333" t="s">
        <v>2416</v>
      </c>
      <c r="C86" s="321"/>
      <c r="D86" s="322"/>
      <c r="E86" s="323"/>
      <c r="F86" s="324"/>
      <c r="G86" s="325"/>
      <c r="H86" s="334"/>
      <c r="I86" s="40"/>
      <c r="J86" s="334"/>
      <c r="K86" s="40"/>
      <c r="L86" s="40"/>
      <c r="M86" s="267"/>
    </row>
    <row r="87" spans="1:13" s="332" customFormat="1">
      <c r="A87" s="319"/>
      <c r="B87" s="333" t="s">
        <v>2418</v>
      </c>
      <c r="C87" s="321"/>
      <c r="D87" s="322"/>
      <c r="E87" s="323"/>
      <c r="F87" s="324"/>
      <c r="G87" s="325"/>
      <c r="H87" s="334"/>
      <c r="I87" s="40"/>
      <c r="J87" s="334"/>
      <c r="K87" s="40"/>
      <c r="L87" s="40"/>
      <c r="M87" s="267"/>
    </row>
    <row r="88" spans="1:13" s="332" customFormat="1">
      <c r="A88" s="396"/>
      <c r="B88" s="395" t="s">
        <v>3235</v>
      </c>
      <c r="C88" s="400"/>
      <c r="D88" s="397"/>
      <c r="E88" s="407"/>
      <c r="F88" s="35"/>
      <c r="G88" s="232"/>
      <c r="H88" s="335"/>
      <c r="I88" s="42"/>
      <c r="J88" s="335"/>
      <c r="K88" s="42"/>
      <c r="L88" s="42"/>
      <c r="M88" s="309"/>
    </row>
    <row r="89" spans="1:13" s="979" customFormat="1" ht="20.25" thickBot="1">
      <c r="A89" s="969">
        <v>6</v>
      </c>
      <c r="B89" s="970"/>
      <c r="C89" s="971"/>
      <c r="D89" s="972"/>
      <c r="E89" s="973">
        <f>SUM(E64:E88)</f>
        <v>14605151.82</v>
      </c>
      <c r="F89" s="974"/>
      <c r="G89" s="975"/>
      <c r="H89" s="976"/>
      <c r="I89" s="977"/>
      <c r="J89" s="976"/>
      <c r="K89" s="977"/>
      <c r="L89" s="977"/>
      <c r="M89" s="978"/>
    </row>
    <row r="90" spans="1:13" s="205" customFormat="1" ht="20.25" thickTop="1">
      <c r="A90" s="155"/>
      <c r="B90" s="409" t="s">
        <v>2053</v>
      </c>
      <c r="C90" s="1"/>
      <c r="D90" s="176"/>
      <c r="E90" s="410"/>
      <c r="F90" s="155"/>
      <c r="G90" s="175"/>
      <c r="H90" s="175"/>
      <c r="I90" s="175"/>
      <c r="J90" s="175"/>
      <c r="K90" s="175"/>
      <c r="L90" s="175"/>
      <c r="M90" s="283"/>
    </row>
    <row r="91" spans="1:13" s="88" customFormat="1">
      <c r="A91" s="82">
        <v>1</v>
      </c>
      <c r="B91" s="83" t="s">
        <v>2054</v>
      </c>
      <c r="C91" s="82" t="s">
        <v>2055</v>
      </c>
      <c r="D91" s="84">
        <v>15914</v>
      </c>
      <c r="E91" s="411">
        <v>86000</v>
      </c>
      <c r="F91" s="1142" t="s">
        <v>1508</v>
      </c>
      <c r="G91" s="83"/>
      <c r="H91" s="89" t="s">
        <v>45</v>
      </c>
      <c r="I91" s="83"/>
      <c r="J91" s="83"/>
      <c r="K91" s="83"/>
      <c r="L91" s="83"/>
      <c r="M91" s="521" t="s">
        <v>3452</v>
      </c>
    </row>
    <row r="92" spans="1:13" s="88" customFormat="1">
      <c r="A92" s="82"/>
      <c r="B92" s="83" t="s">
        <v>2056</v>
      </c>
      <c r="C92" s="82"/>
      <c r="D92" s="84"/>
      <c r="E92" s="411"/>
      <c r="F92" s="82"/>
      <c r="G92" s="83"/>
      <c r="H92" s="83"/>
      <c r="I92" s="83"/>
      <c r="J92" s="83"/>
      <c r="K92" s="83"/>
      <c r="L92" s="83"/>
      <c r="M92" s="251"/>
    </row>
    <row r="93" spans="1:13" s="88" customFormat="1">
      <c r="A93" s="82">
        <v>2</v>
      </c>
      <c r="B93" s="83" t="s">
        <v>2054</v>
      </c>
      <c r="C93" s="82" t="s">
        <v>2057</v>
      </c>
      <c r="D93" s="84">
        <v>15914</v>
      </c>
      <c r="E93" s="411">
        <v>86000</v>
      </c>
      <c r="F93" s="1142" t="s">
        <v>1508</v>
      </c>
      <c r="G93" s="83"/>
      <c r="H93" s="89" t="s">
        <v>45</v>
      </c>
      <c r="I93" s="83"/>
      <c r="J93" s="83"/>
      <c r="K93" s="83"/>
      <c r="L93" s="83"/>
      <c r="M93" s="251"/>
    </row>
    <row r="94" spans="1:13" s="88" customFormat="1">
      <c r="A94" s="82"/>
      <c r="B94" s="83" t="s">
        <v>2058</v>
      </c>
      <c r="C94" s="82"/>
      <c r="D94" s="84"/>
      <c r="E94" s="411"/>
      <c r="F94" s="82"/>
      <c r="G94" s="83"/>
      <c r="H94" s="83"/>
      <c r="I94" s="83"/>
      <c r="J94" s="83"/>
      <c r="K94" s="83"/>
      <c r="L94" s="83"/>
      <c r="M94" s="251"/>
    </row>
    <row r="95" spans="1:13" s="205" customFormat="1" ht="39.75">
      <c r="A95" s="155">
        <v>3</v>
      </c>
      <c r="B95" s="412" t="s">
        <v>3085</v>
      </c>
      <c r="C95" s="413" t="s">
        <v>3086</v>
      </c>
      <c r="D95" s="176">
        <v>243150</v>
      </c>
      <c r="E95" s="1114">
        <v>103000</v>
      </c>
      <c r="F95" s="1187" t="s">
        <v>3087</v>
      </c>
      <c r="G95" s="158" t="s">
        <v>45</v>
      </c>
      <c r="H95" s="175"/>
      <c r="I95" s="175"/>
      <c r="J95" s="175"/>
      <c r="K95" s="175"/>
      <c r="L95" s="175"/>
      <c r="M95" s="533" t="s">
        <v>3462</v>
      </c>
    </row>
    <row r="96" spans="1:13" s="205" customFormat="1" ht="39.75">
      <c r="A96" s="155">
        <v>4</v>
      </c>
      <c r="B96" s="412" t="s">
        <v>3088</v>
      </c>
      <c r="C96" s="413" t="s">
        <v>3224</v>
      </c>
      <c r="D96" s="176">
        <v>243150</v>
      </c>
      <c r="E96" s="1114">
        <v>103000</v>
      </c>
      <c r="F96" s="1188" t="s">
        <v>3087</v>
      </c>
      <c r="G96" s="158" t="s">
        <v>45</v>
      </c>
      <c r="H96" s="175"/>
      <c r="I96" s="175"/>
      <c r="J96" s="175"/>
      <c r="K96" s="175"/>
      <c r="L96" s="175"/>
      <c r="M96" s="533" t="s">
        <v>3463</v>
      </c>
    </row>
    <row r="97" spans="1:13" s="986" customFormat="1" ht="20.25" thickBot="1">
      <c r="A97" s="980">
        <v>4</v>
      </c>
      <c r="B97" s="981"/>
      <c r="C97" s="974"/>
      <c r="D97" s="982" t="s">
        <v>64</v>
      </c>
      <c r="E97" s="983">
        <f>SUM(E91:E96)</f>
        <v>378000</v>
      </c>
      <c r="F97" s="980"/>
      <c r="G97" s="984"/>
      <c r="H97" s="984"/>
      <c r="I97" s="984"/>
      <c r="J97" s="984"/>
      <c r="K97" s="984"/>
      <c r="L97" s="984"/>
      <c r="M97" s="985"/>
    </row>
    <row r="98" spans="1:13" s="332" customFormat="1" ht="20.25" thickTop="1">
      <c r="A98" s="260"/>
      <c r="B98" s="342" t="s">
        <v>1990</v>
      </c>
      <c r="C98" s="242"/>
      <c r="D98" s="397"/>
      <c r="E98" s="62"/>
      <c r="F98" s="35"/>
      <c r="G98" s="232"/>
      <c r="H98" s="218"/>
      <c r="I98" s="42"/>
      <c r="J98" s="218"/>
      <c r="K98" s="42"/>
      <c r="L98" s="42"/>
      <c r="M98" s="309"/>
    </row>
    <row r="99" spans="1:13">
      <c r="A99" s="1">
        <v>1</v>
      </c>
      <c r="B99" s="182" t="s">
        <v>1223</v>
      </c>
      <c r="C99" s="1" t="s">
        <v>1224</v>
      </c>
      <c r="D99" s="4">
        <v>20283</v>
      </c>
      <c r="E99" s="1094">
        <v>7500</v>
      </c>
      <c r="F99" s="939" t="s">
        <v>1220</v>
      </c>
      <c r="G99" s="158" t="s">
        <v>45</v>
      </c>
      <c r="H99" s="218"/>
      <c r="I99" s="42"/>
      <c r="J99" s="218"/>
      <c r="K99" s="42"/>
      <c r="L99" s="42"/>
      <c r="M99" s="182" t="s">
        <v>1220</v>
      </c>
    </row>
    <row r="100" spans="1:13">
      <c r="A100" s="1">
        <v>2</v>
      </c>
      <c r="B100" s="182" t="s">
        <v>1223</v>
      </c>
      <c r="C100" s="1" t="s">
        <v>1225</v>
      </c>
      <c r="D100" s="4">
        <v>20283</v>
      </c>
      <c r="E100" s="1094">
        <v>7500</v>
      </c>
      <c r="F100" s="939" t="s">
        <v>1220</v>
      </c>
      <c r="G100" s="158" t="s">
        <v>45</v>
      </c>
      <c r="H100" s="218"/>
      <c r="I100" s="42"/>
      <c r="J100" s="218"/>
      <c r="K100" s="42"/>
      <c r="L100" s="42"/>
      <c r="M100" s="182" t="s">
        <v>1220</v>
      </c>
    </row>
    <row r="101" spans="1:13">
      <c r="A101" s="1">
        <v>3</v>
      </c>
      <c r="B101" s="182" t="s">
        <v>1223</v>
      </c>
      <c r="C101" s="1" t="s">
        <v>1226</v>
      </c>
      <c r="D101" s="4">
        <v>20283</v>
      </c>
      <c r="E101" s="1094">
        <v>7500</v>
      </c>
      <c r="F101" s="939" t="s">
        <v>1220</v>
      </c>
      <c r="G101" s="158" t="s">
        <v>45</v>
      </c>
      <c r="H101" s="218"/>
      <c r="I101" s="42"/>
      <c r="J101" s="218"/>
      <c r="K101" s="42"/>
      <c r="L101" s="42"/>
      <c r="M101" s="182" t="s">
        <v>1220</v>
      </c>
    </row>
    <row r="102" spans="1:13">
      <c r="A102" s="1">
        <v>4</v>
      </c>
      <c r="B102" s="182" t="s">
        <v>1223</v>
      </c>
      <c r="C102" s="1" t="s">
        <v>1227</v>
      </c>
      <c r="D102" s="4">
        <v>20283</v>
      </c>
      <c r="E102" s="1094">
        <v>7500</v>
      </c>
      <c r="F102" s="939" t="s">
        <v>1220</v>
      </c>
      <c r="G102" s="158" t="s">
        <v>45</v>
      </c>
      <c r="H102" s="218"/>
      <c r="I102" s="42"/>
      <c r="J102" s="218"/>
      <c r="K102" s="42"/>
      <c r="L102" s="42"/>
      <c r="M102" s="182" t="s">
        <v>1220</v>
      </c>
    </row>
    <row r="103" spans="1:13">
      <c r="A103" s="1">
        <v>5</v>
      </c>
      <c r="B103" s="182" t="s">
        <v>1223</v>
      </c>
      <c r="C103" s="1" t="s">
        <v>1228</v>
      </c>
      <c r="D103" s="4">
        <v>20283</v>
      </c>
      <c r="E103" s="1094">
        <v>7500</v>
      </c>
      <c r="F103" s="939" t="s">
        <v>1220</v>
      </c>
      <c r="G103" s="158" t="s">
        <v>45</v>
      </c>
      <c r="H103" s="218"/>
      <c r="I103" s="42"/>
      <c r="J103" s="218"/>
      <c r="K103" s="42"/>
      <c r="L103" s="42"/>
      <c r="M103" s="182" t="s">
        <v>1220</v>
      </c>
    </row>
    <row r="104" spans="1:13">
      <c r="A104" s="1">
        <v>6</v>
      </c>
      <c r="B104" s="182" t="s">
        <v>1223</v>
      </c>
      <c r="C104" s="1" t="s">
        <v>1229</v>
      </c>
      <c r="D104" s="4">
        <v>20283</v>
      </c>
      <c r="E104" s="1094">
        <v>7500</v>
      </c>
      <c r="F104" s="939" t="s">
        <v>1220</v>
      </c>
      <c r="G104" s="158" t="s">
        <v>45</v>
      </c>
      <c r="H104" s="218"/>
      <c r="I104" s="42"/>
      <c r="J104" s="218"/>
      <c r="K104" s="42"/>
      <c r="L104" s="42"/>
      <c r="M104" s="182" t="s">
        <v>1220</v>
      </c>
    </row>
    <row r="105" spans="1:13">
      <c r="A105" s="1">
        <v>7</v>
      </c>
      <c r="B105" s="182" t="s">
        <v>1223</v>
      </c>
      <c r="C105" s="1" t="s">
        <v>1230</v>
      </c>
      <c r="D105" s="4">
        <v>20283</v>
      </c>
      <c r="E105" s="1094">
        <v>7500</v>
      </c>
      <c r="F105" s="939" t="s">
        <v>1220</v>
      </c>
      <c r="G105" s="158" t="s">
        <v>45</v>
      </c>
      <c r="H105" s="218"/>
      <c r="I105" s="42"/>
      <c r="J105" s="218"/>
      <c r="K105" s="42"/>
      <c r="L105" s="42"/>
      <c r="M105" s="182" t="s">
        <v>1220</v>
      </c>
    </row>
    <row r="106" spans="1:13">
      <c r="A106" s="1">
        <v>8</v>
      </c>
      <c r="B106" s="182" t="s">
        <v>1223</v>
      </c>
      <c r="C106" s="1" t="s">
        <v>1231</v>
      </c>
      <c r="D106" s="4">
        <v>20283</v>
      </c>
      <c r="E106" s="1094">
        <v>7500</v>
      </c>
      <c r="F106" s="939" t="s">
        <v>1220</v>
      </c>
      <c r="G106" s="158" t="s">
        <v>45</v>
      </c>
      <c r="H106" s="218"/>
      <c r="I106" s="42"/>
      <c r="J106" s="218"/>
      <c r="K106" s="42"/>
      <c r="L106" s="42"/>
      <c r="M106" s="182" t="s">
        <v>1220</v>
      </c>
    </row>
    <row r="107" spans="1:13">
      <c r="A107" s="1">
        <v>9</v>
      </c>
      <c r="B107" s="182" t="s">
        <v>1223</v>
      </c>
      <c r="C107" s="1" t="s">
        <v>1232</v>
      </c>
      <c r="D107" s="4">
        <v>20283</v>
      </c>
      <c r="E107" s="1094">
        <v>7500</v>
      </c>
      <c r="F107" s="939" t="s">
        <v>1220</v>
      </c>
      <c r="G107" s="158" t="s">
        <v>45</v>
      </c>
      <c r="H107" s="218"/>
      <c r="I107" s="42"/>
      <c r="J107" s="218"/>
      <c r="K107" s="42"/>
      <c r="L107" s="42"/>
      <c r="M107" s="182" t="s">
        <v>1220</v>
      </c>
    </row>
    <row r="108" spans="1:13">
      <c r="A108" s="1">
        <v>10</v>
      </c>
      <c r="B108" s="182" t="s">
        <v>1223</v>
      </c>
      <c r="C108" s="1" t="s">
        <v>1233</v>
      </c>
      <c r="D108" s="4">
        <v>20283</v>
      </c>
      <c r="E108" s="1094">
        <v>7500</v>
      </c>
      <c r="F108" s="939" t="s">
        <v>1220</v>
      </c>
      <c r="G108" s="158" t="s">
        <v>45</v>
      </c>
      <c r="H108" s="218"/>
      <c r="I108" s="42"/>
      <c r="J108" s="218"/>
      <c r="K108" s="42"/>
      <c r="L108" s="42"/>
      <c r="M108" s="182" t="s">
        <v>1220</v>
      </c>
    </row>
    <row r="109" spans="1:13">
      <c r="A109" s="1">
        <v>11</v>
      </c>
      <c r="B109" s="182" t="s">
        <v>1234</v>
      </c>
      <c r="C109" s="1" t="s">
        <v>1235</v>
      </c>
      <c r="D109" s="4">
        <v>21361</v>
      </c>
      <c r="E109" s="1094">
        <v>5000</v>
      </c>
      <c r="F109" s="939" t="s">
        <v>1220</v>
      </c>
      <c r="G109" s="158" t="s">
        <v>45</v>
      </c>
      <c r="H109" s="218"/>
      <c r="I109" s="42"/>
      <c r="J109" s="218"/>
      <c r="K109" s="42"/>
      <c r="L109" s="42"/>
      <c r="M109" s="182" t="s">
        <v>3195</v>
      </c>
    </row>
    <row r="110" spans="1:13">
      <c r="A110" s="1">
        <v>12</v>
      </c>
      <c r="B110" s="182" t="s">
        <v>1234</v>
      </c>
      <c r="C110" s="1" t="s">
        <v>1236</v>
      </c>
      <c r="D110" s="4">
        <v>21361</v>
      </c>
      <c r="E110" s="1094">
        <v>5000</v>
      </c>
      <c r="F110" s="939" t="s">
        <v>1220</v>
      </c>
      <c r="G110" s="158" t="s">
        <v>45</v>
      </c>
      <c r="H110" s="218"/>
      <c r="I110" s="42"/>
      <c r="J110" s="218"/>
      <c r="K110" s="42"/>
      <c r="L110" s="42"/>
      <c r="M110" s="182" t="s">
        <v>3195</v>
      </c>
    </row>
    <row r="111" spans="1:13">
      <c r="A111" s="1">
        <v>13</v>
      </c>
      <c r="B111" s="182" t="s">
        <v>1234</v>
      </c>
      <c r="C111" s="1" t="s">
        <v>1237</v>
      </c>
      <c r="D111" s="4">
        <v>21361</v>
      </c>
      <c r="E111" s="1094">
        <v>5000</v>
      </c>
      <c r="F111" s="939" t="s">
        <v>1220</v>
      </c>
      <c r="G111" s="158" t="s">
        <v>45</v>
      </c>
      <c r="H111" s="218"/>
      <c r="I111" s="42"/>
      <c r="J111" s="218"/>
      <c r="K111" s="42"/>
      <c r="L111" s="42"/>
      <c r="M111" s="182" t="s">
        <v>3195</v>
      </c>
    </row>
    <row r="112" spans="1:13">
      <c r="A112" s="1">
        <v>14</v>
      </c>
      <c r="B112" s="182" t="s">
        <v>1234</v>
      </c>
      <c r="C112" s="1" t="s">
        <v>1238</v>
      </c>
      <c r="D112" s="4">
        <v>21361</v>
      </c>
      <c r="E112" s="1094">
        <v>5000</v>
      </c>
      <c r="F112" s="939" t="s">
        <v>1220</v>
      </c>
      <c r="G112" s="158" t="s">
        <v>45</v>
      </c>
      <c r="H112" s="218"/>
      <c r="I112" s="42"/>
      <c r="J112" s="218"/>
      <c r="K112" s="42"/>
      <c r="L112" s="42"/>
      <c r="M112" s="182" t="s">
        <v>3195</v>
      </c>
    </row>
    <row r="113" spans="1:13">
      <c r="A113" s="1">
        <v>15</v>
      </c>
      <c r="B113" s="182" t="s">
        <v>1234</v>
      </c>
      <c r="C113" s="1" t="s">
        <v>1239</v>
      </c>
      <c r="D113" s="4">
        <v>21361</v>
      </c>
      <c r="E113" s="1094">
        <v>5000</v>
      </c>
      <c r="F113" s="939" t="s">
        <v>1220</v>
      </c>
      <c r="G113" s="158" t="s">
        <v>45</v>
      </c>
      <c r="H113" s="218"/>
      <c r="I113" s="42"/>
      <c r="J113" s="218"/>
      <c r="K113" s="42"/>
      <c r="L113" s="42"/>
      <c r="M113" s="182" t="s">
        <v>3195</v>
      </c>
    </row>
    <row r="114" spans="1:13">
      <c r="A114" s="1">
        <v>16</v>
      </c>
      <c r="B114" s="182" t="s">
        <v>1234</v>
      </c>
      <c r="C114" s="1" t="s">
        <v>1240</v>
      </c>
      <c r="D114" s="4">
        <v>21361</v>
      </c>
      <c r="E114" s="1094">
        <v>5000</v>
      </c>
      <c r="F114" s="939" t="s">
        <v>1220</v>
      </c>
      <c r="G114" s="158" t="s">
        <v>45</v>
      </c>
      <c r="H114" s="218"/>
      <c r="I114" s="42"/>
      <c r="J114" s="218"/>
      <c r="K114" s="42"/>
      <c r="L114" s="42"/>
      <c r="M114" s="182" t="s">
        <v>3195</v>
      </c>
    </row>
    <row r="115" spans="1:13">
      <c r="A115" s="1">
        <v>17</v>
      </c>
      <c r="B115" s="182" t="s">
        <v>1234</v>
      </c>
      <c r="C115" s="1" t="s">
        <v>1241</v>
      </c>
      <c r="D115" s="4">
        <v>21361</v>
      </c>
      <c r="E115" s="1094">
        <v>5000</v>
      </c>
      <c r="F115" s="939" t="s">
        <v>1220</v>
      </c>
      <c r="G115" s="158" t="s">
        <v>45</v>
      </c>
      <c r="H115" s="218"/>
      <c r="I115" s="42"/>
      <c r="J115" s="218"/>
      <c r="K115" s="42"/>
      <c r="L115" s="42"/>
      <c r="M115" s="182" t="s">
        <v>3195</v>
      </c>
    </row>
    <row r="116" spans="1:13">
      <c r="A116" s="1">
        <v>18</v>
      </c>
      <c r="B116" s="182" t="s">
        <v>1234</v>
      </c>
      <c r="C116" s="1" t="s">
        <v>1242</v>
      </c>
      <c r="D116" s="4">
        <v>21361</v>
      </c>
      <c r="E116" s="1094">
        <v>5000</v>
      </c>
      <c r="F116" s="939" t="s">
        <v>1220</v>
      </c>
      <c r="G116" s="158" t="s">
        <v>45</v>
      </c>
      <c r="H116" s="218"/>
      <c r="I116" s="42"/>
      <c r="J116" s="218"/>
      <c r="K116" s="42"/>
      <c r="L116" s="42"/>
      <c r="M116" s="182" t="s">
        <v>3195</v>
      </c>
    </row>
    <row r="117" spans="1:13">
      <c r="A117" s="1">
        <v>19</v>
      </c>
      <c r="B117" s="182" t="s">
        <v>1234</v>
      </c>
      <c r="C117" s="1" t="s">
        <v>1243</v>
      </c>
      <c r="D117" s="4">
        <v>21361</v>
      </c>
      <c r="E117" s="1094">
        <v>5000</v>
      </c>
      <c r="F117" s="939" t="s">
        <v>1220</v>
      </c>
      <c r="G117" s="158" t="s">
        <v>45</v>
      </c>
      <c r="H117" s="218"/>
      <c r="I117" s="42"/>
      <c r="J117" s="218"/>
      <c r="K117" s="42"/>
      <c r="L117" s="42"/>
      <c r="M117" s="182" t="s">
        <v>3195</v>
      </c>
    </row>
    <row r="118" spans="1:13">
      <c r="A118" s="1">
        <v>20</v>
      </c>
      <c r="B118" s="182" t="s">
        <v>1234</v>
      </c>
      <c r="C118" s="1" t="s">
        <v>1244</v>
      </c>
      <c r="D118" s="4">
        <v>21361</v>
      </c>
      <c r="E118" s="1094">
        <v>5000</v>
      </c>
      <c r="F118" s="939" t="s">
        <v>1220</v>
      </c>
      <c r="G118" s="158" t="s">
        <v>45</v>
      </c>
      <c r="H118" s="218"/>
      <c r="I118" s="42"/>
      <c r="J118" s="218"/>
      <c r="K118" s="42"/>
      <c r="L118" s="42"/>
      <c r="M118" s="182" t="s">
        <v>3195</v>
      </c>
    </row>
    <row r="119" spans="1:13">
      <c r="A119" s="1">
        <v>21</v>
      </c>
      <c r="B119" s="182" t="s">
        <v>1245</v>
      </c>
      <c r="C119" s="1" t="s">
        <v>1246</v>
      </c>
      <c r="D119" s="4" t="s">
        <v>1247</v>
      </c>
      <c r="E119" s="1094">
        <v>5900</v>
      </c>
      <c r="F119" s="939" t="s">
        <v>1220</v>
      </c>
      <c r="G119" s="158" t="s">
        <v>45</v>
      </c>
      <c r="H119" s="218"/>
      <c r="I119" s="42"/>
      <c r="J119" s="218"/>
      <c r="K119" s="42"/>
      <c r="L119" s="42"/>
      <c r="M119" s="182" t="s">
        <v>3195</v>
      </c>
    </row>
    <row r="120" spans="1:13">
      <c r="A120" s="1">
        <v>22</v>
      </c>
      <c r="B120" s="182" t="s">
        <v>1245</v>
      </c>
      <c r="C120" s="1" t="s">
        <v>1248</v>
      </c>
      <c r="D120" s="4" t="s">
        <v>1247</v>
      </c>
      <c r="E120" s="1094">
        <v>5900</v>
      </c>
      <c r="F120" s="939" t="s">
        <v>1220</v>
      </c>
      <c r="G120" s="158" t="s">
        <v>45</v>
      </c>
      <c r="H120" s="218"/>
      <c r="I120" s="42"/>
      <c r="J120" s="218"/>
      <c r="K120" s="42"/>
      <c r="L120" s="42"/>
      <c r="M120" s="182" t="s">
        <v>3195</v>
      </c>
    </row>
    <row r="121" spans="1:13">
      <c r="A121" s="1">
        <v>23</v>
      </c>
      <c r="B121" s="182" t="s">
        <v>1245</v>
      </c>
      <c r="C121" s="1" t="s">
        <v>1249</v>
      </c>
      <c r="D121" s="4" t="s">
        <v>1247</v>
      </c>
      <c r="E121" s="1094">
        <v>5900</v>
      </c>
      <c r="F121" s="939" t="s">
        <v>1220</v>
      </c>
      <c r="G121" s="158" t="s">
        <v>45</v>
      </c>
      <c r="H121" s="218"/>
      <c r="I121" s="42"/>
      <c r="J121" s="218"/>
      <c r="K121" s="42"/>
      <c r="L121" s="42"/>
      <c r="M121" s="182" t="s">
        <v>3195</v>
      </c>
    </row>
    <row r="122" spans="1:13">
      <c r="A122" s="1">
        <v>24</v>
      </c>
      <c r="B122" s="182" t="s">
        <v>1245</v>
      </c>
      <c r="C122" s="1" t="s">
        <v>1250</v>
      </c>
      <c r="D122" s="4" t="s">
        <v>1247</v>
      </c>
      <c r="E122" s="1094">
        <v>5900</v>
      </c>
      <c r="F122" s="939" t="s">
        <v>1220</v>
      </c>
      <c r="G122" s="158" t="s">
        <v>45</v>
      </c>
      <c r="H122" s="218"/>
      <c r="I122" s="42"/>
      <c r="J122" s="218"/>
      <c r="K122" s="42"/>
      <c r="L122" s="42"/>
      <c r="M122" s="182" t="s">
        <v>3195</v>
      </c>
    </row>
    <row r="123" spans="1:13">
      <c r="A123" s="1">
        <v>25</v>
      </c>
      <c r="B123" s="182" t="s">
        <v>1245</v>
      </c>
      <c r="C123" s="1" t="s">
        <v>1251</v>
      </c>
      <c r="D123" s="4" t="s">
        <v>1247</v>
      </c>
      <c r="E123" s="1094">
        <v>5900</v>
      </c>
      <c r="F123" s="939" t="s">
        <v>1220</v>
      </c>
      <c r="G123" s="158" t="s">
        <v>45</v>
      </c>
      <c r="H123" s="218"/>
      <c r="I123" s="42"/>
      <c r="J123" s="218"/>
      <c r="K123" s="42"/>
      <c r="L123" s="42"/>
      <c r="M123" s="182" t="s">
        <v>3195</v>
      </c>
    </row>
    <row r="124" spans="1:13">
      <c r="A124" s="1">
        <v>26</v>
      </c>
      <c r="B124" s="182" t="s">
        <v>1245</v>
      </c>
      <c r="C124" s="1" t="s">
        <v>1252</v>
      </c>
      <c r="D124" s="4" t="s">
        <v>1247</v>
      </c>
      <c r="E124" s="1094">
        <v>5900</v>
      </c>
      <c r="F124" s="939" t="s">
        <v>1220</v>
      </c>
      <c r="G124" s="158" t="s">
        <v>45</v>
      </c>
      <c r="H124" s="218"/>
      <c r="I124" s="42"/>
      <c r="J124" s="218"/>
      <c r="K124" s="42"/>
      <c r="L124" s="42"/>
      <c r="M124" s="182" t="s">
        <v>3195</v>
      </c>
    </row>
    <row r="125" spans="1:13">
      <c r="A125" s="1">
        <v>27</v>
      </c>
      <c r="B125" s="182" t="s">
        <v>1245</v>
      </c>
      <c r="C125" s="1" t="s">
        <v>1253</v>
      </c>
      <c r="D125" s="4" t="s">
        <v>1247</v>
      </c>
      <c r="E125" s="1094">
        <v>5900</v>
      </c>
      <c r="F125" s="939" t="s">
        <v>1220</v>
      </c>
      <c r="G125" s="158" t="s">
        <v>45</v>
      </c>
      <c r="H125" s="218"/>
      <c r="I125" s="42"/>
      <c r="J125" s="218"/>
      <c r="K125" s="42"/>
      <c r="L125" s="42"/>
      <c r="M125" s="182" t="s">
        <v>3195</v>
      </c>
    </row>
    <row r="126" spans="1:13">
      <c r="A126" s="1">
        <v>28</v>
      </c>
      <c r="B126" s="182" t="s">
        <v>1245</v>
      </c>
      <c r="C126" s="1" t="s">
        <v>1254</v>
      </c>
      <c r="D126" s="4" t="s">
        <v>1247</v>
      </c>
      <c r="E126" s="1094">
        <v>5900</v>
      </c>
      <c r="F126" s="939" t="s">
        <v>1220</v>
      </c>
      <c r="G126" s="158" t="s">
        <v>45</v>
      </c>
      <c r="H126" s="218"/>
      <c r="I126" s="42"/>
      <c r="J126" s="218"/>
      <c r="K126" s="42"/>
      <c r="L126" s="42"/>
      <c r="M126" s="182" t="s">
        <v>3195</v>
      </c>
    </row>
    <row r="127" spans="1:13">
      <c r="A127" s="1">
        <v>29</v>
      </c>
      <c r="B127" s="182" t="s">
        <v>1245</v>
      </c>
      <c r="C127" s="1" t="s">
        <v>1255</v>
      </c>
      <c r="D127" s="4" t="s">
        <v>1247</v>
      </c>
      <c r="E127" s="1094">
        <v>5900</v>
      </c>
      <c r="F127" s="939" t="s">
        <v>1220</v>
      </c>
      <c r="G127" s="158" t="s">
        <v>45</v>
      </c>
      <c r="H127" s="218"/>
      <c r="I127" s="42"/>
      <c r="J127" s="218"/>
      <c r="K127" s="42"/>
      <c r="L127" s="42"/>
      <c r="M127" s="182" t="s">
        <v>3195</v>
      </c>
    </row>
    <row r="128" spans="1:13" s="914" customFormat="1" ht="20.25" thickBot="1">
      <c r="A128" s="977">
        <v>29</v>
      </c>
      <c r="B128" s="977"/>
      <c r="C128" s="977"/>
      <c r="D128" s="910" t="s">
        <v>64</v>
      </c>
      <c r="E128" s="916">
        <f>SUM(E99:E127)</f>
        <v>178100</v>
      </c>
      <c r="F128" s="976"/>
      <c r="G128" s="976"/>
      <c r="H128" s="976"/>
      <c r="I128" s="977"/>
      <c r="J128" s="976"/>
      <c r="K128" s="977"/>
      <c r="L128" s="977"/>
      <c r="M128" s="978"/>
    </row>
    <row r="129" spans="1:13" ht="20.25" thickTop="1">
      <c r="A129" s="42"/>
      <c r="B129" s="414" t="s">
        <v>1996</v>
      </c>
      <c r="C129" s="42"/>
      <c r="D129" s="415"/>
      <c r="E129" s="237"/>
      <c r="F129" s="416"/>
      <c r="G129" s="218"/>
      <c r="H129" s="218"/>
      <c r="I129" s="42"/>
      <c r="J129" s="218"/>
      <c r="K129" s="42"/>
      <c r="L129" s="42"/>
      <c r="M129" s="309"/>
    </row>
    <row r="130" spans="1:13">
      <c r="A130" s="232">
        <v>1</v>
      </c>
      <c r="B130" s="372" t="s">
        <v>1997</v>
      </c>
      <c r="C130" s="232" t="s">
        <v>1998</v>
      </c>
      <c r="D130" s="228">
        <v>14935</v>
      </c>
      <c r="E130" s="1104">
        <v>449900</v>
      </c>
      <c r="F130" s="1011" t="s">
        <v>1999</v>
      </c>
      <c r="G130" s="158" t="s">
        <v>45</v>
      </c>
      <c r="H130" s="218"/>
      <c r="I130" s="232"/>
      <c r="J130" s="218"/>
      <c r="K130" s="232"/>
      <c r="L130" s="232"/>
      <c r="M130" s="309" t="s">
        <v>3206</v>
      </c>
    </row>
    <row r="131" spans="1:13">
      <c r="A131" s="874">
        <v>2</v>
      </c>
      <c r="B131" s="875" t="s">
        <v>3896</v>
      </c>
      <c r="C131" s="874" t="s">
        <v>3895</v>
      </c>
      <c r="D131" s="858" t="s">
        <v>3997</v>
      </c>
      <c r="E131" s="1115">
        <v>480000</v>
      </c>
      <c r="F131" s="1189" t="s">
        <v>1999</v>
      </c>
      <c r="G131" s="859" t="s">
        <v>45</v>
      </c>
      <c r="H131" s="855"/>
      <c r="I131" s="874"/>
      <c r="J131" s="855"/>
      <c r="K131" s="874"/>
      <c r="L131" s="874"/>
      <c r="M131" s="877"/>
    </row>
    <row r="132" spans="1:13" s="914" customFormat="1" ht="20.25" thickBot="1">
      <c r="A132" s="975">
        <v>2</v>
      </c>
      <c r="B132" s="987"/>
      <c r="C132" s="975"/>
      <c r="D132" s="958"/>
      <c r="E132" s="916">
        <f>SUM(E130:E131)</f>
        <v>929900</v>
      </c>
      <c r="F132" s="988"/>
      <c r="G132" s="976"/>
      <c r="H132" s="976"/>
      <c r="I132" s="975"/>
      <c r="J132" s="976"/>
      <c r="K132" s="975"/>
      <c r="L132" s="975"/>
      <c r="M132" s="978"/>
    </row>
    <row r="133" spans="1:13" ht="20.25" thickTop="1">
      <c r="A133" s="42"/>
      <c r="B133" s="414" t="s">
        <v>2002</v>
      </c>
      <c r="C133" s="42"/>
      <c r="D133" s="415"/>
      <c r="E133" s="237"/>
      <c r="F133" s="416"/>
      <c r="G133" s="218"/>
      <c r="H133" s="218"/>
      <c r="I133" s="42"/>
      <c r="J133" s="218"/>
      <c r="K133" s="42"/>
      <c r="L133" s="42"/>
      <c r="M133" s="309"/>
    </row>
    <row r="134" spans="1:13">
      <c r="A134" s="232">
        <v>1</v>
      </c>
      <c r="B134" s="372" t="s">
        <v>2003</v>
      </c>
      <c r="C134" s="232" t="s">
        <v>2004</v>
      </c>
      <c r="D134" s="228">
        <v>21939</v>
      </c>
      <c r="E134" s="1094">
        <v>19000</v>
      </c>
      <c r="F134" s="939" t="s">
        <v>1508</v>
      </c>
      <c r="G134" s="158" t="s">
        <v>45</v>
      </c>
      <c r="H134" s="218"/>
      <c r="I134" s="232"/>
      <c r="J134" s="218"/>
      <c r="K134" s="232"/>
      <c r="L134" s="232"/>
      <c r="M134" s="309"/>
    </row>
    <row r="135" spans="1:13" s="914" customFormat="1" ht="20.25" thickBot="1">
      <c r="A135" s="975">
        <v>1</v>
      </c>
      <c r="B135" s="987"/>
      <c r="C135" s="975"/>
      <c r="D135" s="958"/>
      <c r="E135" s="916">
        <f>SUM(E134)</f>
        <v>19000</v>
      </c>
      <c r="F135" s="988"/>
      <c r="G135" s="976"/>
      <c r="H135" s="976"/>
      <c r="I135" s="975"/>
      <c r="J135" s="976"/>
      <c r="K135" s="975"/>
      <c r="L135" s="975"/>
      <c r="M135" s="978"/>
    </row>
    <row r="136" spans="1:13" s="944" customFormat="1" ht="21" thickTop="1" thickBot="1">
      <c r="A136" s="989">
        <f>A135+A132+A128+A97+A89+A62+A24</f>
        <v>58</v>
      </c>
      <c r="B136" s="990"/>
      <c r="C136" s="989"/>
      <c r="D136" s="941" t="s">
        <v>1723</v>
      </c>
      <c r="E136" s="991">
        <f>SUM(E135+E132+E128+E97+E89+E62+E24)</f>
        <v>69521763.819999993</v>
      </c>
      <c r="F136" s="992"/>
      <c r="G136" s="993"/>
      <c r="H136" s="993"/>
      <c r="I136" s="989"/>
      <c r="J136" s="993"/>
      <c r="K136" s="989"/>
      <c r="L136" s="989"/>
      <c r="M136" s="994"/>
    </row>
    <row r="137" spans="1:13" ht="20.25" thickTop="1">
      <c r="A137" s="232"/>
      <c r="B137" s="372"/>
      <c r="C137" s="232"/>
      <c r="D137" s="192"/>
      <c r="E137" s="236"/>
      <c r="F137" s="416"/>
      <c r="G137" s="218"/>
      <c r="H137" s="218"/>
      <c r="I137" s="232"/>
      <c r="J137" s="218"/>
      <c r="K137" s="232"/>
      <c r="L137" s="232"/>
      <c r="M137" s="309"/>
    </row>
    <row r="138" spans="1:13">
      <c r="A138" s="232"/>
      <c r="B138" s="372"/>
      <c r="C138" s="232"/>
      <c r="D138" s="192"/>
      <c r="E138" s="236"/>
      <c r="F138" s="416"/>
      <c r="G138" s="218"/>
      <c r="H138" s="218"/>
      <c r="I138" s="232"/>
      <c r="J138" s="218"/>
      <c r="K138" s="232"/>
      <c r="L138" s="232"/>
      <c r="M138" s="309"/>
    </row>
    <row r="139" spans="1:13">
      <c r="A139" s="232"/>
      <c r="B139" s="417"/>
      <c r="C139" s="232"/>
      <c r="D139" s="1"/>
      <c r="E139" s="235"/>
      <c r="F139" s="416"/>
      <c r="G139" s="218"/>
      <c r="H139" s="218"/>
      <c r="I139" s="232"/>
      <c r="J139" s="218"/>
      <c r="K139" s="232"/>
      <c r="L139" s="232"/>
      <c r="M139" s="309"/>
    </row>
    <row r="140" spans="1:13">
      <c r="A140" s="1"/>
      <c r="B140" s="48"/>
      <c r="C140" s="1"/>
      <c r="D140" s="47"/>
      <c r="E140" s="264"/>
      <c r="F140" s="1"/>
      <c r="G140" s="1"/>
      <c r="H140" s="1"/>
      <c r="I140" s="1"/>
      <c r="J140" s="1"/>
      <c r="K140" s="1"/>
      <c r="L140" s="1"/>
      <c r="M140" s="182"/>
    </row>
    <row r="141" spans="1:13">
      <c r="A141" s="418"/>
      <c r="B141" s="419"/>
      <c r="C141" s="418"/>
      <c r="D141" s="420"/>
      <c r="E141" s="421"/>
      <c r="F141" s="418"/>
      <c r="G141" s="418"/>
      <c r="H141" s="418"/>
      <c r="I141" s="418"/>
      <c r="J141" s="418"/>
      <c r="K141" s="418"/>
      <c r="L141" s="418"/>
    </row>
  </sheetData>
  <mergeCells count="11"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  <mergeCell ref="M5:M6"/>
  </mergeCells>
  <pageMargins left="0.17" right="0.15748031496062992" top="0.45" bottom="0.47" header="0.21" footer="0.21"/>
  <pageSetup paperSize="9" orientation="landscape" horizont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57"/>
  <sheetViews>
    <sheetView view="pageBreakPreview" topLeftCell="A40" zoomScaleSheetLayoutView="100" workbookViewId="0">
      <selection activeCell="F10" activeCellId="1" sqref="F14 F10"/>
    </sheetView>
  </sheetViews>
  <sheetFormatPr defaultColWidth="9" defaultRowHeight="15"/>
  <cols>
    <col min="1" max="1" width="5.25" style="36" customWidth="1"/>
    <col min="2" max="2" width="38.125" style="36" customWidth="1"/>
    <col min="3" max="3" width="10.25" style="36" customWidth="1"/>
    <col min="4" max="4" width="9.75" style="36" customWidth="1"/>
    <col min="5" max="5" width="15.75" style="220" customWidth="1"/>
    <col min="6" max="6" width="11.25" style="36" customWidth="1"/>
    <col min="7" max="12" width="4.625" style="36" customWidth="1"/>
    <col min="13" max="13" width="21.125" style="450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63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64"/>
    </row>
    <row r="7" spans="1:13" ht="19.5">
      <c r="A7" s="42"/>
      <c r="B7" s="5" t="s">
        <v>1735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423"/>
    </row>
    <row r="8" spans="1:13" ht="19.5">
      <c r="A8" s="42"/>
      <c r="B8" s="5" t="s">
        <v>1658</v>
      </c>
      <c r="C8" s="42"/>
      <c r="D8" s="43"/>
      <c r="E8" s="217"/>
      <c r="F8" s="218"/>
      <c r="G8" s="218"/>
      <c r="H8" s="218"/>
      <c r="I8" s="42"/>
      <c r="J8" s="218"/>
      <c r="K8" s="42"/>
      <c r="L8" s="42"/>
      <c r="M8" s="423"/>
    </row>
    <row r="9" spans="1:13" s="44" customFormat="1" ht="19.5">
      <c r="A9" s="312">
        <v>1</v>
      </c>
      <c r="B9" s="257" t="s">
        <v>2011</v>
      </c>
      <c r="C9" s="314" t="s">
        <v>2012</v>
      </c>
      <c r="D9" s="315">
        <v>17069</v>
      </c>
      <c r="E9" s="316">
        <v>4500</v>
      </c>
      <c r="F9" s="1143" t="s">
        <v>1649</v>
      </c>
      <c r="G9" s="158" t="s">
        <v>45</v>
      </c>
      <c r="H9" s="425"/>
      <c r="I9" s="426"/>
      <c r="J9" s="425"/>
      <c r="K9" s="426"/>
      <c r="L9" s="426"/>
      <c r="M9" s="256"/>
    </row>
    <row r="10" spans="1:13" s="44" customFormat="1" ht="19.5">
      <c r="A10" s="199">
        <v>2</v>
      </c>
      <c r="B10" s="313" t="s">
        <v>1659</v>
      </c>
      <c r="C10" s="427" t="s">
        <v>1661</v>
      </c>
      <c r="D10" s="315">
        <v>17806</v>
      </c>
      <c r="E10" s="1099">
        <v>9650</v>
      </c>
      <c r="F10" s="1192" t="s">
        <v>1649</v>
      </c>
      <c r="G10" s="199" t="s">
        <v>45</v>
      </c>
      <c r="H10" s="428"/>
      <c r="I10" s="38"/>
      <c r="J10" s="428"/>
      <c r="K10" s="38"/>
      <c r="L10" s="38"/>
      <c r="M10" s="318" t="s">
        <v>3217</v>
      </c>
    </row>
    <row r="11" spans="1:13" s="44" customFormat="1" ht="19.5">
      <c r="A11" s="42"/>
      <c r="B11" s="429" t="s">
        <v>1660</v>
      </c>
      <c r="C11" s="430"/>
      <c r="D11" s="397"/>
      <c r="E11" s="407"/>
      <c r="F11" s="431"/>
      <c r="G11" s="232"/>
      <c r="H11" s="432"/>
      <c r="I11" s="42"/>
      <c r="J11" s="432"/>
      <c r="K11" s="42"/>
      <c r="L11" s="42"/>
      <c r="M11" s="309"/>
    </row>
    <row r="12" spans="1:13" s="44" customFormat="1" ht="19.5">
      <c r="A12" s="199">
        <v>3</v>
      </c>
      <c r="B12" s="313" t="s">
        <v>1659</v>
      </c>
      <c r="C12" s="427" t="s">
        <v>1662</v>
      </c>
      <c r="D12" s="315">
        <v>17806</v>
      </c>
      <c r="E12" s="316">
        <v>9650</v>
      </c>
      <c r="F12" s="1144" t="s">
        <v>1649</v>
      </c>
      <c r="G12" s="199" t="s">
        <v>45</v>
      </c>
      <c r="H12" s="428"/>
      <c r="I12" s="38"/>
      <c r="J12" s="428"/>
      <c r="K12" s="38"/>
      <c r="L12" s="38"/>
      <c r="M12" s="318"/>
    </row>
    <row r="13" spans="1:13" s="44" customFormat="1" ht="19.5">
      <c r="A13" s="42"/>
      <c r="B13" s="429" t="s">
        <v>1660</v>
      </c>
      <c r="C13" s="430"/>
      <c r="D13" s="397"/>
      <c r="E13" s="407"/>
      <c r="F13" s="431"/>
      <c r="G13" s="232"/>
      <c r="H13" s="432"/>
      <c r="I13" s="42"/>
      <c r="J13" s="432"/>
      <c r="K13" s="42"/>
      <c r="L13" s="42"/>
      <c r="M13" s="309"/>
    </row>
    <row r="14" spans="1:13" s="44" customFormat="1" ht="19.5">
      <c r="A14" s="199">
        <v>4</v>
      </c>
      <c r="B14" s="313" t="s">
        <v>1659</v>
      </c>
      <c r="C14" s="427" t="s">
        <v>1663</v>
      </c>
      <c r="D14" s="315">
        <v>17806</v>
      </c>
      <c r="E14" s="1099">
        <v>9650</v>
      </c>
      <c r="F14" s="1192" t="s">
        <v>1649</v>
      </c>
      <c r="G14" s="199" t="s">
        <v>45</v>
      </c>
      <c r="H14" s="428"/>
      <c r="I14" s="38"/>
      <c r="J14" s="428"/>
      <c r="K14" s="38"/>
      <c r="L14" s="38"/>
      <c r="M14" s="318" t="s">
        <v>3218</v>
      </c>
    </row>
    <row r="15" spans="1:13" s="44" customFormat="1" ht="19.5">
      <c r="A15" s="42"/>
      <c r="B15" s="429" t="s">
        <v>1660</v>
      </c>
      <c r="C15" s="430"/>
      <c r="D15" s="397"/>
      <c r="E15" s="407"/>
      <c r="F15" s="431"/>
      <c r="G15" s="232"/>
      <c r="H15" s="432"/>
      <c r="I15" s="42"/>
      <c r="J15" s="432"/>
      <c r="K15" s="42"/>
      <c r="L15" s="42"/>
      <c r="M15" s="309"/>
    </row>
    <row r="16" spans="1:13" s="44" customFormat="1" ht="19.5">
      <c r="A16" s="242">
        <v>5</v>
      </c>
      <c r="B16" s="433" t="s">
        <v>1664</v>
      </c>
      <c r="C16" s="434" t="s">
        <v>1665</v>
      </c>
      <c r="D16" s="243">
        <v>238042</v>
      </c>
      <c r="E16" s="62">
        <v>10000</v>
      </c>
      <c r="F16" s="1143" t="s">
        <v>1649</v>
      </c>
      <c r="G16" s="158" t="s">
        <v>45</v>
      </c>
      <c r="H16" s="49"/>
      <c r="I16" s="49"/>
      <c r="J16" s="406"/>
      <c r="K16" s="49"/>
      <c r="L16" s="49"/>
      <c r="M16" s="182"/>
    </row>
    <row r="17" spans="1:13" s="44" customFormat="1" ht="19.5">
      <c r="A17" s="242">
        <v>6</v>
      </c>
      <c r="B17" s="408" t="s">
        <v>1666</v>
      </c>
      <c r="C17" s="434" t="s">
        <v>1667</v>
      </c>
      <c r="D17" s="243">
        <v>19854</v>
      </c>
      <c r="E17" s="62">
        <v>6800</v>
      </c>
      <c r="F17" s="1143" t="s">
        <v>1649</v>
      </c>
      <c r="G17" s="158" t="s">
        <v>45</v>
      </c>
      <c r="H17" s="432"/>
      <c r="I17" s="42"/>
      <c r="J17" s="432"/>
      <c r="K17" s="42"/>
      <c r="L17" s="42"/>
      <c r="M17" s="309"/>
    </row>
    <row r="18" spans="1:13" s="44" customFormat="1" ht="19.5">
      <c r="A18" s="242">
        <v>7</v>
      </c>
      <c r="B18" s="193" t="s">
        <v>2729</v>
      </c>
      <c r="C18" s="194" t="s">
        <v>2673</v>
      </c>
      <c r="D18" s="173">
        <v>23581</v>
      </c>
      <c r="E18" s="304">
        <v>8500</v>
      </c>
      <c r="F18" s="1139" t="s">
        <v>2649</v>
      </c>
      <c r="G18" s="194" t="s">
        <v>45</v>
      </c>
      <c r="H18" s="194"/>
      <c r="I18" s="194"/>
      <c r="J18" s="194"/>
      <c r="K18" s="194"/>
      <c r="L18" s="194"/>
      <c r="M18" s="435"/>
    </row>
    <row r="19" spans="1:13" s="44" customFormat="1" ht="19.5">
      <c r="A19" s="242">
        <v>8</v>
      </c>
      <c r="B19" s="193" t="s">
        <v>2729</v>
      </c>
      <c r="C19" s="194" t="s">
        <v>2674</v>
      </c>
      <c r="D19" s="173">
        <v>23581</v>
      </c>
      <c r="E19" s="304">
        <v>8500</v>
      </c>
      <c r="F19" s="1139" t="s">
        <v>2649</v>
      </c>
      <c r="G19" s="194" t="s">
        <v>45</v>
      </c>
      <c r="H19" s="194"/>
      <c r="I19" s="194"/>
      <c r="J19" s="194"/>
      <c r="K19" s="194"/>
      <c r="L19" s="194"/>
      <c r="M19" s="435"/>
    </row>
    <row r="20" spans="1:13" s="44" customFormat="1" ht="19.5">
      <c r="A20" s="242">
        <v>9</v>
      </c>
      <c r="B20" s="436" t="s">
        <v>2730</v>
      </c>
      <c r="C20" s="194" t="s">
        <v>2675</v>
      </c>
      <c r="D20" s="173">
        <v>23588</v>
      </c>
      <c r="E20" s="304">
        <v>5800</v>
      </c>
      <c r="F20" s="1139" t="s">
        <v>2649</v>
      </c>
      <c r="G20" s="194" t="s">
        <v>45</v>
      </c>
      <c r="H20" s="194"/>
      <c r="I20" s="194"/>
      <c r="J20" s="194"/>
      <c r="K20" s="194"/>
      <c r="L20" s="194"/>
      <c r="M20" s="435"/>
    </row>
    <row r="21" spans="1:13" s="44" customFormat="1" ht="19.5">
      <c r="A21" s="242">
        <v>10</v>
      </c>
      <c r="B21" s="193" t="s">
        <v>2715</v>
      </c>
      <c r="C21" s="194" t="s">
        <v>2716</v>
      </c>
      <c r="D21" s="173">
        <v>23620</v>
      </c>
      <c r="E21" s="1111">
        <v>7300</v>
      </c>
      <c r="F21" s="1190" t="s">
        <v>1649</v>
      </c>
      <c r="G21" s="194" t="s">
        <v>45</v>
      </c>
      <c r="H21" s="194"/>
      <c r="I21" s="194"/>
      <c r="J21" s="194"/>
      <c r="K21" s="194"/>
      <c r="L21" s="194"/>
      <c r="M21" s="435" t="s">
        <v>3205</v>
      </c>
    </row>
    <row r="22" spans="1:13" s="44" customFormat="1" ht="19.5">
      <c r="A22" s="242">
        <v>11</v>
      </c>
      <c r="B22" s="193" t="s">
        <v>2715</v>
      </c>
      <c r="C22" s="194" t="s">
        <v>2717</v>
      </c>
      <c r="D22" s="173">
        <v>23620</v>
      </c>
      <c r="E22" s="1111">
        <v>7300</v>
      </c>
      <c r="F22" s="1190" t="s">
        <v>1649</v>
      </c>
      <c r="G22" s="194" t="s">
        <v>45</v>
      </c>
      <c r="H22" s="194"/>
      <c r="I22" s="194"/>
      <c r="J22" s="194"/>
      <c r="K22" s="194"/>
      <c r="L22" s="194"/>
      <c r="M22" s="435" t="s">
        <v>3205</v>
      </c>
    </row>
    <row r="23" spans="1:13" s="44" customFormat="1" ht="19.5">
      <c r="A23" s="242">
        <v>12</v>
      </c>
      <c r="B23" s="193" t="s">
        <v>2715</v>
      </c>
      <c r="C23" s="194" t="s">
        <v>2718</v>
      </c>
      <c r="D23" s="173">
        <v>23620</v>
      </c>
      <c r="E23" s="1111">
        <v>7300</v>
      </c>
      <c r="F23" s="1190" t="s">
        <v>1649</v>
      </c>
      <c r="G23" s="194" t="s">
        <v>45</v>
      </c>
      <c r="H23" s="194"/>
      <c r="I23" s="194"/>
      <c r="J23" s="194"/>
      <c r="K23" s="194"/>
      <c r="L23" s="194"/>
      <c r="M23" s="435" t="s">
        <v>3205</v>
      </c>
    </row>
    <row r="24" spans="1:13" s="44" customFormat="1" ht="19.5">
      <c r="A24" s="242">
        <v>13</v>
      </c>
      <c r="B24" s="193" t="s">
        <v>2715</v>
      </c>
      <c r="C24" s="194" t="s">
        <v>2719</v>
      </c>
      <c r="D24" s="173">
        <v>23620</v>
      </c>
      <c r="E24" s="1111">
        <v>7300</v>
      </c>
      <c r="F24" s="1190" t="s">
        <v>1649</v>
      </c>
      <c r="G24" s="194" t="s">
        <v>45</v>
      </c>
      <c r="H24" s="194"/>
      <c r="I24" s="194"/>
      <c r="J24" s="194"/>
      <c r="K24" s="194"/>
      <c r="L24" s="194"/>
      <c r="M24" s="435" t="s">
        <v>3205</v>
      </c>
    </row>
    <row r="25" spans="1:13" s="44" customFormat="1" ht="19.5">
      <c r="A25" s="242">
        <v>14</v>
      </c>
      <c r="B25" s="193" t="s">
        <v>2715</v>
      </c>
      <c r="C25" s="194" t="s">
        <v>2720</v>
      </c>
      <c r="D25" s="173">
        <v>23620</v>
      </c>
      <c r="E25" s="1111">
        <v>7300</v>
      </c>
      <c r="F25" s="1190" t="s">
        <v>1649</v>
      </c>
      <c r="G25" s="194" t="s">
        <v>45</v>
      </c>
      <c r="H25" s="194"/>
      <c r="I25" s="194"/>
      <c r="J25" s="194"/>
      <c r="K25" s="194"/>
      <c r="L25" s="194"/>
      <c r="M25" s="435" t="s">
        <v>3205</v>
      </c>
    </row>
    <row r="26" spans="1:13" s="44" customFormat="1" ht="19.5">
      <c r="A26" s="437">
        <v>15</v>
      </c>
      <c r="B26" s="438" t="s">
        <v>2721</v>
      </c>
      <c r="C26" s="437" t="s">
        <v>2723</v>
      </c>
      <c r="D26" s="159">
        <v>23620</v>
      </c>
      <c r="E26" s="1109">
        <v>8400</v>
      </c>
      <c r="F26" s="1191" t="s">
        <v>1649</v>
      </c>
      <c r="G26" s="437" t="s">
        <v>45</v>
      </c>
      <c r="H26" s="437"/>
      <c r="I26" s="437"/>
      <c r="J26" s="437"/>
      <c r="K26" s="437"/>
      <c r="L26" s="437"/>
      <c r="M26" s="440" t="s">
        <v>3205</v>
      </c>
    </row>
    <row r="27" spans="1:13" s="44" customFormat="1" ht="19.5">
      <c r="A27" s="441"/>
      <c r="B27" s="442" t="s">
        <v>2722</v>
      </c>
      <c r="C27" s="441"/>
      <c r="D27" s="443"/>
      <c r="E27" s="444"/>
      <c r="F27" s="441"/>
      <c r="G27" s="441"/>
      <c r="H27" s="441"/>
      <c r="I27" s="441"/>
      <c r="J27" s="441"/>
      <c r="K27" s="441"/>
      <c r="L27" s="441"/>
      <c r="M27" s="445"/>
    </row>
    <row r="28" spans="1:13" s="44" customFormat="1" ht="19.5">
      <c r="A28" s="437">
        <v>16</v>
      </c>
      <c r="B28" s="438" t="s">
        <v>2721</v>
      </c>
      <c r="C28" s="437" t="s">
        <v>2724</v>
      </c>
      <c r="D28" s="159">
        <v>23620</v>
      </c>
      <c r="E28" s="1109">
        <v>8400</v>
      </c>
      <c r="F28" s="1191" t="s">
        <v>1649</v>
      </c>
      <c r="G28" s="437" t="s">
        <v>45</v>
      </c>
      <c r="H28" s="437"/>
      <c r="I28" s="437"/>
      <c r="J28" s="437"/>
      <c r="K28" s="437"/>
      <c r="L28" s="437"/>
      <c r="M28" s="440" t="s">
        <v>3205</v>
      </c>
    </row>
    <row r="29" spans="1:13" s="44" customFormat="1" ht="19.5">
      <c r="A29" s="441"/>
      <c r="B29" s="442" t="s">
        <v>2722</v>
      </c>
      <c r="C29" s="441"/>
      <c r="D29" s="443"/>
      <c r="E29" s="1110"/>
      <c r="F29" s="441"/>
      <c r="G29" s="441"/>
      <c r="H29" s="441"/>
      <c r="I29" s="441"/>
      <c r="J29" s="441"/>
      <c r="K29" s="441"/>
      <c r="L29" s="441"/>
      <c r="M29" s="445"/>
    </row>
    <row r="30" spans="1:13" s="44" customFormat="1" ht="19.5">
      <c r="A30" s="437">
        <v>17</v>
      </c>
      <c r="B30" s="438" t="s">
        <v>2721</v>
      </c>
      <c r="C30" s="437" t="s">
        <v>2725</v>
      </c>
      <c r="D30" s="159">
        <v>23620</v>
      </c>
      <c r="E30" s="1109">
        <v>8400</v>
      </c>
      <c r="F30" s="1191" t="s">
        <v>1649</v>
      </c>
      <c r="G30" s="437" t="s">
        <v>45</v>
      </c>
      <c r="H30" s="437"/>
      <c r="I30" s="437"/>
      <c r="J30" s="437"/>
      <c r="K30" s="437"/>
      <c r="L30" s="437"/>
      <c r="M30" s="440" t="s">
        <v>3205</v>
      </c>
    </row>
    <row r="31" spans="1:13" s="44" customFormat="1" ht="19.5">
      <c r="A31" s="441"/>
      <c r="B31" s="442" t="s">
        <v>2722</v>
      </c>
      <c r="C31" s="441"/>
      <c r="D31" s="443"/>
      <c r="E31" s="1110"/>
      <c r="F31" s="441"/>
      <c r="G31" s="441"/>
      <c r="H31" s="441"/>
      <c r="I31" s="441"/>
      <c r="J31" s="441"/>
      <c r="K31" s="441"/>
      <c r="L31" s="441"/>
      <c r="M31" s="445"/>
    </row>
    <row r="32" spans="1:13" s="44" customFormat="1" ht="19.5">
      <c r="A32" s="437">
        <v>18</v>
      </c>
      <c r="B32" s="438" t="s">
        <v>2721</v>
      </c>
      <c r="C32" s="437" t="s">
        <v>2726</v>
      </c>
      <c r="D32" s="159">
        <v>23620</v>
      </c>
      <c r="E32" s="1109">
        <v>8400</v>
      </c>
      <c r="F32" s="1191" t="s">
        <v>1649</v>
      </c>
      <c r="G32" s="437" t="s">
        <v>45</v>
      </c>
      <c r="H32" s="437"/>
      <c r="I32" s="437"/>
      <c r="J32" s="437"/>
      <c r="K32" s="437"/>
      <c r="L32" s="437"/>
      <c r="M32" s="440" t="s">
        <v>3205</v>
      </c>
    </row>
    <row r="33" spans="1:13" s="44" customFormat="1" ht="19.5">
      <c r="A33" s="441"/>
      <c r="B33" s="442" t="s">
        <v>2722</v>
      </c>
      <c r="C33" s="441"/>
      <c r="D33" s="443"/>
      <c r="E33" s="1110"/>
      <c r="F33" s="441"/>
      <c r="G33" s="441"/>
      <c r="H33" s="441"/>
      <c r="I33" s="441"/>
      <c r="J33" s="441"/>
      <c r="K33" s="441"/>
      <c r="L33" s="441"/>
      <c r="M33" s="445"/>
    </row>
    <row r="34" spans="1:13" s="44" customFormat="1" ht="19.5">
      <c r="A34" s="437">
        <v>19</v>
      </c>
      <c r="B34" s="438" t="s">
        <v>2721</v>
      </c>
      <c r="C34" s="437" t="s">
        <v>2727</v>
      </c>
      <c r="D34" s="159">
        <v>23620</v>
      </c>
      <c r="E34" s="1109">
        <v>8400</v>
      </c>
      <c r="F34" s="1191" t="s">
        <v>1649</v>
      </c>
      <c r="G34" s="437" t="s">
        <v>45</v>
      </c>
      <c r="H34" s="437"/>
      <c r="I34" s="437"/>
      <c r="J34" s="437"/>
      <c r="K34" s="437"/>
      <c r="L34" s="437"/>
      <c r="M34" s="440" t="s">
        <v>3205</v>
      </c>
    </row>
    <row r="35" spans="1:13" s="44" customFormat="1" ht="19.5">
      <c r="A35" s="441"/>
      <c r="B35" s="442" t="s">
        <v>2722</v>
      </c>
      <c r="C35" s="441"/>
      <c r="D35" s="443"/>
      <c r="E35" s="444"/>
      <c r="F35" s="441"/>
      <c r="G35" s="441"/>
      <c r="H35" s="441"/>
      <c r="I35" s="441"/>
      <c r="J35" s="441"/>
      <c r="K35" s="441"/>
      <c r="L35" s="441"/>
      <c r="M35" s="445"/>
    </row>
    <row r="36" spans="1:13" s="44" customFormat="1" ht="19.5">
      <c r="A36" s="194">
        <v>20</v>
      </c>
      <c r="B36" s="193" t="s">
        <v>2728</v>
      </c>
      <c r="C36" s="194" t="s">
        <v>2676</v>
      </c>
      <c r="D36" s="173">
        <v>23623</v>
      </c>
      <c r="E36" s="304">
        <v>8000</v>
      </c>
      <c r="F36" s="1139" t="s">
        <v>2649</v>
      </c>
      <c r="G36" s="194" t="s">
        <v>45</v>
      </c>
      <c r="H36" s="194"/>
      <c r="I36" s="194"/>
      <c r="J36" s="194"/>
      <c r="K36" s="194"/>
      <c r="L36" s="194"/>
      <c r="M36" s="435"/>
    </row>
    <row r="37" spans="1:13" s="914" customFormat="1" ht="20.25" thickBot="1">
      <c r="A37" s="977">
        <v>20</v>
      </c>
      <c r="B37" s="977"/>
      <c r="C37" s="977"/>
      <c r="D37" s="995" t="s">
        <v>64</v>
      </c>
      <c r="E37" s="916">
        <f>SUM(E9:E36)</f>
        <v>159550</v>
      </c>
      <c r="F37" s="976"/>
      <c r="G37" s="976"/>
      <c r="H37" s="976"/>
      <c r="I37" s="977"/>
      <c r="J37" s="976"/>
      <c r="K37" s="977"/>
      <c r="L37" s="977"/>
      <c r="M37" s="996"/>
    </row>
    <row r="38" spans="1:13" ht="20.25" thickTop="1">
      <c r="A38" s="42"/>
      <c r="B38" s="5" t="s">
        <v>2706</v>
      </c>
      <c r="C38" s="42"/>
      <c r="D38" s="43"/>
      <c r="E38" s="217"/>
      <c r="F38" s="218"/>
      <c r="G38" s="218"/>
      <c r="H38" s="218"/>
      <c r="I38" s="42"/>
      <c r="J38" s="218"/>
      <c r="K38" s="42"/>
      <c r="L38" s="42"/>
      <c r="M38" s="423"/>
    </row>
    <row r="39" spans="1:13" s="44" customFormat="1" ht="19.5">
      <c r="A39" s="312">
        <v>1</v>
      </c>
      <c r="B39" s="257" t="s">
        <v>2707</v>
      </c>
      <c r="C39" s="314" t="s">
        <v>2710</v>
      </c>
      <c r="D39" s="315">
        <v>23607</v>
      </c>
      <c r="E39" s="316">
        <v>14800</v>
      </c>
      <c r="F39" s="1144" t="s">
        <v>1649</v>
      </c>
      <c r="G39" s="199" t="s">
        <v>45</v>
      </c>
      <c r="H39" s="425"/>
      <c r="I39" s="426"/>
      <c r="J39" s="425"/>
      <c r="K39" s="426"/>
      <c r="L39" s="426"/>
      <c r="M39" s="256"/>
    </row>
    <row r="40" spans="1:13" s="44" customFormat="1" ht="19.5">
      <c r="A40" s="319"/>
      <c r="B40" s="333" t="s">
        <v>2708</v>
      </c>
      <c r="C40" s="321"/>
      <c r="D40" s="322"/>
      <c r="E40" s="323"/>
      <c r="F40" s="446"/>
      <c r="G40" s="325"/>
      <c r="H40" s="447"/>
      <c r="I40" s="448"/>
      <c r="J40" s="447"/>
      <c r="K40" s="448"/>
      <c r="L40" s="448"/>
      <c r="M40" s="449"/>
    </row>
    <row r="41" spans="1:13" s="44" customFormat="1" ht="19.5">
      <c r="A41" s="232"/>
      <c r="B41" s="429" t="s">
        <v>2709</v>
      </c>
      <c r="C41" s="430"/>
      <c r="D41" s="397"/>
      <c r="E41" s="407"/>
      <c r="F41" s="431"/>
      <c r="G41" s="232"/>
      <c r="H41" s="432"/>
      <c r="I41" s="42"/>
      <c r="J41" s="432"/>
      <c r="K41" s="42"/>
      <c r="L41" s="42"/>
      <c r="M41" s="309"/>
    </row>
    <row r="42" spans="1:13" s="44" customFormat="1" ht="19.5">
      <c r="A42" s="312">
        <v>2</v>
      </c>
      <c r="B42" s="257" t="s">
        <v>2707</v>
      </c>
      <c r="C42" s="314" t="s">
        <v>2711</v>
      </c>
      <c r="D42" s="315">
        <v>23607</v>
      </c>
      <c r="E42" s="316">
        <v>14800</v>
      </c>
      <c r="F42" s="1144" t="s">
        <v>1649</v>
      </c>
      <c r="G42" s="199" t="s">
        <v>45</v>
      </c>
      <c r="H42" s="425"/>
      <c r="I42" s="426"/>
      <c r="J42" s="425"/>
      <c r="K42" s="426"/>
      <c r="L42" s="426"/>
      <c r="M42" s="256"/>
    </row>
    <row r="43" spans="1:13" s="44" customFormat="1" ht="19.5">
      <c r="A43" s="319"/>
      <c r="B43" s="333" t="s">
        <v>2708</v>
      </c>
      <c r="C43" s="321"/>
      <c r="D43" s="322"/>
      <c r="E43" s="323"/>
      <c r="F43" s="446"/>
      <c r="G43" s="325"/>
      <c r="H43" s="447"/>
      <c r="I43" s="448"/>
      <c r="J43" s="447"/>
      <c r="K43" s="448"/>
      <c r="L43" s="448"/>
      <c r="M43" s="449"/>
    </row>
    <row r="44" spans="1:13" s="44" customFormat="1" ht="19.5">
      <c r="A44" s="232"/>
      <c r="B44" s="429" t="s">
        <v>2709</v>
      </c>
      <c r="C44" s="430"/>
      <c r="D44" s="397"/>
      <c r="E44" s="407"/>
      <c r="F44" s="431"/>
      <c r="G44" s="232"/>
      <c r="H44" s="432"/>
      <c r="I44" s="42"/>
      <c r="J44" s="432"/>
      <c r="K44" s="42"/>
      <c r="L44" s="42"/>
      <c r="M44" s="309"/>
    </row>
    <row r="45" spans="1:13" s="44" customFormat="1" ht="19.5">
      <c r="A45" s="312">
        <v>3</v>
      </c>
      <c r="B45" s="257" t="s">
        <v>2707</v>
      </c>
      <c r="C45" s="314" t="s">
        <v>2712</v>
      </c>
      <c r="D45" s="315">
        <v>23607</v>
      </c>
      <c r="E45" s="316">
        <v>14800</v>
      </c>
      <c r="F45" s="1144" t="s">
        <v>1649</v>
      </c>
      <c r="G45" s="199" t="s">
        <v>45</v>
      </c>
      <c r="H45" s="425"/>
      <c r="I45" s="426"/>
      <c r="J45" s="425"/>
      <c r="K45" s="426"/>
      <c r="L45" s="426"/>
      <c r="M45" s="256"/>
    </row>
    <row r="46" spans="1:13" s="44" customFormat="1" ht="19.5">
      <c r="A46" s="319"/>
      <c r="B46" s="333" t="s">
        <v>2708</v>
      </c>
      <c r="C46" s="321"/>
      <c r="D46" s="322"/>
      <c r="E46" s="323"/>
      <c r="F46" s="446"/>
      <c r="G46" s="325"/>
      <c r="H46" s="447"/>
      <c r="I46" s="448"/>
      <c r="J46" s="447"/>
      <c r="K46" s="448"/>
      <c r="L46" s="448"/>
      <c r="M46" s="449"/>
    </row>
    <row r="47" spans="1:13" s="44" customFormat="1" ht="19.5">
      <c r="A47" s="232"/>
      <c r="B47" s="429" t="s">
        <v>2709</v>
      </c>
      <c r="C47" s="430"/>
      <c r="D47" s="397"/>
      <c r="E47" s="407"/>
      <c r="F47" s="431"/>
      <c r="G47" s="232"/>
      <c r="H47" s="432"/>
      <c r="I47" s="42"/>
      <c r="J47" s="432"/>
      <c r="K47" s="42"/>
      <c r="L47" s="42"/>
      <c r="M47" s="309"/>
    </row>
    <row r="48" spans="1:13" s="44" customFormat="1" ht="19.5">
      <c r="A48" s="312">
        <v>4</v>
      </c>
      <c r="B48" s="257" t="s">
        <v>2707</v>
      </c>
      <c r="C48" s="314" t="s">
        <v>2713</v>
      </c>
      <c r="D48" s="315">
        <v>23607</v>
      </c>
      <c r="E48" s="316">
        <v>14800</v>
      </c>
      <c r="F48" s="1144" t="s">
        <v>1649</v>
      </c>
      <c r="G48" s="199" t="s">
        <v>45</v>
      </c>
      <c r="H48" s="425"/>
      <c r="I48" s="426"/>
      <c r="J48" s="425"/>
      <c r="K48" s="426"/>
      <c r="L48" s="426"/>
      <c r="M48" s="256"/>
    </row>
    <row r="49" spans="1:13" s="44" customFormat="1" ht="19.5">
      <c r="A49" s="319"/>
      <c r="B49" s="333" t="s">
        <v>2708</v>
      </c>
      <c r="C49" s="321"/>
      <c r="D49" s="322"/>
      <c r="E49" s="323"/>
      <c r="F49" s="446"/>
      <c r="G49" s="325"/>
      <c r="H49" s="447"/>
      <c r="I49" s="448"/>
      <c r="J49" s="447"/>
      <c r="K49" s="448"/>
      <c r="L49" s="448"/>
      <c r="M49" s="449"/>
    </row>
    <row r="50" spans="1:13" s="44" customFormat="1" ht="19.5">
      <c r="A50" s="232"/>
      <c r="B50" s="429" t="s">
        <v>2709</v>
      </c>
      <c r="C50" s="430"/>
      <c r="D50" s="397"/>
      <c r="E50" s="407"/>
      <c r="F50" s="431"/>
      <c r="G50" s="232"/>
      <c r="H50" s="432"/>
      <c r="I50" s="42"/>
      <c r="J50" s="432"/>
      <c r="K50" s="42"/>
      <c r="L50" s="42"/>
      <c r="M50" s="309"/>
    </row>
    <row r="51" spans="1:13" s="44" customFormat="1" ht="19.5">
      <c r="A51" s="312">
        <v>5</v>
      </c>
      <c r="B51" s="257" t="s">
        <v>2707</v>
      </c>
      <c r="C51" s="314" t="s">
        <v>2714</v>
      </c>
      <c r="D51" s="315">
        <v>23607</v>
      </c>
      <c r="E51" s="316">
        <v>14800</v>
      </c>
      <c r="F51" s="1144" t="s">
        <v>1649</v>
      </c>
      <c r="G51" s="199" t="s">
        <v>45</v>
      </c>
      <c r="H51" s="425"/>
      <c r="I51" s="426"/>
      <c r="J51" s="425"/>
      <c r="K51" s="426"/>
      <c r="L51" s="426"/>
      <c r="M51" s="256"/>
    </row>
    <row r="52" spans="1:13" s="44" customFormat="1" ht="19.5">
      <c r="A52" s="319"/>
      <c r="B52" s="333" t="s">
        <v>2708</v>
      </c>
      <c r="C52" s="321"/>
      <c r="D52" s="322"/>
      <c r="E52" s="323"/>
      <c r="F52" s="446"/>
      <c r="G52" s="325"/>
      <c r="H52" s="447"/>
      <c r="I52" s="448"/>
      <c r="J52" s="447"/>
      <c r="K52" s="448"/>
      <c r="L52" s="448"/>
      <c r="M52" s="449"/>
    </row>
    <row r="53" spans="1:13" s="44" customFormat="1" ht="19.5">
      <c r="A53" s="232"/>
      <c r="B53" s="429" t="s">
        <v>2709</v>
      </c>
      <c r="C53" s="430"/>
      <c r="D53" s="397"/>
      <c r="E53" s="407"/>
      <c r="F53" s="431"/>
      <c r="G53" s="232"/>
      <c r="H53" s="432"/>
      <c r="I53" s="42"/>
      <c r="J53" s="432"/>
      <c r="K53" s="42"/>
      <c r="L53" s="42"/>
      <c r="M53" s="309"/>
    </row>
    <row r="54" spans="1:13" s="914" customFormat="1" ht="20.25" thickBot="1">
      <c r="A54" s="977">
        <v>5</v>
      </c>
      <c r="B54" s="977"/>
      <c r="C54" s="977"/>
      <c r="D54" s="995" t="s">
        <v>64</v>
      </c>
      <c r="E54" s="916">
        <f>SUM(E39:E53)</f>
        <v>74000</v>
      </c>
      <c r="F54" s="976"/>
      <c r="G54" s="976"/>
      <c r="H54" s="976"/>
      <c r="I54" s="977"/>
      <c r="J54" s="976"/>
      <c r="K54" s="977"/>
      <c r="L54" s="977"/>
      <c r="M54" s="996"/>
    </row>
    <row r="55" spans="1:13" ht="20.25" thickTop="1">
      <c r="A55" s="42"/>
      <c r="B55" s="42"/>
      <c r="C55" s="42"/>
      <c r="D55" s="415"/>
      <c r="E55" s="497"/>
      <c r="F55" s="218"/>
      <c r="G55" s="218"/>
      <c r="H55" s="218"/>
      <c r="I55" s="42"/>
      <c r="J55" s="218"/>
      <c r="K55" s="42"/>
      <c r="L55" s="42"/>
      <c r="M55" s="423"/>
    </row>
    <row r="56" spans="1:13" s="1002" customFormat="1" ht="20.25" thickBot="1">
      <c r="A56" s="997">
        <f>A54+A37</f>
        <v>25</v>
      </c>
      <c r="B56" s="998"/>
      <c r="C56" s="997"/>
      <c r="D56" s="999" t="s">
        <v>1723</v>
      </c>
      <c r="E56" s="1000">
        <f>E54+E37</f>
        <v>233550</v>
      </c>
      <c r="F56" s="997"/>
      <c r="G56" s="997"/>
      <c r="H56" s="997"/>
      <c r="I56" s="997"/>
      <c r="J56" s="997"/>
      <c r="K56" s="997"/>
      <c r="L56" s="997"/>
      <c r="M56" s="1001"/>
    </row>
    <row r="57" spans="1:13" ht="15.75" thickTop="1"/>
  </sheetData>
  <mergeCells count="11"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  <mergeCell ref="M5:M6"/>
  </mergeCells>
  <printOptions horizontalCentered="1"/>
  <pageMargins left="0.15748031496062992" right="0.15748031496062992" top="0.39370078740157483" bottom="0.39370078740157483" header="0.31496062992125984" footer="0.31496062992125984"/>
  <pageSetup paperSize="9" scale="90" orientation="landscape" horizont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O202"/>
  <sheetViews>
    <sheetView view="pageBreakPreview" zoomScale="115" zoomScaleSheetLayoutView="115" workbookViewId="0">
      <selection activeCell="F187" activeCellId="7" sqref="F193 F13 F113 F114 F138:F179 F182 F186 F187"/>
    </sheetView>
  </sheetViews>
  <sheetFormatPr defaultColWidth="9" defaultRowHeight="19.5"/>
  <cols>
    <col min="1" max="1" width="5.25" style="36" customWidth="1"/>
    <col min="2" max="2" width="38.125" style="36" customWidth="1"/>
    <col min="3" max="3" width="11.25" style="36" customWidth="1"/>
    <col min="4" max="4" width="10.25" style="36" bestFit="1" customWidth="1"/>
    <col min="5" max="5" width="17.625" style="220" customWidth="1"/>
    <col min="6" max="6" width="11.125" style="534" customWidth="1"/>
    <col min="7" max="12" width="4.625" style="36" customWidth="1"/>
    <col min="13" max="13" width="25.375" style="422" bestFit="1" customWidth="1"/>
    <col min="14" max="16384" width="9" style="36"/>
  </cols>
  <sheetData>
    <row r="1" spans="1:13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63" t="s">
        <v>36</v>
      </c>
    </row>
    <row r="6" spans="1:13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65"/>
    </row>
    <row r="7" spans="1:13">
      <c r="A7" s="42"/>
      <c r="B7" s="5" t="s">
        <v>1646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09"/>
    </row>
    <row r="8" spans="1:13">
      <c r="A8" s="1"/>
      <c r="B8" s="212" t="s">
        <v>2069</v>
      </c>
      <c r="C8" s="1"/>
      <c r="D8" s="4"/>
      <c r="E8" s="302"/>
      <c r="F8" s="1"/>
      <c r="G8" s="1"/>
      <c r="H8" s="1"/>
      <c r="I8" s="1"/>
      <c r="J8" s="1"/>
      <c r="K8" s="1"/>
      <c r="L8" s="1"/>
      <c r="M8" s="182"/>
    </row>
    <row r="9" spans="1:13">
      <c r="A9" s="1">
        <v>1</v>
      </c>
      <c r="B9" s="2" t="s">
        <v>2207</v>
      </c>
      <c r="C9" s="1" t="s">
        <v>2208</v>
      </c>
      <c r="D9" s="4">
        <v>13980</v>
      </c>
      <c r="E9" s="57">
        <v>13800</v>
      </c>
      <c r="F9" s="1127" t="s">
        <v>2433</v>
      </c>
      <c r="G9" s="1" t="s">
        <v>45</v>
      </c>
      <c r="H9" s="1"/>
      <c r="I9" s="1"/>
      <c r="J9" s="1"/>
      <c r="K9" s="1"/>
      <c r="L9" s="1"/>
      <c r="M9" s="182" t="s">
        <v>3149</v>
      </c>
    </row>
    <row r="10" spans="1:13">
      <c r="A10" s="1">
        <v>2</v>
      </c>
      <c r="B10" s="2" t="s">
        <v>2207</v>
      </c>
      <c r="C10" s="1" t="s">
        <v>2209</v>
      </c>
      <c r="D10" s="4">
        <v>13980</v>
      </c>
      <c r="E10" s="57">
        <v>13800</v>
      </c>
      <c r="F10" s="1127" t="s">
        <v>2433</v>
      </c>
      <c r="G10" s="1" t="s">
        <v>45</v>
      </c>
      <c r="H10" s="1"/>
      <c r="I10" s="1"/>
      <c r="J10" s="1"/>
      <c r="K10" s="1"/>
      <c r="L10" s="1"/>
      <c r="M10" s="182" t="s">
        <v>3149</v>
      </c>
    </row>
    <row r="11" spans="1:13">
      <c r="A11" s="1">
        <v>3</v>
      </c>
      <c r="B11" s="2" t="s">
        <v>2207</v>
      </c>
      <c r="C11" s="1" t="s">
        <v>2210</v>
      </c>
      <c r="D11" s="4">
        <v>13980</v>
      </c>
      <c r="E11" s="57">
        <v>13800</v>
      </c>
      <c r="F11" s="1127" t="s">
        <v>2433</v>
      </c>
      <c r="G11" s="1" t="s">
        <v>45</v>
      </c>
      <c r="H11" s="1"/>
      <c r="I11" s="1"/>
      <c r="J11" s="1"/>
      <c r="K11" s="1"/>
      <c r="L11" s="1"/>
      <c r="M11" s="182" t="s">
        <v>3149</v>
      </c>
    </row>
    <row r="12" spans="1:13">
      <c r="A12" s="1">
        <v>4</v>
      </c>
      <c r="B12" s="2" t="s">
        <v>2207</v>
      </c>
      <c r="C12" s="1" t="s">
        <v>2211</v>
      </c>
      <c r="D12" s="4">
        <v>13980</v>
      </c>
      <c r="E12" s="57">
        <v>13800</v>
      </c>
      <c r="F12" s="1127" t="s">
        <v>2433</v>
      </c>
      <c r="G12" s="1" t="s">
        <v>45</v>
      </c>
      <c r="H12" s="1"/>
      <c r="I12" s="1"/>
      <c r="J12" s="1"/>
      <c r="K12" s="1"/>
      <c r="L12" s="1"/>
      <c r="M12" s="182" t="s">
        <v>3149</v>
      </c>
    </row>
    <row r="13" spans="1:13">
      <c r="A13" s="1">
        <v>5</v>
      </c>
      <c r="B13" s="2" t="s">
        <v>2070</v>
      </c>
      <c r="C13" s="1" t="s">
        <v>2071</v>
      </c>
      <c r="D13" s="4">
        <v>22361</v>
      </c>
      <c r="E13" s="1083">
        <v>269640</v>
      </c>
      <c r="F13" s="939" t="s">
        <v>1649</v>
      </c>
      <c r="G13" s="1" t="s">
        <v>45</v>
      </c>
      <c r="H13" s="1"/>
      <c r="I13" s="1"/>
      <c r="J13" s="1"/>
      <c r="K13" s="1"/>
      <c r="L13" s="1"/>
      <c r="M13" s="510" t="s">
        <v>3220</v>
      </c>
    </row>
    <row r="14" spans="1:13" s="914" customFormat="1" ht="20.25" thickBot="1">
      <c r="A14" s="909">
        <v>5</v>
      </c>
      <c r="B14" s="908"/>
      <c r="C14" s="909"/>
      <c r="D14" s="920" t="s">
        <v>64</v>
      </c>
      <c r="E14" s="911">
        <f>SUM(E9:E13)</f>
        <v>324840</v>
      </c>
      <c r="F14" s="909"/>
      <c r="G14" s="909"/>
      <c r="H14" s="909"/>
      <c r="I14" s="909"/>
      <c r="J14" s="909"/>
      <c r="K14" s="909"/>
      <c r="L14" s="909"/>
      <c r="M14" s="1003"/>
    </row>
    <row r="15" spans="1:13" ht="20.25" thickTop="1">
      <c r="A15" s="1"/>
      <c r="B15" s="212" t="s">
        <v>740</v>
      </c>
      <c r="C15" s="1"/>
      <c r="D15" s="4"/>
      <c r="E15" s="302"/>
      <c r="F15" s="1"/>
      <c r="G15" s="1"/>
      <c r="H15" s="1"/>
      <c r="I15" s="1"/>
      <c r="J15" s="1"/>
      <c r="K15" s="1"/>
      <c r="L15" s="1"/>
      <c r="M15" s="182"/>
    </row>
    <row r="16" spans="1:13">
      <c r="A16" s="1">
        <v>1</v>
      </c>
      <c r="B16" s="2" t="s">
        <v>741</v>
      </c>
      <c r="C16" s="1" t="s">
        <v>742</v>
      </c>
      <c r="D16" s="4">
        <v>18851</v>
      </c>
      <c r="E16" s="57">
        <v>50000</v>
      </c>
      <c r="F16" s="1127" t="s">
        <v>2433</v>
      </c>
      <c r="G16" s="1" t="s">
        <v>45</v>
      </c>
      <c r="H16" s="1"/>
      <c r="I16" s="1"/>
      <c r="J16" s="1"/>
      <c r="K16" s="1"/>
      <c r="L16" s="1"/>
      <c r="M16" s="182"/>
    </row>
    <row r="17" spans="1:15">
      <c r="A17" s="1">
        <v>2</v>
      </c>
      <c r="B17" s="2" t="s">
        <v>743</v>
      </c>
      <c r="C17" s="1" t="s">
        <v>744</v>
      </c>
      <c r="D17" s="4">
        <v>240148</v>
      </c>
      <c r="E17" s="57">
        <v>21100.400000000001</v>
      </c>
      <c r="F17" s="1127" t="s">
        <v>2433</v>
      </c>
      <c r="G17" s="1" t="s">
        <v>45</v>
      </c>
      <c r="H17" s="1"/>
      <c r="I17" s="1"/>
      <c r="J17" s="1"/>
      <c r="K17" s="1"/>
      <c r="L17" s="1"/>
      <c r="M17" s="182"/>
    </row>
    <row r="18" spans="1:15">
      <c r="A18" s="1">
        <v>3</v>
      </c>
      <c r="B18" s="2" t="s">
        <v>745</v>
      </c>
      <c r="C18" s="1" t="s">
        <v>746</v>
      </c>
      <c r="D18" s="4">
        <v>240148</v>
      </c>
      <c r="E18" s="57">
        <v>39504.400000000001</v>
      </c>
      <c r="F18" s="1127" t="s">
        <v>2433</v>
      </c>
      <c r="G18" s="1" t="s">
        <v>45</v>
      </c>
      <c r="H18" s="1"/>
      <c r="I18" s="1"/>
      <c r="J18" s="1"/>
      <c r="K18" s="1"/>
      <c r="L18" s="1"/>
      <c r="M18" s="182"/>
    </row>
    <row r="19" spans="1:15" ht="39">
      <c r="A19" s="223">
        <v>4</v>
      </c>
      <c r="B19" s="511" t="s">
        <v>3364</v>
      </c>
      <c r="C19" s="223" t="s">
        <v>3365</v>
      </c>
      <c r="D19" s="270" t="s">
        <v>3362</v>
      </c>
      <c r="E19" s="94">
        <v>35000</v>
      </c>
      <c r="F19" s="1145" t="s">
        <v>3515</v>
      </c>
      <c r="G19" s="223" t="s">
        <v>45</v>
      </c>
      <c r="H19" s="223"/>
      <c r="I19" s="223"/>
      <c r="J19" s="223"/>
      <c r="K19" s="223"/>
      <c r="L19" s="223"/>
      <c r="M19" s="289" t="s">
        <v>3530</v>
      </c>
    </row>
    <row r="20" spans="1:15" s="914" customFormat="1" ht="20.25" thickBot="1">
      <c r="A20" s="909">
        <v>4</v>
      </c>
      <c r="B20" s="908"/>
      <c r="C20" s="909"/>
      <c r="D20" s="920" t="s">
        <v>64</v>
      </c>
      <c r="E20" s="911">
        <f>SUM(E16:E19)</f>
        <v>145604.79999999999</v>
      </c>
      <c r="F20" s="909"/>
      <c r="G20" s="909"/>
      <c r="H20" s="909"/>
      <c r="I20" s="909"/>
      <c r="J20" s="909"/>
      <c r="K20" s="909"/>
      <c r="L20" s="909"/>
      <c r="M20" s="1003"/>
    </row>
    <row r="21" spans="1:15" s="46" customFormat="1" ht="20.25" thickTop="1">
      <c r="A21" s="1"/>
      <c r="B21" s="2"/>
      <c r="C21" s="1"/>
      <c r="D21" s="4"/>
      <c r="E21" s="282"/>
      <c r="F21" s="1"/>
      <c r="G21" s="1"/>
      <c r="H21" s="1"/>
      <c r="I21" s="1"/>
      <c r="J21" s="1"/>
      <c r="K21" s="1"/>
      <c r="L21" s="1"/>
      <c r="M21" s="182"/>
    </row>
    <row r="22" spans="1:15">
      <c r="A22" s="1"/>
      <c r="B22" s="212" t="s">
        <v>1524</v>
      </c>
      <c r="C22" s="1"/>
      <c r="D22" s="47"/>
      <c r="E22" s="264"/>
      <c r="F22" s="1"/>
      <c r="G22" s="1"/>
      <c r="H22" s="1"/>
      <c r="I22" s="1"/>
      <c r="J22" s="1"/>
      <c r="K22" s="1"/>
      <c r="L22" s="1"/>
      <c r="M22" s="182"/>
    </row>
    <row r="23" spans="1:15" s="1015" customFormat="1">
      <c r="A23" s="1009">
        <v>1</v>
      </c>
      <c r="B23" s="1010" t="s">
        <v>2099</v>
      </c>
      <c r="C23" s="1011" t="s">
        <v>2100</v>
      </c>
      <c r="D23" s="1012">
        <v>21735</v>
      </c>
      <c r="E23" s="1013">
        <v>383471</v>
      </c>
      <c r="F23" s="1011" t="s">
        <v>1508</v>
      </c>
      <c r="G23" s="1011"/>
      <c r="H23" s="1011"/>
      <c r="I23" s="1011"/>
      <c r="J23" s="1011"/>
      <c r="K23" s="1011"/>
      <c r="L23" s="1011" t="s">
        <v>45</v>
      </c>
      <c r="M23" s="1014" t="s">
        <v>3254</v>
      </c>
    </row>
    <row r="24" spans="1:15" s="1015" customFormat="1">
      <c r="A24" s="1009">
        <v>2</v>
      </c>
      <c r="B24" s="1010" t="s">
        <v>2076</v>
      </c>
      <c r="C24" s="1011" t="s">
        <v>2077</v>
      </c>
      <c r="D24" s="1012">
        <v>21735</v>
      </c>
      <c r="E24" s="1013">
        <v>11770</v>
      </c>
      <c r="F24" s="1011" t="s">
        <v>1508</v>
      </c>
      <c r="G24" s="1011" t="s">
        <v>45</v>
      </c>
      <c r="H24" s="1011"/>
      <c r="I24" s="1011"/>
      <c r="J24" s="1011"/>
      <c r="K24" s="1011"/>
      <c r="L24" s="1011"/>
      <c r="M24" s="1014" t="s">
        <v>3254</v>
      </c>
    </row>
    <row r="25" spans="1:15" s="1004" customFormat="1" ht="20.25" thickBot="1">
      <c r="A25" s="909">
        <v>2</v>
      </c>
      <c r="B25" s="908"/>
      <c r="C25" s="909"/>
      <c r="D25" s="910" t="s">
        <v>64</v>
      </c>
      <c r="E25" s="911">
        <f>SUM(E23:E24)</f>
        <v>395241</v>
      </c>
      <c r="F25" s="909"/>
      <c r="G25" s="909"/>
      <c r="H25" s="909"/>
      <c r="I25" s="909"/>
      <c r="J25" s="909"/>
      <c r="K25" s="909"/>
      <c r="L25" s="909"/>
      <c r="M25" s="1003"/>
      <c r="N25" s="914"/>
      <c r="O25" s="914"/>
    </row>
    <row r="26" spans="1:15" s="88" customFormat="1" ht="22.5" thickTop="1">
      <c r="A26" s="1"/>
      <c r="B26" s="212" t="s">
        <v>892</v>
      </c>
      <c r="C26" s="1"/>
      <c r="D26" s="233"/>
      <c r="E26" s="280"/>
      <c r="F26" s="1"/>
      <c r="G26" s="1"/>
      <c r="H26" s="1"/>
      <c r="I26" s="1"/>
      <c r="J26" s="1"/>
      <c r="K26" s="1"/>
      <c r="L26" s="1"/>
      <c r="M26" s="182"/>
      <c r="N26" s="36"/>
      <c r="O26" s="36"/>
    </row>
    <row r="27" spans="1:15">
      <c r="A27" s="1">
        <v>1</v>
      </c>
      <c r="B27" s="2" t="s">
        <v>895</v>
      </c>
      <c r="C27" s="1" t="s">
        <v>897</v>
      </c>
      <c r="D27" s="4">
        <v>19428</v>
      </c>
      <c r="E27" s="57">
        <v>3000</v>
      </c>
      <c r="F27" s="1127" t="s">
        <v>2433</v>
      </c>
      <c r="G27" s="1" t="s">
        <v>45</v>
      </c>
      <c r="H27" s="1"/>
      <c r="I27" s="1"/>
      <c r="J27" s="1"/>
      <c r="K27" s="1"/>
      <c r="L27" s="1"/>
      <c r="M27" s="182"/>
    </row>
    <row r="28" spans="1:15">
      <c r="A28" s="1">
        <v>2</v>
      </c>
      <c r="B28" s="290" t="s">
        <v>1476</v>
      </c>
      <c r="C28" s="158" t="s">
        <v>1477</v>
      </c>
      <c r="D28" s="4">
        <v>20834</v>
      </c>
      <c r="E28" s="58">
        <v>6500</v>
      </c>
      <c r="F28" s="1131" t="s">
        <v>1265</v>
      </c>
      <c r="G28" s="1" t="s">
        <v>45</v>
      </c>
      <c r="H28" s="1"/>
      <c r="I28" s="1"/>
      <c r="J28" s="1"/>
      <c r="K28" s="1"/>
      <c r="L28" s="1"/>
      <c r="M28" s="182"/>
    </row>
    <row r="29" spans="1:15" ht="39">
      <c r="A29" s="223">
        <v>3</v>
      </c>
      <c r="B29" s="290" t="s">
        <v>3366</v>
      </c>
      <c r="C29" s="158" t="s">
        <v>3367</v>
      </c>
      <c r="D29" s="4" t="s">
        <v>3362</v>
      </c>
      <c r="E29" s="65">
        <v>20000</v>
      </c>
      <c r="F29" s="1146" t="s">
        <v>3515</v>
      </c>
      <c r="G29" s="1" t="s">
        <v>45</v>
      </c>
      <c r="H29" s="1"/>
      <c r="I29" s="1"/>
      <c r="J29" s="1"/>
      <c r="K29" s="1"/>
      <c r="L29" s="1"/>
      <c r="M29" s="510" t="s">
        <v>3524</v>
      </c>
    </row>
    <row r="30" spans="1:15" ht="39">
      <c r="A30" s="223">
        <v>4</v>
      </c>
      <c r="B30" s="290" t="s">
        <v>3368</v>
      </c>
      <c r="C30" s="158" t="s">
        <v>3369</v>
      </c>
      <c r="D30" s="4" t="s">
        <v>3362</v>
      </c>
      <c r="E30" s="65">
        <v>20000</v>
      </c>
      <c r="F30" s="1146" t="s">
        <v>2117</v>
      </c>
      <c r="G30" s="1" t="s">
        <v>45</v>
      </c>
      <c r="H30" s="1"/>
      <c r="I30" s="1"/>
      <c r="J30" s="1"/>
      <c r="K30" s="1"/>
      <c r="L30" s="1"/>
      <c r="M30" s="510" t="s">
        <v>3524</v>
      </c>
    </row>
    <row r="31" spans="1:15" s="914" customFormat="1" ht="20.25" thickBot="1">
      <c r="A31" s="909">
        <v>4</v>
      </c>
      <c r="B31" s="908"/>
      <c r="C31" s="909"/>
      <c r="D31" s="910" t="s">
        <v>64</v>
      </c>
      <c r="E31" s="911">
        <f>SUM(E27:E30)</f>
        <v>49500</v>
      </c>
      <c r="F31" s="909"/>
      <c r="G31" s="909"/>
      <c r="H31" s="909"/>
      <c r="I31" s="909"/>
      <c r="J31" s="909"/>
      <c r="K31" s="909"/>
      <c r="L31" s="909"/>
      <c r="M31" s="1003"/>
    </row>
    <row r="32" spans="1:15" ht="20.100000000000001" customHeight="1" thickTop="1">
      <c r="A32" s="1"/>
      <c r="B32" s="212" t="s">
        <v>898</v>
      </c>
      <c r="C32" s="1"/>
      <c r="D32" s="233"/>
      <c r="E32" s="57"/>
      <c r="F32" s="1"/>
      <c r="G32" s="1"/>
      <c r="H32" s="1"/>
      <c r="I32" s="1"/>
      <c r="J32" s="1"/>
      <c r="K32" s="1"/>
      <c r="L32" s="1"/>
      <c r="M32" s="182"/>
    </row>
    <row r="33" spans="1:13" ht="20.100000000000001" customHeight="1">
      <c r="A33" s="1">
        <v>1</v>
      </c>
      <c r="B33" s="2" t="s">
        <v>2199</v>
      </c>
      <c r="C33" s="1" t="s">
        <v>2193</v>
      </c>
      <c r="D33" s="4">
        <v>13788</v>
      </c>
      <c r="E33" s="57">
        <v>16075</v>
      </c>
      <c r="F33" s="1129" t="s">
        <v>1265</v>
      </c>
      <c r="G33" s="1" t="s">
        <v>45</v>
      </c>
      <c r="H33" s="1"/>
      <c r="I33" s="1"/>
      <c r="J33" s="1"/>
      <c r="K33" s="1"/>
      <c r="L33" s="1"/>
      <c r="M33" s="182"/>
    </row>
    <row r="34" spans="1:13">
      <c r="A34" s="1">
        <v>2</v>
      </c>
      <c r="B34" s="2" t="s">
        <v>2199</v>
      </c>
      <c r="C34" s="1" t="s">
        <v>2194</v>
      </c>
      <c r="D34" s="4">
        <v>13788</v>
      </c>
      <c r="E34" s="57">
        <v>16075</v>
      </c>
      <c r="F34" s="1129" t="s">
        <v>1265</v>
      </c>
      <c r="G34" s="1" t="s">
        <v>45</v>
      </c>
      <c r="H34" s="1"/>
      <c r="I34" s="1"/>
      <c r="J34" s="1"/>
      <c r="K34" s="1"/>
      <c r="L34" s="1"/>
      <c r="M34" s="182"/>
    </row>
    <row r="35" spans="1:13">
      <c r="A35" s="1">
        <v>3</v>
      </c>
      <c r="B35" s="2" t="s">
        <v>2199</v>
      </c>
      <c r="C35" s="1" t="s">
        <v>2195</v>
      </c>
      <c r="D35" s="4">
        <v>13788</v>
      </c>
      <c r="E35" s="57">
        <v>16075</v>
      </c>
      <c r="F35" s="1129" t="s">
        <v>1265</v>
      </c>
      <c r="G35" s="1" t="s">
        <v>45</v>
      </c>
      <c r="H35" s="1"/>
      <c r="I35" s="1"/>
      <c r="J35" s="1"/>
      <c r="K35" s="1"/>
      <c r="L35" s="1"/>
      <c r="M35" s="182"/>
    </row>
    <row r="36" spans="1:13">
      <c r="A36" s="1">
        <v>4</v>
      </c>
      <c r="B36" s="2" t="s">
        <v>2199</v>
      </c>
      <c r="C36" s="1" t="s">
        <v>2196</v>
      </c>
      <c r="D36" s="4">
        <v>13788</v>
      </c>
      <c r="E36" s="57">
        <v>16075</v>
      </c>
      <c r="F36" s="1129" t="s">
        <v>1265</v>
      </c>
      <c r="G36" s="1" t="s">
        <v>45</v>
      </c>
      <c r="H36" s="1"/>
      <c r="I36" s="1"/>
      <c r="J36" s="1"/>
      <c r="K36" s="1"/>
      <c r="L36" s="1"/>
      <c r="M36" s="182"/>
    </row>
    <row r="37" spans="1:13">
      <c r="A37" s="1">
        <v>5</v>
      </c>
      <c r="B37" s="2" t="s">
        <v>2199</v>
      </c>
      <c r="C37" s="1" t="s">
        <v>2197</v>
      </c>
      <c r="D37" s="4">
        <v>13788</v>
      </c>
      <c r="E37" s="57">
        <v>16075</v>
      </c>
      <c r="F37" s="1129" t="s">
        <v>1265</v>
      </c>
      <c r="G37" s="1" t="s">
        <v>45</v>
      </c>
      <c r="H37" s="1"/>
      <c r="I37" s="1"/>
      <c r="J37" s="1"/>
      <c r="K37" s="1"/>
      <c r="L37" s="1"/>
      <c r="M37" s="182"/>
    </row>
    <row r="38" spans="1:13">
      <c r="A38" s="1">
        <v>6</v>
      </c>
      <c r="B38" s="2" t="s">
        <v>2199</v>
      </c>
      <c r="C38" s="1" t="s">
        <v>2198</v>
      </c>
      <c r="D38" s="4">
        <v>13788</v>
      </c>
      <c r="E38" s="57">
        <v>16075</v>
      </c>
      <c r="F38" s="1129" t="s">
        <v>1265</v>
      </c>
      <c r="G38" s="1" t="s">
        <v>45</v>
      </c>
      <c r="H38" s="1"/>
      <c r="I38" s="1"/>
      <c r="J38" s="1"/>
      <c r="K38" s="1"/>
      <c r="L38" s="1"/>
      <c r="M38" s="182"/>
    </row>
    <row r="39" spans="1:13">
      <c r="A39" s="1">
        <v>7</v>
      </c>
      <c r="B39" s="2" t="s">
        <v>899</v>
      </c>
      <c r="C39" s="1" t="s">
        <v>900</v>
      </c>
      <c r="D39" s="4">
        <v>17875</v>
      </c>
      <c r="E39" s="57">
        <v>2700</v>
      </c>
      <c r="F39" s="1127" t="s">
        <v>2433</v>
      </c>
      <c r="G39" s="1" t="s">
        <v>45</v>
      </c>
      <c r="H39" s="1"/>
      <c r="I39" s="1"/>
      <c r="J39" s="1"/>
      <c r="K39" s="1"/>
      <c r="L39" s="1"/>
      <c r="M39" s="182"/>
    </row>
    <row r="40" spans="1:13">
      <c r="A40" s="1">
        <v>8</v>
      </c>
      <c r="B40" s="2" t="s">
        <v>899</v>
      </c>
      <c r="C40" s="1" t="s">
        <v>901</v>
      </c>
      <c r="D40" s="4">
        <v>17875</v>
      </c>
      <c r="E40" s="57">
        <v>2700</v>
      </c>
      <c r="F40" s="1127" t="s">
        <v>2433</v>
      </c>
      <c r="G40" s="1" t="s">
        <v>45</v>
      </c>
      <c r="H40" s="1"/>
      <c r="I40" s="1"/>
      <c r="J40" s="1"/>
      <c r="K40" s="1"/>
      <c r="L40" s="1"/>
      <c r="M40" s="182"/>
    </row>
    <row r="41" spans="1:13">
      <c r="A41" s="1">
        <v>9</v>
      </c>
      <c r="B41" s="2" t="s">
        <v>899</v>
      </c>
      <c r="C41" s="1" t="s">
        <v>902</v>
      </c>
      <c r="D41" s="4">
        <v>17875</v>
      </c>
      <c r="E41" s="57">
        <v>2700</v>
      </c>
      <c r="F41" s="1127" t="s">
        <v>2433</v>
      </c>
      <c r="G41" s="1" t="s">
        <v>45</v>
      </c>
      <c r="H41" s="1"/>
      <c r="I41" s="1"/>
      <c r="J41" s="1"/>
      <c r="K41" s="1"/>
      <c r="L41" s="1"/>
      <c r="M41" s="182"/>
    </row>
    <row r="42" spans="1:13">
      <c r="A42" s="1">
        <v>10</v>
      </c>
      <c r="B42" s="2" t="s">
        <v>899</v>
      </c>
      <c r="C42" s="1" t="s">
        <v>903</v>
      </c>
      <c r="D42" s="4">
        <v>17875</v>
      </c>
      <c r="E42" s="57">
        <v>2700</v>
      </c>
      <c r="F42" s="1127" t="s">
        <v>2433</v>
      </c>
      <c r="G42" s="1" t="s">
        <v>45</v>
      </c>
      <c r="H42" s="1"/>
      <c r="I42" s="1"/>
      <c r="J42" s="1"/>
      <c r="K42" s="1"/>
      <c r="L42" s="1"/>
      <c r="M42" s="182"/>
    </row>
    <row r="43" spans="1:13">
      <c r="A43" s="1">
        <v>11</v>
      </c>
      <c r="B43" s="2" t="s">
        <v>899</v>
      </c>
      <c r="C43" s="1" t="s">
        <v>904</v>
      </c>
      <c r="D43" s="4">
        <v>17875</v>
      </c>
      <c r="E43" s="57">
        <v>2700</v>
      </c>
      <c r="F43" s="1127" t="s">
        <v>2433</v>
      </c>
      <c r="G43" s="1" t="s">
        <v>45</v>
      </c>
      <c r="H43" s="1"/>
      <c r="I43" s="1"/>
      <c r="J43" s="1"/>
      <c r="K43" s="1"/>
      <c r="L43" s="1"/>
      <c r="M43" s="182"/>
    </row>
    <row r="44" spans="1:13">
      <c r="A44" s="1">
        <v>12</v>
      </c>
      <c r="B44" s="2" t="s">
        <v>899</v>
      </c>
      <c r="C44" s="1" t="s">
        <v>905</v>
      </c>
      <c r="D44" s="4">
        <v>17875</v>
      </c>
      <c r="E44" s="57">
        <v>2700</v>
      </c>
      <c r="F44" s="1127" t="s">
        <v>2433</v>
      </c>
      <c r="G44" s="1" t="s">
        <v>45</v>
      </c>
      <c r="H44" s="1"/>
      <c r="I44" s="1"/>
      <c r="J44" s="1"/>
      <c r="K44" s="1"/>
      <c r="L44" s="1"/>
      <c r="M44" s="182"/>
    </row>
    <row r="45" spans="1:13">
      <c r="A45" s="1">
        <v>13</v>
      </c>
      <c r="B45" s="2" t="s">
        <v>899</v>
      </c>
      <c r="C45" s="1" t="s">
        <v>906</v>
      </c>
      <c r="D45" s="4">
        <v>17875</v>
      </c>
      <c r="E45" s="57">
        <v>2700</v>
      </c>
      <c r="F45" s="1127" t="s">
        <v>2433</v>
      </c>
      <c r="G45" s="1" t="s">
        <v>45</v>
      </c>
      <c r="H45" s="1"/>
      <c r="I45" s="1"/>
      <c r="J45" s="1"/>
      <c r="K45" s="1"/>
      <c r="L45" s="1"/>
      <c r="M45" s="182"/>
    </row>
    <row r="46" spans="1:13">
      <c r="A46" s="1">
        <v>14</v>
      </c>
      <c r="B46" s="2" t="s">
        <v>899</v>
      </c>
      <c r="C46" s="1" t="s">
        <v>907</v>
      </c>
      <c r="D46" s="4">
        <v>17875</v>
      </c>
      <c r="E46" s="57">
        <v>2700</v>
      </c>
      <c r="F46" s="1127" t="s">
        <v>2433</v>
      </c>
      <c r="G46" s="1" t="s">
        <v>45</v>
      </c>
      <c r="H46" s="1"/>
      <c r="I46" s="1"/>
      <c r="J46" s="1"/>
      <c r="K46" s="1"/>
      <c r="L46" s="1"/>
      <c r="M46" s="182"/>
    </row>
    <row r="47" spans="1:13">
      <c r="A47" s="1">
        <v>15</v>
      </c>
      <c r="B47" s="2" t="s">
        <v>899</v>
      </c>
      <c r="C47" s="1" t="s">
        <v>908</v>
      </c>
      <c r="D47" s="4">
        <v>17875</v>
      </c>
      <c r="E47" s="57">
        <v>2700</v>
      </c>
      <c r="F47" s="1127" t="s">
        <v>2433</v>
      </c>
      <c r="G47" s="1" t="s">
        <v>45</v>
      </c>
      <c r="H47" s="1"/>
      <c r="I47" s="1"/>
      <c r="J47" s="1"/>
      <c r="K47" s="1"/>
      <c r="L47" s="1"/>
      <c r="M47" s="182"/>
    </row>
    <row r="48" spans="1:13">
      <c r="A48" s="1">
        <v>16</v>
      </c>
      <c r="B48" s="2" t="s">
        <v>899</v>
      </c>
      <c r="C48" s="1" t="s">
        <v>909</v>
      </c>
      <c r="D48" s="4">
        <v>17875</v>
      </c>
      <c r="E48" s="57">
        <v>2700</v>
      </c>
      <c r="F48" s="1127" t="s">
        <v>2433</v>
      </c>
      <c r="G48" s="1" t="s">
        <v>45</v>
      </c>
      <c r="H48" s="1"/>
      <c r="I48" s="1"/>
      <c r="J48" s="1"/>
      <c r="K48" s="1"/>
      <c r="L48" s="1"/>
      <c r="M48" s="182"/>
    </row>
    <row r="49" spans="1:13">
      <c r="A49" s="1">
        <v>17</v>
      </c>
      <c r="B49" s="2" t="s">
        <v>899</v>
      </c>
      <c r="C49" s="1" t="s">
        <v>910</v>
      </c>
      <c r="D49" s="4">
        <v>17875</v>
      </c>
      <c r="E49" s="57">
        <v>2700</v>
      </c>
      <c r="F49" s="1127" t="s">
        <v>2433</v>
      </c>
      <c r="G49" s="1" t="s">
        <v>45</v>
      </c>
      <c r="H49" s="1"/>
      <c r="I49" s="1"/>
      <c r="J49" s="1"/>
      <c r="K49" s="1"/>
      <c r="L49" s="1"/>
      <c r="M49" s="182"/>
    </row>
    <row r="50" spans="1:13">
      <c r="A50" s="1">
        <v>18</v>
      </c>
      <c r="B50" s="2" t="s">
        <v>899</v>
      </c>
      <c r="C50" s="1" t="s">
        <v>911</v>
      </c>
      <c r="D50" s="4">
        <v>17875</v>
      </c>
      <c r="E50" s="57">
        <v>2700</v>
      </c>
      <c r="F50" s="1127" t="s">
        <v>2433</v>
      </c>
      <c r="G50" s="1" t="s">
        <v>45</v>
      </c>
      <c r="H50" s="1"/>
      <c r="I50" s="1"/>
      <c r="J50" s="1"/>
      <c r="K50" s="1"/>
      <c r="L50" s="1"/>
      <c r="M50" s="182"/>
    </row>
    <row r="51" spans="1:13">
      <c r="A51" s="1">
        <v>19</v>
      </c>
      <c r="B51" s="2" t="s">
        <v>899</v>
      </c>
      <c r="C51" s="1" t="s">
        <v>912</v>
      </c>
      <c r="D51" s="4">
        <v>17875</v>
      </c>
      <c r="E51" s="57">
        <v>2700</v>
      </c>
      <c r="F51" s="1127" t="s">
        <v>2433</v>
      </c>
      <c r="G51" s="1" t="s">
        <v>45</v>
      </c>
      <c r="H51" s="1"/>
      <c r="I51" s="1"/>
      <c r="J51" s="1"/>
      <c r="K51" s="1"/>
      <c r="L51" s="1"/>
      <c r="M51" s="182"/>
    </row>
    <row r="52" spans="1:13">
      <c r="A52" s="1">
        <v>20</v>
      </c>
      <c r="B52" s="2" t="s">
        <v>899</v>
      </c>
      <c r="C52" s="1" t="s">
        <v>913</v>
      </c>
      <c r="D52" s="4">
        <v>17875</v>
      </c>
      <c r="E52" s="57">
        <v>2700</v>
      </c>
      <c r="F52" s="1127" t="s">
        <v>2433</v>
      </c>
      <c r="G52" s="1" t="s">
        <v>45</v>
      </c>
      <c r="H52" s="1"/>
      <c r="I52" s="1"/>
      <c r="J52" s="1"/>
      <c r="K52" s="1"/>
      <c r="L52" s="1"/>
      <c r="M52" s="182"/>
    </row>
    <row r="53" spans="1:13">
      <c r="A53" s="1">
        <v>21</v>
      </c>
      <c r="B53" s="2" t="s">
        <v>899</v>
      </c>
      <c r="C53" s="1" t="s">
        <v>914</v>
      </c>
      <c r="D53" s="4">
        <v>17875</v>
      </c>
      <c r="E53" s="57">
        <v>2700</v>
      </c>
      <c r="F53" s="1127" t="s">
        <v>2433</v>
      </c>
      <c r="G53" s="1" t="s">
        <v>45</v>
      </c>
      <c r="H53" s="1"/>
      <c r="I53" s="1"/>
      <c r="J53" s="1"/>
      <c r="K53" s="1"/>
      <c r="L53" s="1"/>
      <c r="M53" s="182"/>
    </row>
    <row r="54" spans="1:13">
      <c r="A54" s="1">
        <v>22</v>
      </c>
      <c r="B54" s="2" t="s">
        <v>899</v>
      </c>
      <c r="C54" s="1" t="s">
        <v>915</v>
      </c>
      <c r="D54" s="4">
        <v>17875</v>
      </c>
      <c r="E54" s="57">
        <v>2700</v>
      </c>
      <c r="F54" s="1127" t="s">
        <v>2433</v>
      </c>
      <c r="G54" s="1" t="s">
        <v>45</v>
      </c>
      <c r="H54" s="1"/>
      <c r="I54" s="1"/>
      <c r="J54" s="1"/>
      <c r="K54" s="1"/>
      <c r="L54" s="1"/>
      <c r="M54" s="182"/>
    </row>
    <row r="55" spans="1:13">
      <c r="A55" s="1">
        <v>23</v>
      </c>
      <c r="B55" s="306" t="s">
        <v>916</v>
      </c>
      <c r="C55" s="1" t="s">
        <v>917</v>
      </c>
      <c r="D55" s="4">
        <v>18851</v>
      </c>
      <c r="E55" s="57">
        <v>22000</v>
      </c>
      <c r="F55" s="1127" t="s">
        <v>2433</v>
      </c>
      <c r="G55" s="1" t="s">
        <v>45</v>
      </c>
      <c r="H55" s="1"/>
      <c r="I55" s="1"/>
      <c r="J55" s="1"/>
      <c r="K55" s="1"/>
      <c r="L55" s="1"/>
      <c r="M55" s="182"/>
    </row>
    <row r="56" spans="1:13">
      <c r="A56" s="1">
        <v>24</v>
      </c>
      <c r="B56" s="306" t="s">
        <v>918</v>
      </c>
      <c r="C56" s="1" t="s">
        <v>919</v>
      </c>
      <c r="D56" s="4">
        <v>18851</v>
      </c>
      <c r="E56" s="57">
        <v>13500</v>
      </c>
      <c r="F56" s="1127" t="s">
        <v>2433</v>
      </c>
      <c r="G56" s="1" t="s">
        <v>45</v>
      </c>
      <c r="H56" s="1"/>
      <c r="I56" s="1"/>
      <c r="J56" s="1"/>
      <c r="K56" s="1"/>
      <c r="L56" s="1"/>
      <c r="M56" s="182"/>
    </row>
    <row r="57" spans="1:13">
      <c r="A57" s="1">
        <v>25</v>
      </c>
      <c r="B57" s="306" t="s">
        <v>918</v>
      </c>
      <c r="C57" s="1" t="s">
        <v>920</v>
      </c>
      <c r="D57" s="4">
        <v>18851</v>
      </c>
      <c r="E57" s="57">
        <v>13500</v>
      </c>
      <c r="F57" s="1127" t="s">
        <v>2433</v>
      </c>
      <c r="G57" s="1" t="s">
        <v>45</v>
      </c>
      <c r="H57" s="1"/>
      <c r="I57" s="1"/>
      <c r="J57" s="1"/>
      <c r="K57" s="1"/>
      <c r="L57" s="1"/>
      <c r="M57" s="182"/>
    </row>
    <row r="58" spans="1:13">
      <c r="A58" s="1">
        <v>26</v>
      </c>
      <c r="B58" s="306" t="s">
        <v>918</v>
      </c>
      <c r="C58" s="1" t="s">
        <v>921</v>
      </c>
      <c r="D58" s="4">
        <v>18851</v>
      </c>
      <c r="E58" s="57">
        <v>13500</v>
      </c>
      <c r="F58" s="1127" t="s">
        <v>2433</v>
      </c>
      <c r="G58" s="1" t="s">
        <v>45</v>
      </c>
      <c r="H58" s="1"/>
      <c r="I58" s="1"/>
      <c r="J58" s="1"/>
      <c r="K58" s="1"/>
      <c r="L58" s="1"/>
      <c r="M58" s="182"/>
    </row>
    <row r="59" spans="1:13">
      <c r="A59" s="1">
        <v>27</v>
      </c>
      <c r="B59" s="306" t="s">
        <v>918</v>
      </c>
      <c r="C59" s="1" t="s">
        <v>922</v>
      </c>
      <c r="D59" s="4">
        <v>18851</v>
      </c>
      <c r="E59" s="57">
        <v>13500</v>
      </c>
      <c r="F59" s="1127" t="s">
        <v>2433</v>
      </c>
      <c r="G59" s="1" t="s">
        <v>45</v>
      </c>
      <c r="H59" s="1"/>
      <c r="I59" s="1"/>
      <c r="J59" s="1"/>
      <c r="K59" s="1"/>
      <c r="L59" s="1"/>
      <c r="M59" s="182"/>
    </row>
    <row r="60" spans="1:13">
      <c r="A60" s="1">
        <v>28</v>
      </c>
      <c r="B60" s="306" t="s">
        <v>918</v>
      </c>
      <c r="C60" s="1" t="s">
        <v>923</v>
      </c>
      <c r="D60" s="4">
        <v>18851</v>
      </c>
      <c r="E60" s="57">
        <v>13500</v>
      </c>
      <c r="F60" s="1127" t="s">
        <v>2433</v>
      </c>
      <c r="G60" s="1" t="s">
        <v>45</v>
      </c>
      <c r="H60" s="1"/>
      <c r="I60" s="1"/>
      <c r="J60" s="1"/>
      <c r="K60" s="1"/>
      <c r="L60" s="1"/>
      <c r="M60" s="182"/>
    </row>
    <row r="61" spans="1:13">
      <c r="A61" s="1">
        <v>29</v>
      </c>
      <c r="B61" s="306" t="s">
        <v>918</v>
      </c>
      <c r="C61" s="1" t="s">
        <v>924</v>
      </c>
      <c r="D61" s="4">
        <v>18851</v>
      </c>
      <c r="E61" s="57">
        <v>13500</v>
      </c>
      <c r="F61" s="1127" t="s">
        <v>2433</v>
      </c>
      <c r="G61" s="1" t="s">
        <v>45</v>
      </c>
      <c r="H61" s="1"/>
      <c r="I61" s="1"/>
      <c r="J61" s="1"/>
      <c r="K61" s="1"/>
      <c r="L61" s="1"/>
      <c r="M61" s="182"/>
    </row>
    <row r="62" spans="1:13">
      <c r="A62" s="1">
        <v>30</v>
      </c>
      <c r="B62" s="306" t="s">
        <v>918</v>
      </c>
      <c r="C62" s="1" t="s">
        <v>925</v>
      </c>
      <c r="D62" s="4">
        <v>18851</v>
      </c>
      <c r="E62" s="57">
        <v>13500</v>
      </c>
      <c r="F62" s="1127" t="s">
        <v>2433</v>
      </c>
      <c r="G62" s="1" t="s">
        <v>45</v>
      </c>
      <c r="H62" s="1"/>
      <c r="I62" s="1"/>
      <c r="J62" s="1"/>
      <c r="K62" s="1"/>
      <c r="L62" s="1"/>
      <c r="M62" s="182"/>
    </row>
    <row r="63" spans="1:13">
      <c r="A63" s="1">
        <v>31</v>
      </c>
      <c r="B63" s="306" t="s">
        <v>918</v>
      </c>
      <c r="C63" s="1" t="s">
        <v>926</v>
      </c>
      <c r="D63" s="4">
        <v>18851</v>
      </c>
      <c r="E63" s="57">
        <v>13500</v>
      </c>
      <c r="F63" s="1127" t="s">
        <v>2433</v>
      </c>
      <c r="G63" s="1" t="s">
        <v>45</v>
      </c>
      <c r="H63" s="1"/>
      <c r="I63" s="1"/>
      <c r="J63" s="1"/>
      <c r="K63" s="1"/>
      <c r="L63" s="1"/>
      <c r="M63" s="182"/>
    </row>
    <row r="64" spans="1:13">
      <c r="A64" s="1">
        <v>32</v>
      </c>
      <c r="B64" s="306" t="s">
        <v>918</v>
      </c>
      <c r="C64" s="1" t="s">
        <v>927</v>
      </c>
      <c r="D64" s="4">
        <v>18851</v>
      </c>
      <c r="E64" s="57">
        <v>13500</v>
      </c>
      <c r="F64" s="1127" t="s">
        <v>2433</v>
      </c>
      <c r="G64" s="1" t="s">
        <v>45</v>
      </c>
      <c r="H64" s="1"/>
      <c r="I64" s="1"/>
      <c r="J64" s="1"/>
      <c r="K64" s="1"/>
      <c r="L64" s="1"/>
      <c r="M64" s="182"/>
    </row>
    <row r="65" spans="1:13">
      <c r="A65" s="1">
        <v>33</v>
      </c>
      <c r="B65" s="306" t="s">
        <v>918</v>
      </c>
      <c r="C65" s="1" t="s">
        <v>928</v>
      </c>
      <c r="D65" s="4">
        <v>18851</v>
      </c>
      <c r="E65" s="57">
        <v>13500</v>
      </c>
      <c r="F65" s="1127" t="s">
        <v>2433</v>
      </c>
      <c r="G65" s="1" t="s">
        <v>45</v>
      </c>
      <c r="H65" s="1"/>
      <c r="I65" s="1"/>
      <c r="J65" s="1"/>
      <c r="K65" s="1"/>
      <c r="L65" s="1"/>
      <c r="M65" s="182"/>
    </row>
    <row r="66" spans="1:13">
      <c r="A66" s="1">
        <v>34</v>
      </c>
      <c r="B66" s="306" t="s">
        <v>918</v>
      </c>
      <c r="C66" s="1" t="s">
        <v>929</v>
      </c>
      <c r="D66" s="4">
        <v>18851</v>
      </c>
      <c r="E66" s="57">
        <v>13500</v>
      </c>
      <c r="F66" s="1127" t="s">
        <v>2433</v>
      </c>
      <c r="G66" s="1" t="s">
        <v>45</v>
      </c>
      <c r="H66" s="1"/>
      <c r="I66" s="1"/>
      <c r="J66" s="1"/>
      <c r="K66" s="1"/>
      <c r="L66" s="1"/>
      <c r="M66" s="182"/>
    </row>
    <row r="67" spans="1:13">
      <c r="A67" s="1">
        <v>35</v>
      </c>
      <c r="B67" s="306" t="s">
        <v>918</v>
      </c>
      <c r="C67" s="1" t="s">
        <v>930</v>
      </c>
      <c r="D67" s="4">
        <v>18851</v>
      </c>
      <c r="E67" s="57">
        <v>13500</v>
      </c>
      <c r="F67" s="1127" t="s">
        <v>2433</v>
      </c>
      <c r="G67" s="1" t="s">
        <v>45</v>
      </c>
      <c r="H67" s="1"/>
      <c r="I67" s="1"/>
      <c r="J67" s="1"/>
      <c r="K67" s="1"/>
      <c r="L67" s="1"/>
      <c r="M67" s="182"/>
    </row>
    <row r="68" spans="1:13">
      <c r="A68" s="1">
        <v>36</v>
      </c>
      <c r="B68" s="2" t="s">
        <v>931</v>
      </c>
      <c r="C68" s="1" t="s">
        <v>932</v>
      </c>
      <c r="D68" s="4">
        <v>21002</v>
      </c>
      <c r="E68" s="57">
        <v>19506.099999999999</v>
      </c>
      <c r="F68" s="1127" t="s">
        <v>2433</v>
      </c>
      <c r="G68" s="1" t="s">
        <v>45</v>
      </c>
      <c r="H68" s="1"/>
      <c r="I68" s="1"/>
      <c r="J68" s="1"/>
      <c r="K68" s="1"/>
      <c r="L68" s="1"/>
      <c r="M68" s="182"/>
    </row>
    <row r="69" spans="1:13">
      <c r="A69" s="1">
        <v>37</v>
      </c>
      <c r="B69" s="2" t="s">
        <v>931</v>
      </c>
      <c r="C69" s="1" t="s">
        <v>933</v>
      </c>
      <c r="D69" s="4">
        <v>21002</v>
      </c>
      <c r="E69" s="57">
        <v>19506.099999999999</v>
      </c>
      <c r="F69" s="1127" t="s">
        <v>2433</v>
      </c>
      <c r="G69" s="1" t="s">
        <v>45</v>
      </c>
      <c r="H69" s="1"/>
      <c r="I69" s="1"/>
      <c r="J69" s="1"/>
      <c r="K69" s="1"/>
      <c r="L69" s="1"/>
      <c r="M69" s="182"/>
    </row>
    <row r="70" spans="1:13">
      <c r="A70" s="1">
        <v>38</v>
      </c>
      <c r="B70" s="2" t="s">
        <v>931</v>
      </c>
      <c r="C70" s="1" t="s">
        <v>934</v>
      </c>
      <c r="D70" s="4">
        <v>21002</v>
      </c>
      <c r="E70" s="57">
        <v>19506.099999999999</v>
      </c>
      <c r="F70" s="1127" t="s">
        <v>2433</v>
      </c>
      <c r="G70" s="1" t="s">
        <v>45</v>
      </c>
      <c r="H70" s="1"/>
      <c r="I70" s="1"/>
      <c r="J70" s="1"/>
      <c r="K70" s="1"/>
      <c r="L70" s="1"/>
      <c r="M70" s="182"/>
    </row>
    <row r="71" spans="1:13" s="914" customFormat="1" ht="20.25" thickBot="1">
      <c r="A71" s="909">
        <v>38</v>
      </c>
      <c r="B71" s="908"/>
      <c r="C71" s="909"/>
      <c r="D71" s="1005" t="s">
        <v>64</v>
      </c>
      <c r="E71" s="911">
        <f>SUM(E33:E70)</f>
        <v>382168.29999999993</v>
      </c>
      <c r="F71" s="909"/>
      <c r="G71" s="909"/>
      <c r="H71" s="909"/>
      <c r="I71" s="909"/>
      <c r="J71" s="909"/>
      <c r="K71" s="909"/>
      <c r="L71" s="909"/>
      <c r="M71" s="1003"/>
    </row>
    <row r="72" spans="1:13" ht="22.5" thickTop="1">
      <c r="A72" s="1"/>
      <c r="B72" s="212" t="s">
        <v>935</v>
      </c>
      <c r="C72" s="1"/>
      <c r="D72" s="451"/>
      <c r="E72" s="280"/>
      <c r="F72" s="1"/>
      <c r="G72" s="1"/>
      <c r="H72" s="1"/>
      <c r="I72" s="1"/>
      <c r="J72" s="1"/>
      <c r="K72" s="1"/>
      <c r="L72" s="1"/>
      <c r="M72" s="182"/>
    </row>
    <row r="73" spans="1:13">
      <c r="A73" s="1">
        <v>1</v>
      </c>
      <c r="B73" s="2" t="s">
        <v>936</v>
      </c>
      <c r="C73" s="1" t="s">
        <v>937</v>
      </c>
      <c r="D73" s="4">
        <v>18851</v>
      </c>
      <c r="E73" s="57">
        <v>15000</v>
      </c>
      <c r="F73" s="1127" t="s">
        <v>2433</v>
      </c>
      <c r="G73" s="1" t="s">
        <v>45</v>
      </c>
      <c r="H73" s="1"/>
      <c r="I73" s="1"/>
      <c r="J73" s="1"/>
      <c r="K73" s="1"/>
      <c r="L73" s="1"/>
      <c r="M73" s="182"/>
    </row>
    <row r="74" spans="1:13">
      <c r="A74" s="1">
        <v>2</v>
      </c>
      <c r="B74" s="2" t="s">
        <v>936</v>
      </c>
      <c r="C74" s="1" t="s">
        <v>938</v>
      </c>
      <c r="D74" s="4">
        <v>18851</v>
      </c>
      <c r="E74" s="57">
        <v>15000</v>
      </c>
      <c r="F74" s="1127" t="s">
        <v>2433</v>
      </c>
      <c r="G74" s="1" t="s">
        <v>45</v>
      </c>
      <c r="H74" s="1"/>
      <c r="I74" s="1"/>
      <c r="J74" s="1"/>
      <c r="K74" s="1"/>
      <c r="L74" s="1"/>
      <c r="M74" s="182"/>
    </row>
    <row r="75" spans="1:13">
      <c r="A75" s="1">
        <v>3</v>
      </c>
      <c r="B75" s="2" t="s">
        <v>936</v>
      </c>
      <c r="C75" s="1" t="s">
        <v>939</v>
      </c>
      <c r="D75" s="4">
        <v>18851</v>
      </c>
      <c r="E75" s="57">
        <v>550</v>
      </c>
      <c r="F75" s="1127" t="s">
        <v>2433</v>
      </c>
      <c r="G75" s="1" t="s">
        <v>45</v>
      </c>
      <c r="H75" s="1"/>
      <c r="I75" s="1"/>
      <c r="J75" s="1"/>
      <c r="K75" s="1"/>
      <c r="L75" s="1"/>
      <c r="M75" s="182"/>
    </row>
    <row r="76" spans="1:13">
      <c r="A76" s="1">
        <v>4</v>
      </c>
      <c r="B76" s="2" t="s">
        <v>936</v>
      </c>
      <c r="C76" s="1" t="s">
        <v>940</v>
      </c>
      <c r="D76" s="4">
        <v>18851</v>
      </c>
      <c r="E76" s="57">
        <v>550</v>
      </c>
      <c r="F76" s="1127" t="s">
        <v>2433</v>
      </c>
      <c r="G76" s="1" t="s">
        <v>45</v>
      </c>
      <c r="H76" s="1"/>
      <c r="I76" s="1"/>
      <c r="J76" s="1"/>
      <c r="K76" s="1"/>
      <c r="L76" s="1"/>
      <c r="M76" s="182"/>
    </row>
    <row r="77" spans="1:13">
      <c r="A77" s="1">
        <v>5</v>
      </c>
      <c r="B77" s="2" t="s">
        <v>936</v>
      </c>
      <c r="C77" s="1" t="s">
        <v>941</v>
      </c>
      <c r="D77" s="4">
        <v>18851</v>
      </c>
      <c r="E77" s="57">
        <v>550</v>
      </c>
      <c r="F77" s="1127" t="s">
        <v>2433</v>
      </c>
      <c r="G77" s="1" t="s">
        <v>45</v>
      </c>
      <c r="H77" s="1"/>
      <c r="I77" s="1"/>
      <c r="J77" s="1"/>
      <c r="K77" s="1"/>
      <c r="L77" s="1"/>
      <c r="M77" s="182"/>
    </row>
    <row r="78" spans="1:13">
      <c r="A78" s="1">
        <v>6</v>
      </c>
      <c r="B78" s="2" t="s">
        <v>936</v>
      </c>
      <c r="C78" s="1" t="s">
        <v>942</v>
      </c>
      <c r="D78" s="4">
        <v>18851</v>
      </c>
      <c r="E78" s="57">
        <v>550</v>
      </c>
      <c r="F78" s="1127" t="s">
        <v>2433</v>
      </c>
      <c r="G78" s="1" t="s">
        <v>45</v>
      </c>
      <c r="H78" s="1"/>
      <c r="I78" s="1"/>
      <c r="J78" s="1"/>
      <c r="K78" s="1"/>
      <c r="L78" s="1"/>
      <c r="M78" s="182"/>
    </row>
    <row r="79" spans="1:13">
      <c r="A79" s="1">
        <v>7</v>
      </c>
      <c r="B79" s="2" t="s">
        <v>943</v>
      </c>
      <c r="C79" s="1" t="s">
        <v>944</v>
      </c>
      <c r="D79" s="4">
        <v>19428</v>
      </c>
      <c r="E79" s="57">
        <v>1000</v>
      </c>
      <c r="F79" s="1127" t="s">
        <v>2433</v>
      </c>
      <c r="G79" s="1" t="s">
        <v>45</v>
      </c>
      <c r="H79" s="1"/>
      <c r="I79" s="1"/>
      <c r="J79" s="1"/>
      <c r="K79" s="1"/>
      <c r="L79" s="1"/>
      <c r="M79" s="182"/>
    </row>
    <row r="80" spans="1:13">
      <c r="A80" s="1">
        <v>8</v>
      </c>
      <c r="B80" s="2" t="s">
        <v>943</v>
      </c>
      <c r="C80" s="1" t="s">
        <v>945</v>
      </c>
      <c r="D80" s="4">
        <v>19428</v>
      </c>
      <c r="E80" s="57">
        <v>1000</v>
      </c>
      <c r="F80" s="1127" t="s">
        <v>2433</v>
      </c>
      <c r="G80" s="1" t="s">
        <v>45</v>
      </c>
      <c r="H80" s="1"/>
      <c r="I80" s="1"/>
      <c r="J80" s="1"/>
      <c r="K80" s="1"/>
      <c r="L80" s="1"/>
      <c r="M80" s="182"/>
    </row>
    <row r="81" spans="1:13">
      <c r="A81" s="1">
        <v>9</v>
      </c>
      <c r="B81" s="2" t="s">
        <v>943</v>
      </c>
      <c r="C81" s="1" t="s">
        <v>946</v>
      </c>
      <c r="D81" s="4">
        <v>19428</v>
      </c>
      <c r="E81" s="57">
        <v>1000</v>
      </c>
      <c r="F81" s="1127" t="s">
        <v>2433</v>
      </c>
      <c r="G81" s="1" t="s">
        <v>45</v>
      </c>
      <c r="H81" s="1"/>
      <c r="I81" s="1"/>
      <c r="J81" s="1"/>
      <c r="K81" s="1"/>
      <c r="L81" s="1"/>
      <c r="M81" s="182"/>
    </row>
    <row r="82" spans="1:13">
      <c r="A82" s="1">
        <v>10</v>
      </c>
      <c r="B82" s="2" t="s">
        <v>943</v>
      </c>
      <c r="C82" s="1" t="s">
        <v>947</v>
      </c>
      <c r="D82" s="4">
        <v>19428</v>
      </c>
      <c r="E82" s="57">
        <v>1000</v>
      </c>
      <c r="F82" s="1127" t="s">
        <v>2433</v>
      </c>
      <c r="G82" s="1" t="s">
        <v>45</v>
      </c>
      <c r="H82" s="1"/>
      <c r="I82" s="1"/>
      <c r="J82" s="1"/>
      <c r="K82" s="1"/>
      <c r="L82" s="1"/>
      <c r="M82" s="182"/>
    </row>
    <row r="83" spans="1:13">
      <c r="A83" s="1">
        <v>11</v>
      </c>
      <c r="B83" s="271" t="s">
        <v>2023</v>
      </c>
      <c r="C83" s="452" t="s">
        <v>2031</v>
      </c>
      <c r="D83" s="270">
        <v>20834</v>
      </c>
      <c r="E83" s="92">
        <v>6900</v>
      </c>
      <c r="F83" s="1147" t="s">
        <v>1265</v>
      </c>
      <c r="G83" s="223" t="s">
        <v>45</v>
      </c>
      <c r="H83" s="1"/>
      <c r="I83" s="1"/>
      <c r="J83" s="1"/>
      <c r="K83" s="1"/>
      <c r="L83" s="1"/>
      <c r="M83" s="182" t="s">
        <v>3164</v>
      </c>
    </row>
    <row r="84" spans="1:13">
      <c r="A84" s="1">
        <v>12</v>
      </c>
      <c r="B84" s="271" t="s">
        <v>2023</v>
      </c>
      <c r="C84" s="452" t="s">
        <v>2024</v>
      </c>
      <c r="D84" s="270">
        <v>20834</v>
      </c>
      <c r="E84" s="92">
        <v>6900</v>
      </c>
      <c r="F84" s="1147" t="s">
        <v>1265</v>
      </c>
      <c r="G84" s="223" t="s">
        <v>45</v>
      </c>
      <c r="H84" s="1"/>
      <c r="I84" s="1"/>
      <c r="J84" s="1"/>
      <c r="K84" s="1"/>
      <c r="L84" s="1"/>
      <c r="M84" s="182" t="s">
        <v>3164</v>
      </c>
    </row>
    <row r="85" spans="1:13">
      <c r="A85" s="1">
        <v>13</v>
      </c>
      <c r="B85" s="271" t="s">
        <v>2023</v>
      </c>
      <c r="C85" s="452" t="s">
        <v>2025</v>
      </c>
      <c r="D85" s="270">
        <v>20834</v>
      </c>
      <c r="E85" s="92">
        <v>6900</v>
      </c>
      <c r="F85" s="1147" t="s">
        <v>1265</v>
      </c>
      <c r="G85" s="223" t="s">
        <v>45</v>
      </c>
      <c r="H85" s="1"/>
      <c r="I85" s="1"/>
      <c r="J85" s="1"/>
      <c r="K85" s="1"/>
      <c r="L85" s="1"/>
      <c r="M85" s="182" t="s">
        <v>3164</v>
      </c>
    </row>
    <row r="86" spans="1:13">
      <c r="A86" s="1">
        <v>14</v>
      </c>
      <c r="B86" s="271" t="s">
        <v>2023</v>
      </c>
      <c r="C86" s="452" t="s">
        <v>2026</v>
      </c>
      <c r="D86" s="270">
        <v>20834</v>
      </c>
      <c r="E86" s="92">
        <v>6900</v>
      </c>
      <c r="F86" s="1147" t="s">
        <v>1265</v>
      </c>
      <c r="G86" s="223" t="s">
        <v>45</v>
      </c>
      <c r="H86" s="1"/>
      <c r="I86" s="1"/>
      <c r="J86" s="1"/>
      <c r="K86" s="1"/>
      <c r="L86" s="1"/>
      <c r="M86" s="182" t="s">
        <v>3164</v>
      </c>
    </row>
    <row r="87" spans="1:13">
      <c r="A87" s="1">
        <v>15</v>
      </c>
      <c r="B87" s="271" t="s">
        <v>2023</v>
      </c>
      <c r="C87" s="452" t="s">
        <v>2027</v>
      </c>
      <c r="D87" s="270">
        <v>20834</v>
      </c>
      <c r="E87" s="92">
        <v>6900</v>
      </c>
      <c r="F87" s="1147" t="s">
        <v>1265</v>
      </c>
      <c r="G87" s="223" t="s">
        <v>45</v>
      </c>
      <c r="H87" s="1"/>
      <c r="I87" s="1"/>
      <c r="J87" s="1"/>
      <c r="K87" s="1"/>
      <c r="L87" s="1"/>
      <c r="M87" s="182" t="s">
        <v>3164</v>
      </c>
    </row>
    <row r="88" spans="1:13">
      <c r="A88" s="1">
        <v>16</v>
      </c>
      <c r="B88" s="271" t="s">
        <v>2023</v>
      </c>
      <c r="C88" s="452" t="s">
        <v>2028</v>
      </c>
      <c r="D88" s="270">
        <v>20834</v>
      </c>
      <c r="E88" s="92">
        <v>6900</v>
      </c>
      <c r="F88" s="1147" t="s">
        <v>1265</v>
      </c>
      <c r="G88" s="223" t="s">
        <v>45</v>
      </c>
      <c r="H88" s="1"/>
      <c r="I88" s="1"/>
      <c r="J88" s="1"/>
      <c r="K88" s="1"/>
      <c r="L88" s="1"/>
      <c r="M88" s="182" t="s">
        <v>3164</v>
      </c>
    </row>
    <row r="89" spans="1:13">
      <c r="A89" s="1">
        <v>17</v>
      </c>
      <c r="B89" s="271" t="s">
        <v>2023</v>
      </c>
      <c r="C89" s="452" t="s">
        <v>2029</v>
      </c>
      <c r="D89" s="270">
        <v>20834</v>
      </c>
      <c r="E89" s="92">
        <v>6900</v>
      </c>
      <c r="F89" s="1147" t="s">
        <v>1265</v>
      </c>
      <c r="G89" s="223" t="s">
        <v>45</v>
      </c>
      <c r="H89" s="1"/>
      <c r="I89" s="1"/>
      <c r="J89" s="1"/>
      <c r="K89" s="1"/>
      <c r="L89" s="1"/>
      <c r="M89" s="182" t="s">
        <v>3164</v>
      </c>
    </row>
    <row r="90" spans="1:13">
      <c r="A90" s="1">
        <v>18</v>
      </c>
      <c r="B90" s="271" t="s">
        <v>2023</v>
      </c>
      <c r="C90" s="452" t="s">
        <v>2030</v>
      </c>
      <c r="D90" s="270">
        <v>20834</v>
      </c>
      <c r="E90" s="92">
        <v>6900</v>
      </c>
      <c r="F90" s="1147" t="s">
        <v>1265</v>
      </c>
      <c r="G90" s="223" t="s">
        <v>45</v>
      </c>
      <c r="H90" s="1"/>
      <c r="I90" s="1"/>
      <c r="J90" s="1"/>
      <c r="K90" s="1"/>
      <c r="L90" s="1"/>
      <c r="M90" s="182" t="s">
        <v>3164</v>
      </c>
    </row>
    <row r="91" spans="1:13">
      <c r="A91" s="1">
        <v>19</v>
      </c>
      <c r="B91" s="2" t="s">
        <v>948</v>
      </c>
      <c r="C91" s="1" t="s">
        <v>949</v>
      </c>
      <c r="D91" s="4">
        <v>18810</v>
      </c>
      <c r="E91" s="57">
        <v>4494</v>
      </c>
      <c r="F91" s="1127" t="s">
        <v>2433</v>
      </c>
      <c r="G91" s="1" t="s">
        <v>45</v>
      </c>
      <c r="H91" s="1"/>
      <c r="I91" s="1"/>
      <c r="J91" s="1"/>
      <c r="K91" s="1"/>
      <c r="L91" s="1"/>
      <c r="M91" s="182"/>
    </row>
    <row r="92" spans="1:13">
      <c r="A92" s="1">
        <v>20</v>
      </c>
      <c r="B92" s="2" t="s">
        <v>950</v>
      </c>
      <c r="C92" s="1" t="s">
        <v>951</v>
      </c>
      <c r="D92" s="4">
        <v>18810</v>
      </c>
      <c r="E92" s="57">
        <v>12695.55</v>
      </c>
      <c r="F92" s="1127" t="s">
        <v>2433</v>
      </c>
      <c r="G92" s="1" t="s">
        <v>45</v>
      </c>
      <c r="H92" s="1"/>
      <c r="I92" s="1"/>
      <c r="J92" s="1"/>
      <c r="K92" s="1"/>
      <c r="L92" s="1"/>
      <c r="M92" s="182"/>
    </row>
    <row r="93" spans="1:13">
      <c r="A93" s="1">
        <v>21</v>
      </c>
      <c r="B93" s="2" t="s">
        <v>950</v>
      </c>
      <c r="C93" s="1" t="s">
        <v>952</v>
      </c>
      <c r="D93" s="4">
        <v>18810</v>
      </c>
      <c r="E93" s="57">
        <v>12695.55</v>
      </c>
      <c r="F93" s="1127" t="s">
        <v>2433</v>
      </c>
      <c r="G93" s="1" t="s">
        <v>45</v>
      </c>
      <c r="H93" s="1"/>
      <c r="I93" s="1"/>
      <c r="J93" s="1"/>
      <c r="K93" s="1"/>
      <c r="L93" s="1"/>
      <c r="M93" s="182"/>
    </row>
    <row r="94" spans="1:13">
      <c r="A94" s="1">
        <v>22</v>
      </c>
      <c r="B94" s="2" t="s">
        <v>950</v>
      </c>
      <c r="C94" s="1" t="s">
        <v>953</v>
      </c>
      <c r="D94" s="4">
        <v>18810</v>
      </c>
      <c r="E94" s="57">
        <v>12695.55</v>
      </c>
      <c r="F94" s="1127" t="s">
        <v>2433</v>
      </c>
      <c r="G94" s="1" t="s">
        <v>45</v>
      </c>
      <c r="H94" s="1"/>
      <c r="I94" s="1"/>
      <c r="J94" s="1"/>
      <c r="K94" s="1"/>
      <c r="L94" s="1"/>
      <c r="M94" s="182"/>
    </row>
    <row r="95" spans="1:13">
      <c r="A95" s="1">
        <v>23</v>
      </c>
      <c r="B95" s="2" t="s">
        <v>950</v>
      </c>
      <c r="C95" s="1" t="s">
        <v>954</v>
      </c>
      <c r="D95" s="4">
        <v>18810</v>
      </c>
      <c r="E95" s="57">
        <v>12695.55</v>
      </c>
      <c r="F95" s="1127" t="s">
        <v>2433</v>
      </c>
      <c r="G95" s="1" t="s">
        <v>45</v>
      </c>
      <c r="H95" s="1"/>
      <c r="I95" s="1"/>
      <c r="J95" s="1"/>
      <c r="K95" s="1"/>
      <c r="L95" s="1"/>
      <c r="M95" s="182"/>
    </row>
    <row r="96" spans="1:13">
      <c r="A96" s="1">
        <v>24</v>
      </c>
      <c r="B96" s="2" t="s">
        <v>950</v>
      </c>
      <c r="C96" s="1" t="s">
        <v>955</v>
      </c>
      <c r="D96" s="4">
        <v>18810</v>
      </c>
      <c r="E96" s="57">
        <v>12695.55</v>
      </c>
      <c r="F96" s="1127" t="s">
        <v>2433</v>
      </c>
      <c r="G96" s="1" t="s">
        <v>45</v>
      </c>
      <c r="H96" s="1"/>
      <c r="I96" s="1"/>
      <c r="J96" s="1"/>
      <c r="K96" s="1"/>
      <c r="L96" s="1"/>
      <c r="M96" s="182"/>
    </row>
    <row r="97" spans="1:15">
      <c r="A97" s="1">
        <v>25</v>
      </c>
      <c r="B97" s="2" t="s">
        <v>950</v>
      </c>
      <c r="C97" s="1" t="s">
        <v>956</v>
      </c>
      <c r="D97" s="4">
        <v>18810</v>
      </c>
      <c r="E97" s="57">
        <v>12695.55</v>
      </c>
      <c r="F97" s="1127" t="s">
        <v>2433</v>
      </c>
      <c r="G97" s="1" t="s">
        <v>45</v>
      </c>
      <c r="H97" s="1"/>
      <c r="I97" s="1"/>
      <c r="J97" s="1"/>
      <c r="K97" s="1"/>
      <c r="L97" s="1"/>
      <c r="M97" s="182"/>
    </row>
    <row r="98" spans="1:15">
      <c r="A98" s="1">
        <v>26</v>
      </c>
      <c r="B98" s="2" t="s">
        <v>950</v>
      </c>
      <c r="C98" s="1" t="s">
        <v>957</v>
      </c>
      <c r="D98" s="4">
        <v>18810</v>
      </c>
      <c r="E98" s="57">
        <v>12695.55</v>
      </c>
      <c r="F98" s="1127" t="s">
        <v>2433</v>
      </c>
      <c r="G98" s="1" t="s">
        <v>45</v>
      </c>
      <c r="H98" s="1"/>
      <c r="I98" s="1"/>
      <c r="J98" s="1"/>
      <c r="K98" s="1"/>
      <c r="L98" s="1"/>
      <c r="M98" s="182"/>
    </row>
    <row r="99" spans="1:15">
      <c r="A99" s="1">
        <v>27</v>
      </c>
      <c r="B99" s="2" t="s">
        <v>950</v>
      </c>
      <c r="C99" s="1" t="s">
        <v>958</v>
      </c>
      <c r="D99" s="4">
        <v>18810</v>
      </c>
      <c r="E99" s="57">
        <v>12695.55</v>
      </c>
      <c r="F99" s="1127" t="s">
        <v>2433</v>
      </c>
      <c r="G99" s="1" t="s">
        <v>45</v>
      </c>
      <c r="H99" s="1"/>
      <c r="I99" s="1"/>
      <c r="J99" s="1"/>
      <c r="K99" s="1"/>
      <c r="L99" s="1"/>
      <c r="M99" s="182"/>
    </row>
    <row r="100" spans="1:15" ht="58.5">
      <c r="A100" s="223">
        <v>28</v>
      </c>
      <c r="B100" s="511" t="s">
        <v>3354</v>
      </c>
      <c r="C100" s="223" t="s">
        <v>3360</v>
      </c>
      <c r="D100" s="270" t="s">
        <v>3362</v>
      </c>
      <c r="E100" s="94">
        <v>10000</v>
      </c>
      <c r="F100" s="1145" t="s">
        <v>2117</v>
      </c>
      <c r="G100" s="223" t="s">
        <v>45</v>
      </c>
      <c r="H100" s="223"/>
      <c r="I100" s="223"/>
      <c r="J100" s="223"/>
      <c r="K100" s="223"/>
      <c r="L100" s="223"/>
      <c r="M100" s="289" t="s">
        <v>3517</v>
      </c>
    </row>
    <row r="101" spans="1:15" ht="58.5">
      <c r="A101" s="223">
        <v>29</v>
      </c>
      <c r="B101" s="511" t="s">
        <v>3354</v>
      </c>
      <c r="C101" s="223" t="s">
        <v>3361</v>
      </c>
      <c r="D101" s="270" t="s">
        <v>3362</v>
      </c>
      <c r="E101" s="94">
        <v>21000</v>
      </c>
      <c r="F101" s="1145" t="s">
        <v>2117</v>
      </c>
      <c r="G101" s="223" t="s">
        <v>45</v>
      </c>
      <c r="H101" s="223"/>
      <c r="I101" s="223"/>
      <c r="J101" s="223"/>
      <c r="K101" s="223"/>
      <c r="L101" s="223"/>
      <c r="M101" s="289" t="s">
        <v>3517</v>
      </c>
    </row>
    <row r="102" spans="1:15" s="914" customFormat="1" ht="20.25" thickBot="1">
      <c r="A102" s="909">
        <v>29</v>
      </c>
      <c r="B102" s="908"/>
      <c r="C102" s="909"/>
      <c r="D102" s="910" t="s">
        <v>64</v>
      </c>
      <c r="E102" s="911">
        <f>SUM(E73:E101)</f>
        <v>228458.39999999994</v>
      </c>
      <c r="F102" s="909"/>
      <c r="G102" s="909"/>
      <c r="H102" s="909"/>
      <c r="I102" s="909"/>
      <c r="J102" s="909"/>
      <c r="K102" s="909"/>
      <c r="L102" s="909"/>
      <c r="M102" s="1003"/>
    </row>
    <row r="103" spans="1:15" ht="22.5" thickTop="1">
      <c r="A103" s="1"/>
      <c r="B103" s="305" t="s">
        <v>959</v>
      </c>
      <c r="C103" s="1"/>
      <c r="D103" s="451"/>
      <c r="E103" s="280"/>
      <c r="F103" s="1"/>
      <c r="G103" s="1"/>
      <c r="H103" s="1"/>
      <c r="I103" s="1"/>
      <c r="J103" s="1"/>
      <c r="K103" s="1"/>
      <c r="L103" s="1"/>
      <c r="M103" s="182"/>
    </row>
    <row r="104" spans="1:15">
      <c r="A104" s="1">
        <v>1</v>
      </c>
      <c r="B104" s="306" t="s">
        <v>960</v>
      </c>
      <c r="C104" s="1" t="s">
        <v>961</v>
      </c>
      <c r="D104" s="4">
        <v>18810</v>
      </c>
      <c r="E104" s="57">
        <v>28002</v>
      </c>
      <c r="F104" s="1127" t="s">
        <v>2433</v>
      </c>
      <c r="G104" s="1" t="s">
        <v>45</v>
      </c>
      <c r="H104" s="1"/>
      <c r="I104" s="1"/>
      <c r="J104" s="1"/>
      <c r="K104" s="1"/>
      <c r="L104" s="1"/>
      <c r="M104" s="182"/>
    </row>
    <row r="105" spans="1:15" s="914" customFormat="1" ht="20.25" thickBot="1">
      <c r="A105" s="909">
        <v>1</v>
      </c>
      <c r="B105" s="908"/>
      <c r="C105" s="909"/>
      <c r="D105" s="910" t="s">
        <v>64</v>
      </c>
      <c r="E105" s="911">
        <f>SUM(E104)</f>
        <v>28002</v>
      </c>
      <c r="F105" s="909"/>
      <c r="G105" s="909"/>
      <c r="H105" s="909"/>
      <c r="I105" s="909"/>
      <c r="J105" s="909"/>
      <c r="K105" s="909"/>
      <c r="L105" s="909"/>
      <c r="M105" s="1003"/>
    </row>
    <row r="106" spans="1:15" ht="22.5" thickTop="1">
      <c r="A106" s="1"/>
      <c r="B106" s="305" t="s">
        <v>2215</v>
      </c>
      <c r="C106" s="1"/>
      <c r="D106" s="451"/>
      <c r="E106" s="280"/>
      <c r="F106" s="1"/>
      <c r="G106" s="1"/>
      <c r="H106" s="1"/>
      <c r="I106" s="1"/>
      <c r="J106" s="1"/>
      <c r="K106" s="1"/>
      <c r="L106" s="1"/>
      <c r="M106" s="182"/>
    </row>
    <row r="107" spans="1:15">
      <c r="A107" s="1">
        <v>1</v>
      </c>
      <c r="B107" s="306" t="s">
        <v>2214</v>
      </c>
      <c r="C107" s="1" t="s">
        <v>2212</v>
      </c>
      <c r="D107" s="4">
        <v>17179</v>
      </c>
      <c r="E107" s="57">
        <v>5940</v>
      </c>
      <c r="F107" s="1127" t="s">
        <v>2433</v>
      </c>
      <c r="G107" s="1" t="s">
        <v>45</v>
      </c>
      <c r="H107" s="1"/>
      <c r="I107" s="1"/>
      <c r="J107" s="1"/>
      <c r="K107" s="1"/>
      <c r="L107" s="1"/>
      <c r="M107" s="182"/>
    </row>
    <row r="108" spans="1:15">
      <c r="A108" s="1">
        <v>2</v>
      </c>
      <c r="B108" s="306" t="s">
        <v>2216</v>
      </c>
      <c r="C108" s="1" t="s">
        <v>2213</v>
      </c>
      <c r="D108" s="4">
        <v>17179</v>
      </c>
      <c r="E108" s="57">
        <v>5940</v>
      </c>
      <c r="F108" s="1127" t="s">
        <v>2433</v>
      </c>
      <c r="G108" s="1" t="s">
        <v>45</v>
      </c>
      <c r="H108" s="1"/>
      <c r="I108" s="1"/>
      <c r="J108" s="1"/>
      <c r="K108" s="1"/>
      <c r="L108" s="1"/>
      <c r="M108" s="182"/>
    </row>
    <row r="109" spans="1:15" s="914" customFormat="1" ht="20.25" thickBot="1">
      <c r="A109" s="909">
        <v>2</v>
      </c>
      <c r="B109" s="908"/>
      <c r="C109" s="909"/>
      <c r="D109" s="910" t="s">
        <v>64</v>
      </c>
      <c r="E109" s="911">
        <f>SUM(E107:E108)</f>
        <v>11880</v>
      </c>
      <c r="F109" s="909"/>
      <c r="G109" s="909"/>
      <c r="H109" s="909"/>
      <c r="I109" s="909"/>
      <c r="J109" s="909"/>
      <c r="K109" s="909"/>
      <c r="L109" s="909"/>
      <c r="M109" s="1003"/>
    </row>
    <row r="110" spans="1:15" ht="22.5" thickTop="1">
      <c r="A110" s="1"/>
      <c r="B110" s="212" t="s">
        <v>962</v>
      </c>
      <c r="C110" s="1"/>
      <c r="D110" s="233"/>
      <c r="E110" s="280"/>
      <c r="F110" s="1"/>
      <c r="G110" s="1"/>
      <c r="H110" s="1"/>
      <c r="I110" s="1"/>
      <c r="J110" s="1"/>
      <c r="K110" s="1"/>
      <c r="L110" s="1"/>
      <c r="M110" s="182"/>
    </row>
    <row r="111" spans="1:15">
      <c r="A111" s="1">
        <v>1</v>
      </c>
      <c r="B111" s="182" t="s">
        <v>1977</v>
      </c>
      <c r="C111" s="1" t="s">
        <v>1520</v>
      </c>
      <c r="D111" s="4">
        <v>15487</v>
      </c>
      <c r="E111" s="453">
        <v>4400</v>
      </c>
      <c r="F111" s="1148" t="s">
        <v>1508</v>
      </c>
      <c r="G111" s="1" t="s">
        <v>45</v>
      </c>
      <c r="H111" s="1"/>
      <c r="I111" s="1"/>
      <c r="J111" s="1"/>
      <c r="K111" s="1"/>
      <c r="L111" s="1"/>
      <c r="M111" s="182"/>
      <c r="N111" s="46"/>
      <c r="O111" s="46"/>
    </row>
    <row r="112" spans="1:15">
      <c r="A112" s="1">
        <v>2</v>
      </c>
      <c r="B112" s="2" t="s">
        <v>1977</v>
      </c>
      <c r="C112" s="1" t="s">
        <v>2218</v>
      </c>
      <c r="D112" s="4">
        <v>16579</v>
      </c>
      <c r="E112" s="57">
        <v>4200</v>
      </c>
      <c r="F112" s="1127" t="s">
        <v>2433</v>
      </c>
      <c r="G112" s="1" t="s">
        <v>45</v>
      </c>
      <c r="H112" s="1"/>
      <c r="I112" s="1"/>
      <c r="J112" s="1"/>
      <c r="K112" s="1"/>
      <c r="L112" s="1"/>
      <c r="M112" s="182"/>
    </row>
    <row r="113" spans="1:15">
      <c r="A113" s="1">
        <v>3</v>
      </c>
      <c r="B113" s="2" t="s">
        <v>1521</v>
      </c>
      <c r="C113" s="1" t="s">
        <v>1522</v>
      </c>
      <c r="D113" s="4">
        <v>17791</v>
      </c>
      <c r="E113" s="1092">
        <v>2700</v>
      </c>
      <c r="F113" s="1186" t="s">
        <v>1508</v>
      </c>
      <c r="G113" s="1" t="s">
        <v>45</v>
      </c>
      <c r="H113" s="1"/>
      <c r="I113" s="1"/>
      <c r="J113" s="1"/>
      <c r="K113" s="1"/>
      <c r="L113" s="1"/>
      <c r="M113" s="182"/>
      <c r="N113" s="46"/>
      <c r="O113" s="46"/>
    </row>
    <row r="114" spans="1:15" s="46" customFormat="1">
      <c r="A114" s="1">
        <v>4</v>
      </c>
      <c r="B114" s="2" t="s">
        <v>1521</v>
      </c>
      <c r="C114" s="1" t="s">
        <v>1523</v>
      </c>
      <c r="D114" s="4">
        <v>17791</v>
      </c>
      <c r="E114" s="1092">
        <v>2700</v>
      </c>
      <c r="F114" s="1186" t="s">
        <v>1508</v>
      </c>
      <c r="G114" s="1" t="s">
        <v>45</v>
      </c>
      <c r="H114" s="1"/>
      <c r="I114" s="1"/>
      <c r="J114" s="1"/>
      <c r="K114" s="1"/>
      <c r="L114" s="1"/>
      <c r="M114" s="182"/>
    </row>
    <row r="115" spans="1:15">
      <c r="A115" s="1">
        <v>5</v>
      </c>
      <c r="B115" s="2" t="s">
        <v>963</v>
      </c>
      <c r="C115" s="1" t="s">
        <v>964</v>
      </c>
      <c r="D115" s="4">
        <v>18851</v>
      </c>
      <c r="E115" s="57">
        <v>4000</v>
      </c>
      <c r="F115" s="1127" t="s">
        <v>2433</v>
      </c>
      <c r="G115" s="1" t="s">
        <v>45</v>
      </c>
      <c r="H115" s="1"/>
      <c r="I115" s="1"/>
      <c r="J115" s="1"/>
      <c r="K115" s="1"/>
      <c r="L115" s="1"/>
      <c r="M115" s="182"/>
    </row>
    <row r="116" spans="1:15" s="46" customFormat="1">
      <c r="A116" s="1">
        <v>6</v>
      </c>
      <c r="B116" s="2" t="s">
        <v>1977</v>
      </c>
      <c r="C116" s="1" t="s">
        <v>2217</v>
      </c>
      <c r="D116" s="4">
        <v>19428</v>
      </c>
      <c r="E116" s="57">
        <v>9000</v>
      </c>
      <c r="F116" s="1127" t="s">
        <v>2433</v>
      </c>
      <c r="G116" s="1" t="s">
        <v>45</v>
      </c>
      <c r="H116" s="1"/>
      <c r="I116" s="1"/>
      <c r="J116" s="1"/>
      <c r="K116" s="1"/>
      <c r="L116" s="1"/>
      <c r="M116" s="182"/>
      <c r="N116" s="36"/>
      <c r="O116" s="36"/>
    </row>
    <row r="117" spans="1:15" s="46" customFormat="1">
      <c r="A117" s="1">
        <v>7</v>
      </c>
      <c r="B117" s="3" t="s">
        <v>1470</v>
      </c>
      <c r="C117" s="158" t="s">
        <v>1471</v>
      </c>
      <c r="D117" s="4">
        <v>20834</v>
      </c>
      <c r="E117" s="58">
        <v>13500</v>
      </c>
      <c r="F117" s="1131" t="s">
        <v>1265</v>
      </c>
      <c r="G117" s="1" t="s">
        <v>45</v>
      </c>
      <c r="H117" s="1"/>
      <c r="I117" s="1"/>
      <c r="J117" s="1"/>
      <c r="K117" s="1"/>
      <c r="L117" s="1"/>
      <c r="M117" s="182" t="s">
        <v>3164</v>
      </c>
      <c r="N117" s="36"/>
      <c r="O117" s="36"/>
    </row>
    <row r="118" spans="1:15">
      <c r="A118" s="1">
        <v>8</v>
      </c>
      <c r="B118" s="271" t="s">
        <v>1474</v>
      </c>
      <c r="C118" s="223" t="s">
        <v>1472</v>
      </c>
      <c r="D118" s="4">
        <v>20834</v>
      </c>
      <c r="E118" s="92">
        <v>13000</v>
      </c>
      <c r="F118" s="1131" t="s">
        <v>1265</v>
      </c>
      <c r="G118" s="1" t="s">
        <v>45</v>
      </c>
      <c r="H118" s="1"/>
      <c r="I118" s="1"/>
      <c r="J118" s="1"/>
      <c r="K118" s="1"/>
      <c r="L118" s="1"/>
      <c r="M118" s="182" t="s">
        <v>3164</v>
      </c>
    </row>
    <row r="119" spans="1:15">
      <c r="A119" s="1">
        <v>9</v>
      </c>
      <c r="B119" s="454" t="s">
        <v>1475</v>
      </c>
      <c r="C119" s="223" t="s">
        <v>1473</v>
      </c>
      <c r="D119" s="4">
        <v>20834</v>
      </c>
      <c r="E119" s="92">
        <v>10500</v>
      </c>
      <c r="F119" s="1131" t="s">
        <v>1265</v>
      </c>
      <c r="G119" s="1" t="s">
        <v>45</v>
      </c>
      <c r="H119" s="1"/>
      <c r="I119" s="1"/>
      <c r="J119" s="1"/>
      <c r="K119" s="1"/>
      <c r="L119" s="1"/>
      <c r="M119" s="182" t="s">
        <v>3164</v>
      </c>
    </row>
    <row r="120" spans="1:15" ht="58.5">
      <c r="A120" s="223">
        <v>10</v>
      </c>
      <c r="B120" s="454" t="s">
        <v>3370</v>
      </c>
      <c r="C120" s="223" t="s">
        <v>3372</v>
      </c>
      <c r="D120" s="4" t="s">
        <v>3362</v>
      </c>
      <c r="E120" s="164">
        <v>23000</v>
      </c>
      <c r="F120" s="1146" t="s">
        <v>2117</v>
      </c>
      <c r="G120" s="1" t="s">
        <v>45</v>
      </c>
      <c r="H120" s="1"/>
      <c r="I120" s="1"/>
      <c r="J120" s="1"/>
      <c r="K120" s="1"/>
      <c r="L120" s="1"/>
      <c r="M120" s="510" t="s">
        <v>3526</v>
      </c>
    </row>
    <row r="121" spans="1:15" ht="58.5">
      <c r="A121" s="223">
        <v>11</v>
      </c>
      <c r="B121" s="454" t="s">
        <v>3371</v>
      </c>
      <c r="C121" s="223" t="s">
        <v>3373</v>
      </c>
      <c r="D121" s="4" t="s">
        <v>3362</v>
      </c>
      <c r="E121" s="164">
        <v>23000</v>
      </c>
      <c r="F121" s="1146" t="s">
        <v>2117</v>
      </c>
      <c r="G121" s="1" t="s">
        <v>45</v>
      </c>
      <c r="H121" s="1"/>
      <c r="I121" s="1"/>
      <c r="J121" s="1"/>
      <c r="K121" s="1"/>
      <c r="L121" s="1"/>
      <c r="M121" s="510" t="s">
        <v>3526</v>
      </c>
    </row>
    <row r="122" spans="1:15" ht="58.5">
      <c r="A122" s="223">
        <v>12</v>
      </c>
      <c r="B122" s="454" t="s">
        <v>3371</v>
      </c>
      <c r="C122" s="223" t="s">
        <v>3374</v>
      </c>
      <c r="D122" s="4" t="s">
        <v>3362</v>
      </c>
      <c r="E122" s="164">
        <v>23000</v>
      </c>
      <c r="F122" s="1146" t="s">
        <v>2117</v>
      </c>
      <c r="G122" s="1" t="s">
        <v>45</v>
      </c>
      <c r="H122" s="1"/>
      <c r="I122" s="1"/>
      <c r="J122" s="1"/>
      <c r="K122" s="1"/>
      <c r="L122" s="1"/>
      <c r="M122" s="510" t="s">
        <v>3526</v>
      </c>
    </row>
    <row r="123" spans="1:15" ht="58.5">
      <c r="A123" s="223">
        <v>13</v>
      </c>
      <c r="B123" s="454" t="s">
        <v>3371</v>
      </c>
      <c r="C123" s="223" t="s">
        <v>3375</v>
      </c>
      <c r="D123" s="4" t="s">
        <v>3362</v>
      </c>
      <c r="E123" s="164">
        <v>23000</v>
      </c>
      <c r="F123" s="1146" t="s">
        <v>2117</v>
      </c>
      <c r="G123" s="1" t="s">
        <v>45</v>
      </c>
      <c r="H123" s="1"/>
      <c r="I123" s="1"/>
      <c r="J123" s="1"/>
      <c r="K123" s="1"/>
      <c r="L123" s="1"/>
      <c r="M123" s="510" t="s">
        <v>3526</v>
      </c>
    </row>
    <row r="124" spans="1:15" s="914" customFormat="1" ht="20.25" thickBot="1">
      <c r="A124" s="909">
        <v>13</v>
      </c>
      <c r="B124" s="908"/>
      <c r="C124" s="909"/>
      <c r="D124" s="910" t="s">
        <v>64</v>
      </c>
      <c r="E124" s="911">
        <f>SUM(E111:E123)</f>
        <v>156000</v>
      </c>
      <c r="F124" s="909"/>
      <c r="G124" s="909"/>
      <c r="H124" s="909"/>
      <c r="I124" s="909"/>
      <c r="J124" s="909"/>
      <c r="K124" s="909"/>
      <c r="L124" s="909"/>
      <c r="M124" s="1003"/>
    </row>
    <row r="125" spans="1:15" ht="22.5" thickTop="1">
      <c r="A125" s="1"/>
      <c r="B125" s="212" t="s">
        <v>965</v>
      </c>
      <c r="C125" s="1"/>
      <c r="D125" s="233"/>
      <c r="E125" s="280"/>
      <c r="F125" s="1"/>
      <c r="G125" s="1"/>
      <c r="H125" s="1"/>
      <c r="I125" s="1"/>
      <c r="J125" s="1"/>
      <c r="K125" s="1"/>
      <c r="L125" s="1"/>
      <c r="M125" s="182"/>
    </row>
    <row r="126" spans="1:15">
      <c r="A126" s="1">
        <v>1</v>
      </c>
      <c r="B126" s="182" t="s">
        <v>1518</v>
      </c>
      <c r="C126" s="1" t="s">
        <v>1978</v>
      </c>
      <c r="D126" s="4">
        <v>16326</v>
      </c>
      <c r="E126" s="248">
        <v>15000</v>
      </c>
      <c r="F126" s="1011" t="s">
        <v>1508</v>
      </c>
      <c r="G126" s="1" t="s">
        <v>45</v>
      </c>
      <c r="H126" s="1"/>
      <c r="I126" s="1"/>
      <c r="J126" s="1"/>
      <c r="K126" s="1"/>
      <c r="L126" s="1"/>
      <c r="M126" s="182"/>
      <c r="N126" s="46"/>
      <c r="O126" s="46"/>
    </row>
    <row r="127" spans="1:15" ht="21.75">
      <c r="A127" s="1"/>
      <c r="B127" s="2" t="s">
        <v>1519</v>
      </c>
      <c r="C127" s="1"/>
      <c r="D127" s="233"/>
      <c r="E127" s="280"/>
      <c r="F127" s="1"/>
      <c r="G127" s="1"/>
      <c r="H127" s="1"/>
      <c r="I127" s="1"/>
      <c r="J127" s="1"/>
      <c r="K127" s="1"/>
      <c r="L127" s="1"/>
      <c r="M127" s="182"/>
    </row>
    <row r="128" spans="1:15" s="914" customFormat="1" ht="20.25" thickBot="1">
      <c r="A128" s="909">
        <v>1</v>
      </c>
      <c r="B128" s="908"/>
      <c r="C128" s="909"/>
      <c r="D128" s="910" t="s">
        <v>64</v>
      </c>
      <c r="E128" s="911">
        <f>SUM(E126:E127)</f>
        <v>15000</v>
      </c>
      <c r="F128" s="909"/>
      <c r="G128" s="909"/>
      <c r="H128" s="909"/>
      <c r="I128" s="909"/>
      <c r="J128" s="909"/>
      <c r="K128" s="909"/>
      <c r="L128" s="909"/>
      <c r="M128" s="1003"/>
    </row>
    <row r="129" spans="1:15" s="46" customFormat="1" ht="20.25" thickTop="1">
      <c r="A129" s="261"/>
      <c r="B129" s="455" t="s">
        <v>1722</v>
      </c>
      <c r="C129" s="456"/>
      <c r="D129" s="457"/>
      <c r="E129" s="458"/>
      <c r="F129" s="261"/>
      <c r="G129" s="222"/>
      <c r="H129" s="222"/>
      <c r="I129" s="222"/>
      <c r="J129" s="459"/>
      <c r="K129" s="222"/>
      <c r="L129" s="222"/>
      <c r="M129" s="182"/>
      <c r="N129" s="36"/>
      <c r="O129" s="36"/>
    </row>
    <row r="130" spans="1:15">
      <c r="A130" s="1">
        <v>1</v>
      </c>
      <c r="B130" s="408" t="s">
        <v>1647</v>
      </c>
      <c r="C130" s="434" t="s">
        <v>1648</v>
      </c>
      <c r="D130" s="243">
        <v>233919</v>
      </c>
      <c r="E130" s="57">
        <v>12000</v>
      </c>
      <c r="F130" s="1011" t="s">
        <v>1649</v>
      </c>
      <c r="G130" s="1" t="s">
        <v>45</v>
      </c>
      <c r="H130" s="222"/>
      <c r="I130" s="222"/>
      <c r="J130" s="459"/>
      <c r="K130" s="222"/>
      <c r="L130" s="222"/>
      <c r="M130" s="182"/>
    </row>
    <row r="131" spans="1:15">
      <c r="A131" s="1">
        <v>2</v>
      </c>
      <c r="B131" s="408" t="s">
        <v>2188</v>
      </c>
      <c r="C131" s="434" t="s">
        <v>1657</v>
      </c>
      <c r="D131" s="243">
        <v>16032</v>
      </c>
      <c r="E131" s="57">
        <v>10000</v>
      </c>
      <c r="F131" s="1011" t="s">
        <v>1649</v>
      </c>
      <c r="G131" s="1" t="s">
        <v>45</v>
      </c>
      <c r="H131" s="222"/>
      <c r="I131" s="222"/>
      <c r="J131" s="459"/>
      <c r="K131" s="222"/>
      <c r="L131" s="222"/>
      <c r="M131" s="182"/>
    </row>
    <row r="132" spans="1:15">
      <c r="A132" s="1">
        <v>3</v>
      </c>
      <c r="B132" s="408" t="s">
        <v>1650</v>
      </c>
      <c r="C132" s="242" t="s">
        <v>1651</v>
      </c>
      <c r="D132" s="243">
        <v>235832</v>
      </c>
      <c r="E132" s="57">
        <v>8500</v>
      </c>
      <c r="F132" s="1011" t="s">
        <v>1649</v>
      </c>
      <c r="G132" s="1" t="s">
        <v>45</v>
      </c>
      <c r="H132" s="49"/>
      <c r="I132" s="49"/>
      <c r="J132" s="406"/>
      <c r="K132" s="49"/>
      <c r="L132" s="49"/>
      <c r="M132" s="182"/>
      <c r="N132" s="44"/>
      <c r="O132" s="44"/>
    </row>
    <row r="133" spans="1:15">
      <c r="A133" s="1">
        <v>4</v>
      </c>
      <c r="B133" s="460" t="s">
        <v>1650</v>
      </c>
      <c r="C133" s="424" t="s">
        <v>1652</v>
      </c>
      <c r="D133" s="243">
        <v>235832</v>
      </c>
      <c r="E133" s="57">
        <v>8500</v>
      </c>
      <c r="F133" s="1011" t="s">
        <v>1649</v>
      </c>
      <c r="G133" s="1" t="s">
        <v>45</v>
      </c>
      <c r="H133" s="222"/>
      <c r="I133" s="222"/>
      <c r="J133" s="459"/>
      <c r="K133" s="222"/>
      <c r="L133" s="222"/>
      <c r="M133" s="182"/>
    </row>
    <row r="134" spans="1:15">
      <c r="A134" s="1">
        <v>5</v>
      </c>
      <c r="B134" s="408" t="s">
        <v>1650</v>
      </c>
      <c r="C134" s="242" t="s">
        <v>1653</v>
      </c>
      <c r="D134" s="243">
        <v>235832</v>
      </c>
      <c r="E134" s="57">
        <v>8500</v>
      </c>
      <c r="F134" s="1011" t="s">
        <v>1649</v>
      </c>
      <c r="G134" s="1" t="s">
        <v>45</v>
      </c>
      <c r="H134" s="222"/>
      <c r="I134" s="222"/>
      <c r="J134" s="459"/>
      <c r="K134" s="222"/>
      <c r="L134" s="222"/>
      <c r="M134" s="182"/>
    </row>
    <row r="135" spans="1:15" s="44" customFormat="1">
      <c r="A135" s="1">
        <v>6</v>
      </c>
      <c r="B135" s="408" t="s">
        <v>1650</v>
      </c>
      <c r="C135" s="242" t="s">
        <v>1654</v>
      </c>
      <c r="D135" s="243">
        <v>235832</v>
      </c>
      <c r="E135" s="57">
        <v>8500</v>
      </c>
      <c r="F135" s="1011" t="s">
        <v>1649</v>
      </c>
      <c r="G135" s="1" t="s">
        <v>45</v>
      </c>
      <c r="H135" s="49"/>
      <c r="I135" s="49"/>
      <c r="J135" s="406"/>
      <c r="K135" s="49"/>
      <c r="L135" s="49"/>
      <c r="M135" s="182"/>
    </row>
    <row r="136" spans="1:15">
      <c r="A136" s="1">
        <v>7</v>
      </c>
      <c r="B136" s="408" t="s">
        <v>1650</v>
      </c>
      <c r="C136" s="242" t="s">
        <v>1655</v>
      </c>
      <c r="D136" s="243">
        <v>235832</v>
      </c>
      <c r="E136" s="57">
        <v>8500</v>
      </c>
      <c r="F136" s="1011" t="s">
        <v>1649</v>
      </c>
      <c r="G136" s="1" t="s">
        <v>45</v>
      </c>
      <c r="H136" s="222"/>
      <c r="I136" s="222"/>
      <c r="J136" s="459"/>
      <c r="K136" s="222"/>
      <c r="L136" s="222"/>
      <c r="M136" s="182"/>
    </row>
    <row r="137" spans="1:15">
      <c r="A137" s="1">
        <v>8</v>
      </c>
      <c r="B137" s="408" t="s">
        <v>1650</v>
      </c>
      <c r="C137" s="434" t="s">
        <v>1656</v>
      </c>
      <c r="D137" s="243">
        <v>235832</v>
      </c>
      <c r="E137" s="57">
        <v>8500</v>
      </c>
      <c r="F137" s="1011" t="s">
        <v>1649</v>
      </c>
      <c r="G137" s="1" t="s">
        <v>45</v>
      </c>
      <c r="H137" s="222"/>
      <c r="I137" s="222"/>
      <c r="J137" s="459"/>
      <c r="K137" s="222"/>
      <c r="L137" s="222"/>
      <c r="M137" s="182"/>
    </row>
    <row r="138" spans="1:15" s="44" customFormat="1">
      <c r="A138" s="1">
        <v>9</v>
      </c>
      <c r="B138" s="408" t="s">
        <v>2066</v>
      </c>
      <c r="C138" s="434" t="s">
        <v>2067</v>
      </c>
      <c r="D138" s="243">
        <v>22711</v>
      </c>
      <c r="E138" s="1083">
        <v>27800</v>
      </c>
      <c r="F138" s="939" t="s">
        <v>1649</v>
      </c>
      <c r="G138" s="1" t="s">
        <v>45</v>
      </c>
      <c r="H138" s="222"/>
      <c r="I138" s="222"/>
      <c r="J138" s="459"/>
      <c r="K138" s="222"/>
      <c r="L138" s="222"/>
      <c r="M138" s="182" t="s">
        <v>3221</v>
      </c>
      <c r="N138" s="36"/>
      <c r="O138" s="249"/>
    </row>
    <row r="139" spans="1:15">
      <c r="A139" s="1">
        <v>10</v>
      </c>
      <c r="B139" s="408" t="s">
        <v>2066</v>
      </c>
      <c r="C139" s="434" t="s">
        <v>2068</v>
      </c>
      <c r="D139" s="243">
        <v>22711</v>
      </c>
      <c r="E139" s="1083">
        <v>27800</v>
      </c>
      <c r="F139" s="939" t="s">
        <v>1649</v>
      </c>
      <c r="G139" s="1" t="s">
        <v>45</v>
      </c>
      <c r="H139" s="222"/>
      <c r="I139" s="222"/>
      <c r="J139" s="459"/>
      <c r="K139" s="222"/>
      <c r="L139" s="222"/>
      <c r="M139" s="182" t="s">
        <v>3221</v>
      </c>
      <c r="O139" s="249"/>
    </row>
    <row r="140" spans="1:15" ht="21">
      <c r="A140" s="1">
        <v>11</v>
      </c>
      <c r="B140" s="412" t="s">
        <v>3095</v>
      </c>
      <c r="C140" s="413" t="s">
        <v>3096</v>
      </c>
      <c r="D140" s="243">
        <v>242956</v>
      </c>
      <c r="E140" s="1093">
        <v>11950</v>
      </c>
      <c r="F140" s="1193" t="s">
        <v>3136</v>
      </c>
      <c r="G140" s="1" t="s">
        <v>45</v>
      </c>
      <c r="H140" s="222"/>
      <c r="I140" s="222"/>
      <c r="J140" s="459"/>
      <c r="K140" s="222"/>
      <c r="L140" s="222"/>
      <c r="M140" s="182" t="s">
        <v>3531</v>
      </c>
      <c r="O140" s="249"/>
    </row>
    <row r="141" spans="1:15" s="249" customFormat="1" ht="21">
      <c r="A141" s="1">
        <v>12</v>
      </c>
      <c r="B141" s="412" t="s">
        <v>3095</v>
      </c>
      <c r="C141" s="413" t="s">
        <v>3097</v>
      </c>
      <c r="D141" s="243">
        <v>242956</v>
      </c>
      <c r="E141" s="1093">
        <v>11950</v>
      </c>
      <c r="F141" s="1193" t="s">
        <v>3136</v>
      </c>
      <c r="G141" s="1" t="s">
        <v>45</v>
      </c>
      <c r="H141" s="222"/>
      <c r="I141" s="222"/>
      <c r="J141" s="459"/>
      <c r="K141" s="222"/>
      <c r="L141" s="222"/>
      <c r="M141" s="182" t="s">
        <v>3532</v>
      </c>
      <c r="N141" s="36"/>
    </row>
    <row r="142" spans="1:15" s="249" customFormat="1" ht="21">
      <c r="A142" s="1">
        <v>13</v>
      </c>
      <c r="B142" s="412" t="s">
        <v>3095</v>
      </c>
      <c r="C142" s="413" t="s">
        <v>3098</v>
      </c>
      <c r="D142" s="243">
        <v>242956</v>
      </c>
      <c r="E142" s="1093">
        <v>11950</v>
      </c>
      <c r="F142" s="1193" t="s">
        <v>3136</v>
      </c>
      <c r="G142" s="1" t="s">
        <v>45</v>
      </c>
      <c r="H142" s="222"/>
      <c r="I142" s="222"/>
      <c r="J142" s="459"/>
      <c r="K142" s="222"/>
      <c r="L142" s="222"/>
      <c r="M142" s="182" t="s">
        <v>3533</v>
      </c>
      <c r="N142" s="36"/>
      <c r="O142" s="36"/>
    </row>
    <row r="143" spans="1:15" s="249" customFormat="1" ht="21">
      <c r="A143" s="1">
        <v>14</v>
      </c>
      <c r="B143" s="412" t="s">
        <v>3095</v>
      </c>
      <c r="C143" s="413" t="s">
        <v>3099</v>
      </c>
      <c r="D143" s="243">
        <v>242956</v>
      </c>
      <c r="E143" s="1093">
        <v>11950</v>
      </c>
      <c r="F143" s="1193" t="s">
        <v>3136</v>
      </c>
      <c r="G143" s="1" t="s">
        <v>45</v>
      </c>
      <c r="H143" s="222"/>
      <c r="I143" s="222"/>
      <c r="J143" s="459"/>
      <c r="K143" s="222"/>
      <c r="L143" s="222"/>
      <c r="M143" s="182" t="s">
        <v>3534</v>
      </c>
      <c r="N143" s="36"/>
      <c r="O143" s="36"/>
    </row>
    <row r="144" spans="1:15" s="249" customFormat="1" ht="21">
      <c r="A144" s="1">
        <v>15</v>
      </c>
      <c r="B144" s="412" t="s">
        <v>3095</v>
      </c>
      <c r="C144" s="413" t="s">
        <v>3100</v>
      </c>
      <c r="D144" s="243">
        <v>242956</v>
      </c>
      <c r="E144" s="1093">
        <v>11950</v>
      </c>
      <c r="F144" s="1193" t="s">
        <v>3136</v>
      </c>
      <c r="G144" s="1" t="s">
        <v>45</v>
      </c>
      <c r="H144" s="222"/>
      <c r="I144" s="222"/>
      <c r="J144" s="459"/>
      <c r="K144" s="222"/>
      <c r="L144" s="222"/>
      <c r="M144" s="182" t="s">
        <v>3535</v>
      </c>
      <c r="N144" s="36"/>
      <c r="O144" s="36"/>
    </row>
    <row r="145" spans="1:13" ht="21">
      <c r="A145" s="1">
        <v>16</v>
      </c>
      <c r="B145" s="412" t="s">
        <v>3095</v>
      </c>
      <c r="C145" s="413" t="s">
        <v>3101</v>
      </c>
      <c r="D145" s="243">
        <v>242956</v>
      </c>
      <c r="E145" s="1093">
        <v>11950</v>
      </c>
      <c r="F145" s="1193" t="s">
        <v>3136</v>
      </c>
      <c r="G145" s="1" t="s">
        <v>45</v>
      </c>
      <c r="H145" s="222"/>
      <c r="I145" s="222"/>
      <c r="J145" s="459"/>
      <c r="K145" s="222"/>
      <c r="L145" s="222"/>
      <c r="M145" s="182" t="s">
        <v>3451</v>
      </c>
    </row>
    <row r="146" spans="1:13" ht="21">
      <c r="A146" s="1">
        <v>17</v>
      </c>
      <c r="B146" s="412" t="s">
        <v>3095</v>
      </c>
      <c r="C146" s="413" t="s">
        <v>3102</v>
      </c>
      <c r="D146" s="243">
        <v>242956</v>
      </c>
      <c r="E146" s="1093">
        <v>11950</v>
      </c>
      <c r="F146" s="1193" t="s">
        <v>3225</v>
      </c>
      <c r="G146" s="1" t="s">
        <v>45</v>
      </c>
      <c r="H146" s="222"/>
      <c r="I146" s="222"/>
      <c r="J146" s="459"/>
      <c r="K146" s="222"/>
      <c r="L146" s="222"/>
      <c r="M146" s="182" t="s">
        <v>3536</v>
      </c>
    </row>
    <row r="147" spans="1:13" ht="21">
      <c r="A147" s="1">
        <v>18</v>
      </c>
      <c r="B147" s="412" t="s">
        <v>3095</v>
      </c>
      <c r="C147" s="413" t="s">
        <v>3103</v>
      </c>
      <c r="D147" s="243">
        <v>242956</v>
      </c>
      <c r="E147" s="1093">
        <v>11950</v>
      </c>
      <c r="F147" s="1193" t="s">
        <v>3136</v>
      </c>
      <c r="G147" s="1" t="s">
        <v>45</v>
      </c>
      <c r="H147" s="222"/>
      <c r="I147" s="222"/>
      <c r="J147" s="459"/>
      <c r="K147" s="222"/>
      <c r="L147" s="222"/>
      <c r="M147" s="182" t="s">
        <v>3537</v>
      </c>
    </row>
    <row r="148" spans="1:13" ht="21">
      <c r="A148" s="1">
        <v>19</v>
      </c>
      <c r="B148" s="412" t="s">
        <v>3095</v>
      </c>
      <c r="C148" s="413" t="s">
        <v>3104</v>
      </c>
      <c r="D148" s="243">
        <v>242956</v>
      </c>
      <c r="E148" s="1093">
        <v>11950</v>
      </c>
      <c r="F148" s="1193" t="s">
        <v>3136</v>
      </c>
      <c r="G148" s="1" t="s">
        <v>45</v>
      </c>
      <c r="H148" s="222"/>
      <c r="I148" s="222"/>
      <c r="J148" s="459"/>
      <c r="K148" s="222"/>
      <c r="L148" s="222"/>
      <c r="M148" s="182" t="s">
        <v>3451</v>
      </c>
    </row>
    <row r="149" spans="1:13" ht="21">
      <c r="A149" s="1">
        <v>20</v>
      </c>
      <c r="B149" s="412" t="s">
        <v>3095</v>
      </c>
      <c r="C149" s="413" t="s">
        <v>3105</v>
      </c>
      <c r="D149" s="243">
        <v>242956</v>
      </c>
      <c r="E149" s="1093">
        <v>11950</v>
      </c>
      <c r="F149" s="1193" t="s">
        <v>3136</v>
      </c>
      <c r="G149" s="1" t="s">
        <v>45</v>
      </c>
      <c r="H149" s="222"/>
      <c r="I149" s="222"/>
      <c r="J149" s="459"/>
      <c r="K149" s="222"/>
      <c r="L149" s="222"/>
      <c r="M149" s="182" t="s">
        <v>3538</v>
      </c>
    </row>
    <row r="150" spans="1:13" ht="21">
      <c r="A150" s="1">
        <v>21</v>
      </c>
      <c r="B150" s="412" t="s">
        <v>3095</v>
      </c>
      <c r="C150" s="413" t="s">
        <v>3106</v>
      </c>
      <c r="D150" s="243">
        <v>242956</v>
      </c>
      <c r="E150" s="1093">
        <v>11950</v>
      </c>
      <c r="F150" s="1193" t="s">
        <v>3136</v>
      </c>
      <c r="G150" s="1" t="s">
        <v>45</v>
      </c>
      <c r="H150" s="222"/>
      <c r="I150" s="222"/>
      <c r="J150" s="459"/>
      <c r="K150" s="222"/>
      <c r="L150" s="222"/>
      <c r="M150" s="182" t="s">
        <v>3539</v>
      </c>
    </row>
    <row r="151" spans="1:13" ht="21">
      <c r="A151" s="1">
        <v>22</v>
      </c>
      <c r="B151" s="412" t="s">
        <v>3095</v>
      </c>
      <c r="C151" s="413" t="s">
        <v>3107</v>
      </c>
      <c r="D151" s="243">
        <v>242956</v>
      </c>
      <c r="E151" s="1093">
        <v>11950</v>
      </c>
      <c r="F151" s="1193" t="s">
        <v>3136</v>
      </c>
      <c r="G151" s="1" t="s">
        <v>45</v>
      </c>
      <c r="H151" s="222"/>
      <c r="I151" s="222"/>
      <c r="J151" s="459"/>
      <c r="K151" s="222"/>
      <c r="L151" s="222"/>
      <c r="M151" s="182" t="s">
        <v>3540</v>
      </c>
    </row>
    <row r="152" spans="1:13" ht="21">
      <c r="A152" s="1">
        <v>23</v>
      </c>
      <c r="B152" s="412" t="s">
        <v>3095</v>
      </c>
      <c r="C152" s="413" t="s">
        <v>3108</v>
      </c>
      <c r="D152" s="243">
        <v>242956</v>
      </c>
      <c r="E152" s="1093">
        <v>11950</v>
      </c>
      <c r="F152" s="1193" t="s">
        <v>3136</v>
      </c>
      <c r="G152" s="1" t="s">
        <v>45</v>
      </c>
      <c r="H152" s="222"/>
      <c r="I152" s="222"/>
      <c r="J152" s="459"/>
      <c r="K152" s="222"/>
      <c r="L152" s="222"/>
      <c r="M152" s="182" t="s">
        <v>3173</v>
      </c>
    </row>
    <row r="153" spans="1:13" ht="21">
      <c r="A153" s="1">
        <v>24</v>
      </c>
      <c r="B153" s="412" t="s">
        <v>3095</v>
      </c>
      <c r="C153" s="413" t="s">
        <v>3109</v>
      </c>
      <c r="D153" s="243">
        <v>242956</v>
      </c>
      <c r="E153" s="1093">
        <v>11950</v>
      </c>
      <c r="F153" s="1193" t="s">
        <v>3136</v>
      </c>
      <c r="G153" s="1" t="s">
        <v>45</v>
      </c>
      <c r="H153" s="222"/>
      <c r="I153" s="222"/>
      <c r="J153" s="459"/>
      <c r="K153" s="222"/>
      <c r="L153" s="222"/>
      <c r="M153" s="182" t="s">
        <v>3173</v>
      </c>
    </row>
    <row r="154" spans="1:13" ht="21">
      <c r="A154" s="1">
        <v>25</v>
      </c>
      <c r="B154" s="412" t="s">
        <v>3095</v>
      </c>
      <c r="C154" s="413" t="s">
        <v>3110</v>
      </c>
      <c r="D154" s="243">
        <v>242956</v>
      </c>
      <c r="E154" s="1093">
        <v>11950</v>
      </c>
      <c r="F154" s="1193" t="s">
        <v>3136</v>
      </c>
      <c r="G154" s="1" t="s">
        <v>45</v>
      </c>
      <c r="H154" s="222"/>
      <c r="I154" s="222"/>
      <c r="J154" s="459"/>
      <c r="K154" s="222"/>
      <c r="L154" s="222"/>
      <c r="M154" s="182" t="s">
        <v>3173</v>
      </c>
    </row>
    <row r="155" spans="1:13" ht="21">
      <c r="A155" s="1">
        <v>26</v>
      </c>
      <c r="B155" s="412" t="s">
        <v>3095</v>
      </c>
      <c r="C155" s="413" t="s">
        <v>3111</v>
      </c>
      <c r="D155" s="243">
        <v>242956</v>
      </c>
      <c r="E155" s="1093">
        <v>11950</v>
      </c>
      <c r="F155" s="1193" t="s">
        <v>3136</v>
      </c>
      <c r="G155" s="1" t="s">
        <v>45</v>
      </c>
      <c r="H155" s="222"/>
      <c r="I155" s="222"/>
      <c r="J155" s="459"/>
      <c r="K155" s="222"/>
      <c r="L155" s="222"/>
      <c r="M155" s="182" t="s">
        <v>3173</v>
      </c>
    </row>
    <row r="156" spans="1:13" ht="21">
      <c r="A156" s="1">
        <v>27</v>
      </c>
      <c r="B156" s="412" t="s">
        <v>3095</v>
      </c>
      <c r="C156" s="413" t="s">
        <v>3112</v>
      </c>
      <c r="D156" s="243">
        <v>242956</v>
      </c>
      <c r="E156" s="1093">
        <v>11950</v>
      </c>
      <c r="F156" s="1193" t="s">
        <v>3136</v>
      </c>
      <c r="G156" s="1" t="s">
        <v>45</v>
      </c>
      <c r="H156" s="222"/>
      <c r="I156" s="222"/>
      <c r="J156" s="459"/>
      <c r="K156" s="222"/>
      <c r="L156" s="222"/>
      <c r="M156" s="182" t="s">
        <v>3173</v>
      </c>
    </row>
    <row r="157" spans="1:13" ht="21">
      <c r="A157" s="1">
        <v>28</v>
      </c>
      <c r="B157" s="412" t="s">
        <v>3095</v>
      </c>
      <c r="C157" s="413" t="s">
        <v>3113</v>
      </c>
      <c r="D157" s="243">
        <v>242956</v>
      </c>
      <c r="E157" s="1093">
        <v>11950</v>
      </c>
      <c r="F157" s="1193" t="s">
        <v>3136</v>
      </c>
      <c r="G157" s="1" t="s">
        <v>45</v>
      </c>
      <c r="H157" s="222"/>
      <c r="I157" s="222"/>
      <c r="J157" s="459"/>
      <c r="K157" s="222"/>
      <c r="L157" s="222"/>
      <c r="M157" s="182" t="s">
        <v>3173</v>
      </c>
    </row>
    <row r="158" spans="1:13" ht="21">
      <c r="A158" s="1">
        <v>29</v>
      </c>
      <c r="B158" s="412" t="s">
        <v>3095</v>
      </c>
      <c r="C158" s="413" t="s">
        <v>3114</v>
      </c>
      <c r="D158" s="243">
        <v>242956</v>
      </c>
      <c r="E158" s="1093">
        <v>11950</v>
      </c>
      <c r="F158" s="1193" t="s">
        <v>3136</v>
      </c>
      <c r="G158" s="1" t="s">
        <v>45</v>
      </c>
      <c r="H158" s="222"/>
      <c r="I158" s="222"/>
      <c r="J158" s="459"/>
      <c r="K158" s="222"/>
      <c r="L158" s="222"/>
      <c r="M158" s="182" t="s">
        <v>3173</v>
      </c>
    </row>
    <row r="159" spans="1:13" ht="21">
      <c r="A159" s="1">
        <v>30</v>
      </c>
      <c r="B159" s="412" t="s">
        <v>3095</v>
      </c>
      <c r="C159" s="413" t="s">
        <v>3115</v>
      </c>
      <c r="D159" s="243">
        <v>242956</v>
      </c>
      <c r="E159" s="1093">
        <v>11950</v>
      </c>
      <c r="F159" s="1193" t="s">
        <v>3136</v>
      </c>
      <c r="G159" s="1" t="s">
        <v>45</v>
      </c>
      <c r="H159" s="222"/>
      <c r="I159" s="222"/>
      <c r="J159" s="459"/>
      <c r="K159" s="222"/>
      <c r="L159" s="222"/>
      <c r="M159" s="182" t="s">
        <v>3173</v>
      </c>
    </row>
    <row r="160" spans="1:13" ht="21">
      <c r="A160" s="1">
        <v>31</v>
      </c>
      <c r="B160" s="412" t="s">
        <v>3095</v>
      </c>
      <c r="C160" s="413" t="s">
        <v>3116</v>
      </c>
      <c r="D160" s="243">
        <v>242956</v>
      </c>
      <c r="E160" s="1093">
        <v>11950</v>
      </c>
      <c r="F160" s="1193" t="s">
        <v>3136</v>
      </c>
      <c r="G160" s="1" t="s">
        <v>45</v>
      </c>
      <c r="H160" s="222"/>
      <c r="I160" s="222"/>
      <c r="J160" s="459"/>
      <c r="K160" s="222"/>
      <c r="L160" s="222"/>
      <c r="M160" s="182" t="s">
        <v>3173</v>
      </c>
    </row>
    <row r="161" spans="1:13" ht="21">
      <c r="A161" s="1">
        <v>32</v>
      </c>
      <c r="B161" s="412" t="s">
        <v>3095</v>
      </c>
      <c r="C161" s="413" t="s">
        <v>3117</v>
      </c>
      <c r="D161" s="243">
        <v>242956</v>
      </c>
      <c r="E161" s="1093">
        <v>11950</v>
      </c>
      <c r="F161" s="1193" t="s">
        <v>3136</v>
      </c>
      <c r="G161" s="1" t="s">
        <v>45</v>
      </c>
      <c r="H161" s="222"/>
      <c r="I161" s="222"/>
      <c r="J161" s="459"/>
      <c r="K161" s="222"/>
      <c r="L161" s="222"/>
      <c r="M161" s="182" t="s">
        <v>3173</v>
      </c>
    </row>
    <row r="162" spans="1:13" ht="21">
      <c r="A162" s="1">
        <v>33</v>
      </c>
      <c r="B162" s="412" t="s">
        <v>3095</v>
      </c>
      <c r="C162" s="413" t="s">
        <v>3118</v>
      </c>
      <c r="D162" s="243">
        <v>242956</v>
      </c>
      <c r="E162" s="1093">
        <v>11950</v>
      </c>
      <c r="F162" s="1193" t="s">
        <v>3136</v>
      </c>
      <c r="G162" s="1" t="s">
        <v>45</v>
      </c>
      <c r="H162" s="222"/>
      <c r="I162" s="222"/>
      <c r="J162" s="459"/>
      <c r="K162" s="222"/>
      <c r="L162" s="222"/>
      <c r="M162" s="182" t="s">
        <v>3173</v>
      </c>
    </row>
    <row r="163" spans="1:13" ht="21">
      <c r="A163" s="1">
        <v>34</v>
      </c>
      <c r="B163" s="412" t="s">
        <v>3095</v>
      </c>
      <c r="C163" s="413" t="s">
        <v>3119</v>
      </c>
      <c r="D163" s="243">
        <v>242956</v>
      </c>
      <c r="E163" s="1093">
        <v>11950</v>
      </c>
      <c r="F163" s="1193" t="s">
        <v>3136</v>
      </c>
      <c r="G163" s="1" t="s">
        <v>45</v>
      </c>
      <c r="H163" s="222"/>
      <c r="I163" s="222"/>
      <c r="J163" s="459"/>
      <c r="K163" s="222"/>
      <c r="L163" s="222"/>
      <c r="M163" s="182" t="s">
        <v>3173</v>
      </c>
    </row>
    <row r="164" spans="1:13" ht="21">
      <c r="A164" s="1">
        <v>35</v>
      </c>
      <c r="B164" s="412" t="s">
        <v>3095</v>
      </c>
      <c r="C164" s="413" t="s">
        <v>3120</v>
      </c>
      <c r="D164" s="243">
        <v>242956</v>
      </c>
      <c r="E164" s="1093">
        <v>11950</v>
      </c>
      <c r="F164" s="1193" t="s">
        <v>3136</v>
      </c>
      <c r="G164" s="1" t="s">
        <v>45</v>
      </c>
      <c r="H164" s="222"/>
      <c r="I164" s="222"/>
      <c r="J164" s="459"/>
      <c r="K164" s="222"/>
      <c r="L164" s="222"/>
      <c r="M164" s="182" t="s">
        <v>3173</v>
      </c>
    </row>
    <row r="165" spans="1:13" ht="21">
      <c r="A165" s="1">
        <v>36</v>
      </c>
      <c r="B165" s="412" t="s">
        <v>3095</v>
      </c>
      <c r="C165" s="413" t="s">
        <v>3121</v>
      </c>
      <c r="D165" s="243">
        <v>242956</v>
      </c>
      <c r="E165" s="1093">
        <v>11950</v>
      </c>
      <c r="F165" s="1193" t="s">
        <v>3136</v>
      </c>
      <c r="G165" s="1" t="s">
        <v>45</v>
      </c>
      <c r="H165" s="222"/>
      <c r="I165" s="222"/>
      <c r="J165" s="459"/>
      <c r="K165" s="222"/>
      <c r="L165" s="222"/>
      <c r="M165" s="182" t="s">
        <v>3173</v>
      </c>
    </row>
    <row r="166" spans="1:13" ht="21">
      <c r="A166" s="1">
        <v>37</v>
      </c>
      <c r="B166" s="412" t="s">
        <v>3095</v>
      </c>
      <c r="C166" s="413" t="s">
        <v>3122</v>
      </c>
      <c r="D166" s="243">
        <v>242956</v>
      </c>
      <c r="E166" s="1093">
        <v>11950</v>
      </c>
      <c r="F166" s="1193" t="s">
        <v>3136</v>
      </c>
      <c r="G166" s="1" t="s">
        <v>45</v>
      </c>
      <c r="H166" s="222"/>
      <c r="I166" s="222"/>
      <c r="J166" s="459"/>
      <c r="K166" s="222"/>
      <c r="L166" s="222"/>
      <c r="M166" s="182" t="s">
        <v>3173</v>
      </c>
    </row>
    <row r="167" spans="1:13" ht="21">
      <c r="A167" s="1">
        <v>38</v>
      </c>
      <c r="B167" s="412" t="s">
        <v>3095</v>
      </c>
      <c r="C167" s="413" t="s">
        <v>3123</v>
      </c>
      <c r="D167" s="243">
        <v>242956</v>
      </c>
      <c r="E167" s="1093">
        <v>11950</v>
      </c>
      <c r="F167" s="1193" t="s">
        <v>3136</v>
      </c>
      <c r="G167" s="1" t="s">
        <v>45</v>
      </c>
      <c r="H167" s="222"/>
      <c r="I167" s="222"/>
      <c r="J167" s="459"/>
      <c r="K167" s="222"/>
      <c r="L167" s="222"/>
      <c r="M167" s="182" t="s">
        <v>3173</v>
      </c>
    </row>
    <row r="168" spans="1:13" ht="21">
      <c r="A168" s="1">
        <v>39</v>
      </c>
      <c r="B168" s="412" t="s">
        <v>3095</v>
      </c>
      <c r="C168" s="413" t="s">
        <v>3124</v>
      </c>
      <c r="D168" s="243">
        <v>242956</v>
      </c>
      <c r="E168" s="1093">
        <v>11950</v>
      </c>
      <c r="F168" s="1193" t="s">
        <v>3136</v>
      </c>
      <c r="G168" s="1" t="s">
        <v>45</v>
      </c>
      <c r="H168" s="222"/>
      <c r="I168" s="222"/>
      <c r="J168" s="459"/>
      <c r="K168" s="222"/>
      <c r="L168" s="222"/>
      <c r="M168" s="182" t="s">
        <v>3173</v>
      </c>
    </row>
    <row r="169" spans="1:13" ht="21">
      <c r="A169" s="1">
        <v>40</v>
      </c>
      <c r="B169" s="412" t="s">
        <v>3095</v>
      </c>
      <c r="C169" s="413" t="s">
        <v>3125</v>
      </c>
      <c r="D169" s="243">
        <v>242956</v>
      </c>
      <c r="E169" s="1093">
        <v>11950</v>
      </c>
      <c r="F169" s="1193" t="s">
        <v>3136</v>
      </c>
      <c r="G169" s="1" t="s">
        <v>45</v>
      </c>
      <c r="H169" s="222"/>
      <c r="I169" s="222"/>
      <c r="J169" s="459"/>
      <c r="K169" s="222"/>
      <c r="L169" s="222"/>
      <c r="M169" s="182" t="s">
        <v>3173</v>
      </c>
    </row>
    <row r="170" spans="1:13" ht="21">
      <c r="A170" s="1">
        <v>41</v>
      </c>
      <c r="B170" s="412" t="s">
        <v>3095</v>
      </c>
      <c r="C170" s="413" t="s">
        <v>3126</v>
      </c>
      <c r="D170" s="243">
        <v>242956</v>
      </c>
      <c r="E170" s="1093">
        <v>11950</v>
      </c>
      <c r="F170" s="1193" t="s">
        <v>3136</v>
      </c>
      <c r="G170" s="1" t="s">
        <v>45</v>
      </c>
      <c r="H170" s="222"/>
      <c r="I170" s="222"/>
      <c r="J170" s="459"/>
      <c r="K170" s="222"/>
      <c r="L170" s="222"/>
      <c r="M170" s="182" t="s">
        <v>3173</v>
      </c>
    </row>
    <row r="171" spans="1:13" ht="21">
      <c r="A171" s="1">
        <v>42</v>
      </c>
      <c r="B171" s="412" t="s">
        <v>3095</v>
      </c>
      <c r="C171" s="413" t="s">
        <v>3127</v>
      </c>
      <c r="D171" s="243">
        <v>242956</v>
      </c>
      <c r="E171" s="1093">
        <v>11950</v>
      </c>
      <c r="F171" s="1193" t="s">
        <v>3136</v>
      </c>
      <c r="G171" s="1" t="s">
        <v>45</v>
      </c>
      <c r="H171" s="222"/>
      <c r="I171" s="222"/>
      <c r="J171" s="459"/>
      <c r="K171" s="222"/>
      <c r="L171" s="222"/>
      <c r="M171" s="182" t="s">
        <v>3173</v>
      </c>
    </row>
    <row r="172" spans="1:13" ht="21">
      <c r="A172" s="1">
        <v>43</v>
      </c>
      <c r="B172" s="412" t="s">
        <v>3095</v>
      </c>
      <c r="C172" s="413" t="s">
        <v>3128</v>
      </c>
      <c r="D172" s="243">
        <v>242956</v>
      </c>
      <c r="E172" s="1093">
        <v>11950</v>
      </c>
      <c r="F172" s="1193" t="s">
        <v>3136</v>
      </c>
      <c r="G172" s="1" t="s">
        <v>45</v>
      </c>
      <c r="H172" s="222"/>
      <c r="I172" s="222"/>
      <c r="J172" s="459"/>
      <c r="K172" s="222"/>
      <c r="L172" s="222"/>
      <c r="M172" s="182" t="s">
        <v>3173</v>
      </c>
    </row>
    <row r="173" spans="1:13" ht="21">
      <c r="A173" s="1">
        <v>44</v>
      </c>
      <c r="B173" s="412" t="s">
        <v>3095</v>
      </c>
      <c r="C173" s="413" t="s">
        <v>3129</v>
      </c>
      <c r="D173" s="243">
        <v>242956</v>
      </c>
      <c r="E173" s="1093">
        <v>11950</v>
      </c>
      <c r="F173" s="1193" t="s">
        <v>3136</v>
      </c>
      <c r="G173" s="1" t="s">
        <v>45</v>
      </c>
      <c r="H173" s="222"/>
      <c r="I173" s="222"/>
      <c r="J173" s="459"/>
      <c r="K173" s="222"/>
      <c r="L173" s="222"/>
      <c r="M173" s="182" t="s">
        <v>3173</v>
      </c>
    </row>
    <row r="174" spans="1:13" ht="21">
      <c r="A174" s="1">
        <v>45</v>
      </c>
      <c r="B174" s="412" t="s">
        <v>3095</v>
      </c>
      <c r="C174" s="413" t="s">
        <v>3130</v>
      </c>
      <c r="D174" s="243">
        <v>242956</v>
      </c>
      <c r="E174" s="1093">
        <v>11950</v>
      </c>
      <c r="F174" s="1193" t="s">
        <v>3136</v>
      </c>
      <c r="G174" s="1" t="s">
        <v>45</v>
      </c>
      <c r="H174" s="222"/>
      <c r="I174" s="222"/>
      <c r="J174" s="459"/>
      <c r="K174" s="222"/>
      <c r="L174" s="222"/>
      <c r="M174" s="182" t="s">
        <v>3173</v>
      </c>
    </row>
    <row r="175" spans="1:13" ht="21">
      <c r="A175" s="1">
        <v>46</v>
      </c>
      <c r="B175" s="412" t="s">
        <v>3095</v>
      </c>
      <c r="C175" s="413" t="s">
        <v>3131</v>
      </c>
      <c r="D175" s="243">
        <v>242956</v>
      </c>
      <c r="E175" s="1093">
        <v>11950</v>
      </c>
      <c r="F175" s="1193" t="s">
        <v>3136</v>
      </c>
      <c r="G175" s="1" t="s">
        <v>45</v>
      </c>
      <c r="H175" s="222"/>
      <c r="I175" s="222"/>
      <c r="J175" s="459"/>
      <c r="K175" s="222"/>
      <c r="L175" s="222"/>
      <c r="M175" s="182" t="s">
        <v>3173</v>
      </c>
    </row>
    <row r="176" spans="1:13" ht="21">
      <c r="A176" s="1">
        <v>47</v>
      </c>
      <c r="B176" s="412" t="s">
        <v>3095</v>
      </c>
      <c r="C176" s="413" t="s">
        <v>3132</v>
      </c>
      <c r="D176" s="243">
        <v>242956</v>
      </c>
      <c r="E176" s="1093">
        <v>11950</v>
      </c>
      <c r="F176" s="1193" t="s">
        <v>3136</v>
      </c>
      <c r="G176" s="1" t="s">
        <v>45</v>
      </c>
      <c r="H176" s="222"/>
      <c r="I176" s="222"/>
      <c r="J176" s="459"/>
      <c r="K176" s="222"/>
      <c r="L176" s="222"/>
      <c r="M176" s="182" t="s">
        <v>3173</v>
      </c>
    </row>
    <row r="177" spans="1:15" ht="21">
      <c r="A177" s="1">
        <v>48</v>
      </c>
      <c r="B177" s="412" t="s">
        <v>3095</v>
      </c>
      <c r="C177" s="413" t="s">
        <v>3133</v>
      </c>
      <c r="D177" s="243">
        <v>242956</v>
      </c>
      <c r="E177" s="1093">
        <v>11950</v>
      </c>
      <c r="F177" s="1193" t="s">
        <v>3136</v>
      </c>
      <c r="G177" s="1" t="s">
        <v>45</v>
      </c>
      <c r="H177" s="222"/>
      <c r="I177" s="222"/>
      <c r="J177" s="459"/>
      <c r="K177" s="222"/>
      <c r="L177" s="222"/>
      <c r="M177" s="182" t="s">
        <v>3173</v>
      </c>
    </row>
    <row r="178" spans="1:15" ht="21">
      <c r="A178" s="1">
        <v>49</v>
      </c>
      <c r="B178" s="412" t="s">
        <v>3095</v>
      </c>
      <c r="C178" s="413" t="s">
        <v>3134</v>
      </c>
      <c r="D178" s="243">
        <v>242956</v>
      </c>
      <c r="E178" s="1093">
        <v>11950</v>
      </c>
      <c r="F178" s="1193" t="s">
        <v>3136</v>
      </c>
      <c r="G178" s="1" t="s">
        <v>45</v>
      </c>
      <c r="H178" s="222"/>
      <c r="I178" s="222"/>
      <c r="J178" s="459"/>
      <c r="K178" s="222"/>
      <c r="L178" s="222"/>
      <c r="M178" s="182" t="s">
        <v>3173</v>
      </c>
    </row>
    <row r="179" spans="1:15" ht="21">
      <c r="A179" s="1">
        <v>50</v>
      </c>
      <c r="B179" s="412" t="s">
        <v>3095</v>
      </c>
      <c r="C179" s="413" t="s">
        <v>3135</v>
      </c>
      <c r="D179" s="243">
        <v>242956</v>
      </c>
      <c r="E179" s="1093">
        <v>11950</v>
      </c>
      <c r="F179" s="1193" t="s">
        <v>3136</v>
      </c>
      <c r="G179" s="1" t="s">
        <v>45</v>
      </c>
      <c r="H179" s="222"/>
      <c r="I179" s="222"/>
      <c r="J179" s="459"/>
      <c r="K179" s="222"/>
      <c r="L179" s="222"/>
      <c r="M179" s="182" t="s">
        <v>3173</v>
      </c>
    </row>
    <row r="180" spans="1:15" s="914" customFormat="1" ht="20.25" thickBot="1">
      <c r="A180" s="909">
        <v>50</v>
      </c>
      <c r="B180" s="970"/>
      <c r="C180" s="1006"/>
      <c r="D180" s="910" t="s">
        <v>64</v>
      </c>
      <c r="E180" s="911">
        <f>SUM(E130:E179)</f>
        <v>606600</v>
      </c>
      <c r="F180" s="909"/>
      <c r="G180" s="909"/>
      <c r="H180" s="937"/>
      <c r="I180" s="937"/>
      <c r="J180" s="1007"/>
      <c r="K180" s="937"/>
      <c r="L180" s="937"/>
      <c r="M180" s="1003"/>
    </row>
    <row r="181" spans="1:15" ht="20.25" thickTop="1">
      <c r="A181" s="261"/>
      <c r="B181" s="455" t="s">
        <v>2061</v>
      </c>
      <c r="C181" s="456"/>
      <c r="D181" s="457"/>
      <c r="E181" s="458"/>
      <c r="F181" s="261"/>
      <c r="G181" s="222"/>
      <c r="H181" s="222"/>
      <c r="I181" s="222"/>
      <c r="J181" s="459"/>
      <c r="K181" s="222"/>
      <c r="L181" s="222"/>
      <c r="M181" s="182"/>
    </row>
    <row r="182" spans="1:15">
      <c r="A182" s="1">
        <v>1</v>
      </c>
      <c r="B182" s="2" t="s">
        <v>2062</v>
      </c>
      <c r="C182" s="1" t="s">
        <v>2063</v>
      </c>
      <c r="D182" s="4">
        <v>22361</v>
      </c>
      <c r="E182" s="1096">
        <v>30360</v>
      </c>
      <c r="F182" s="939" t="s">
        <v>1649</v>
      </c>
      <c r="G182" s="1" t="s">
        <v>45</v>
      </c>
      <c r="H182" s="1"/>
      <c r="I182" s="1"/>
      <c r="J182" s="1"/>
      <c r="K182" s="1"/>
      <c r="L182" s="1"/>
      <c r="M182" s="182"/>
      <c r="N182" s="46"/>
    </row>
    <row r="183" spans="1:15" s="914" customFormat="1" ht="20.25" thickBot="1">
      <c r="A183" s="909">
        <v>1</v>
      </c>
      <c r="B183" s="970"/>
      <c r="C183" s="1006"/>
      <c r="D183" s="910" t="s">
        <v>64</v>
      </c>
      <c r="E183" s="911">
        <f>SUM(E182:E182)</f>
        <v>30360</v>
      </c>
      <c r="F183" s="909"/>
      <c r="G183" s="909"/>
      <c r="H183" s="937"/>
      <c r="I183" s="937"/>
      <c r="J183" s="1007"/>
      <c r="K183" s="937"/>
      <c r="L183" s="937"/>
      <c r="M183" s="1003"/>
    </row>
    <row r="184" spans="1:15" ht="20.25" thickTop="1">
      <c r="A184" s="261"/>
      <c r="B184" s="455" t="s">
        <v>2205</v>
      </c>
      <c r="C184" s="456"/>
      <c r="D184" s="457"/>
      <c r="E184" s="458"/>
      <c r="F184" s="261"/>
      <c r="G184" s="222"/>
      <c r="H184" s="222"/>
      <c r="I184" s="222"/>
      <c r="J184" s="459"/>
      <c r="K184" s="222"/>
      <c r="L184" s="222"/>
      <c r="M184" s="182"/>
    </row>
    <row r="185" spans="1:15">
      <c r="A185" s="1">
        <v>1</v>
      </c>
      <c r="B185" s="2" t="s">
        <v>2204</v>
      </c>
      <c r="C185" s="1" t="s">
        <v>2206</v>
      </c>
      <c r="D185" s="4">
        <v>16886</v>
      </c>
      <c r="E185" s="253">
        <v>6500</v>
      </c>
      <c r="F185" s="160" t="s">
        <v>2433</v>
      </c>
      <c r="G185" s="1" t="s">
        <v>45</v>
      </c>
      <c r="H185" s="1"/>
      <c r="I185" s="1"/>
      <c r="J185" s="1"/>
      <c r="K185" s="1"/>
      <c r="L185" s="1"/>
      <c r="M185" s="182"/>
      <c r="N185" s="46"/>
    </row>
    <row r="186" spans="1:15">
      <c r="A186" s="1">
        <v>2</v>
      </c>
      <c r="B186" s="2" t="s">
        <v>3291</v>
      </c>
      <c r="C186" s="1" t="s">
        <v>3292</v>
      </c>
      <c r="D186" s="4" t="s">
        <v>3294</v>
      </c>
      <c r="E186" s="1113">
        <v>6000</v>
      </c>
      <c r="F186" s="1177" t="s">
        <v>4036</v>
      </c>
      <c r="G186" s="1" t="s">
        <v>45</v>
      </c>
      <c r="H186" s="1"/>
      <c r="I186" s="1"/>
      <c r="J186" s="1"/>
      <c r="K186" s="1"/>
      <c r="L186" s="1"/>
      <c r="M186" s="182"/>
      <c r="N186" s="46"/>
      <c r="O186" s="46"/>
    </row>
    <row r="187" spans="1:15">
      <c r="A187" s="1">
        <v>3</v>
      </c>
      <c r="B187" s="2" t="s">
        <v>3291</v>
      </c>
      <c r="C187" s="1" t="s">
        <v>3293</v>
      </c>
      <c r="D187" s="4" t="s">
        <v>3295</v>
      </c>
      <c r="E187" s="1113">
        <v>6000</v>
      </c>
      <c r="F187" s="1177" t="s">
        <v>4036</v>
      </c>
      <c r="G187" s="1" t="s">
        <v>45</v>
      </c>
      <c r="H187" s="1"/>
      <c r="I187" s="1"/>
      <c r="J187" s="1"/>
      <c r="K187" s="1"/>
      <c r="L187" s="1"/>
      <c r="M187" s="182"/>
      <c r="N187" s="46"/>
    </row>
    <row r="188" spans="1:15" s="914" customFormat="1" ht="20.25" thickBot="1">
      <c r="A188" s="909">
        <v>3</v>
      </c>
      <c r="B188" s="970"/>
      <c r="C188" s="1006"/>
      <c r="D188" s="910" t="s">
        <v>64</v>
      </c>
      <c r="E188" s="911">
        <f>SUM(E185:E187)</f>
        <v>18500</v>
      </c>
      <c r="F188" s="909"/>
      <c r="G188" s="909"/>
      <c r="H188" s="937"/>
      <c r="I188" s="937"/>
      <c r="J188" s="1007"/>
      <c r="K188" s="937"/>
      <c r="L188" s="937"/>
      <c r="M188" s="1003"/>
    </row>
    <row r="189" spans="1:15" s="46" customFormat="1" ht="20.25" thickTop="1">
      <c r="A189" s="261"/>
      <c r="B189" s="455" t="s">
        <v>2059</v>
      </c>
      <c r="C189" s="456"/>
      <c r="D189" s="457"/>
      <c r="E189" s="458"/>
      <c r="F189" s="261"/>
      <c r="G189" s="222"/>
      <c r="H189" s="222"/>
      <c r="I189" s="222"/>
      <c r="J189" s="459"/>
      <c r="K189" s="222"/>
      <c r="L189" s="222"/>
      <c r="M189" s="182"/>
      <c r="N189" s="36"/>
    </row>
    <row r="190" spans="1:15">
      <c r="A190" s="1">
        <v>1</v>
      </c>
      <c r="B190" s="460" t="s">
        <v>2064</v>
      </c>
      <c r="C190" s="242" t="s">
        <v>2065</v>
      </c>
      <c r="D190" s="243">
        <v>19203</v>
      </c>
      <c r="E190" s="181">
        <v>27500</v>
      </c>
      <c r="F190" s="1009" t="s">
        <v>1508</v>
      </c>
      <c r="G190" s="1" t="s">
        <v>45</v>
      </c>
      <c r="H190" s="49"/>
      <c r="I190" s="49"/>
      <c r="J190" s="406"/>
      <c r="K190" s="49"/>
      <c r="L190" s="49"/>
      <c r="M190" s="182"/>
      <c r="N190" s="44"/>
      <c r="O190" s="46"/>
    </row>
    <row r="191" spans="1:15" s="914" customFormat="1" ht="20.25" thickBot="1">
      <c r="A191" s="909">
        <v>1</v>
      </c>
      <c r="B191" s="970"/>
      <c r="C191" s="1006"/>
      <c r="D191" s="910" t="s">
        <v>64</v>
      </c>
      <c r="E191" s="911">
        <f>SUM(E190:E190)</f>
        <v>27500</v>
      </c>
      <c r="F191" s="909"/>
      <c r="G191" s="909"/>
      <c r="H191" s="937"/>
      <c r="I191" s="937"/>
      <c r="J191" s="1007"/>
      <c r="K191" s="937"/>
      <c r="L191" s="937"/>
      <c r="M191" s="1003"/>
      <c r="O191" s="1008"/>
    </row>
    <row r="192" spans="1:15" s="46" customFormat="1" ht="20.25" thickTop="1">
      <c r="A192" s="261"/>
      <c r="B192" s="455" t="s">
        <v>2190</v>
      </c>
      <c r="C192" s="456"/>
      <c r="D192" s="457"/>
      <c r="E192" s="458"/>
      <c r="F192" s="261"/>
      <c r="G192" s="222"/>
      <c r="H192" s="222"/>
      <c r="I192" s="222"/>
      <c r="J192" s="459"/>
      <c r="K192" s="222"/>
      <c r="L192" s="222"/>
      <c r="M192" s="182"/>
      <c r="N192" s="36"/>
      <c r="O192" s="36"/>
    </row>
    <row r="193" spans="1:15" s="46" customFormat="1">
      <c r="A193" s="1">
        <v>1</v>
      </c>
      <c r="B193" s="460" t="s">
        <v>2191</v>
      </c>
      <c r="C193" s="242" t="s">
        <v>2192</v>
      </c>
      <c r="D193" s="243">
        <v>18851</v>
      </c>
      <c r="E193" s="181">
        <v>17000</v>
      </c>
      <c r="F193" s="1177" t="s">
        <v>2433</v>
      </c>
      <c r="G193" s="1" t="s">
        <v>45</v>
      </c>
      <c r="H193" s="49"/>
      <c r="I193" s="49"/>
      <c r="J193" s="406"/>
      <c r="K193" s="49"/>
      <c r="L193" s="49"/>
      <c r="M193" s="182"/>
      <c r="N193" s="44"/>
      <c r="O193" s="36"/>
    </row>
    <row r="194" spans="1:15" s="1008" customFormat="1" ht="20.25" thickBot="1">
      <c r="A194" s="909">
        <v>1</v>
      </c>
      <c r="B194" s="970"/>
      <c r="C194" s="1006"/>
      <c r="D194" s="910" t="s">
        <v>64</v>
      </c>
      <c r="E194" s="911">
        <f>SUM(E193:E193)</f>
        <v>17000</v>
      </c>
      <c r="F194" s="909"/>
      <c r="G194" s="909"/>
      <c r="H194" s="937"/>
      <c r="I194" s="937"/>
      <c r="J194" s="1007"/>
      <c r="K194" s="937"/>
      <c r="L194" s="937"/>
      <c r="M194" s="1003"/>
      <c r="N194" s="914"/>
      <c r="O194" s="960"/>
    </row>
    <row r="195" spans="1:15" ht="20.25" thickTop="1">
      <c r="A195" s="1"/>
      <c r="B195" s="2"/>
      <c r="C195" s="1"/>
      <c r="D195" s="4"/>
      <c r="E195" s="187"/>
      <c r="F195" s="1"/>
      <c r="G195" s="1"/>
      <c r="H195" s="1"/>
      <c r="I195" s="1"/>
      <c r="J195" s="1"/>
      <c r="K195" s="1"/>
      <c r="L195" s="1"/>
      <c r="M195" s="182"/>
      <c r="N195" s="46"/>
    </row>
    <row r="196" spans="1:15" s="1002" customFormat="1" ht="20.25" thickBot="1">
      <c r="A196" s="997">
        <f>A194+A191+A188+A183+A180+A128+A124+A109+A105+A102+A71+A31+A25+A20+A14</f>
        <v>155</v>
      </c>
      <c r="B196" s="998"/>
      <c r="C196" s="997"/>
      <c r="D196" s="999" t="s">
        <v>1723</v>
      </c>
      <c r="E196" s="1000">
        <f>E194+E191+E188+E183+E180+E128+E124+E109+E105+E102+E71+E31+E25+E20+E14</f>
        <v>2436654.4999999995</v>
      </c>
      <c r="F196" s="997"/>
      <c r="G196" s="997"/>
      <c r="H196" s="997"/>
      <c r="I196" s="997"/>
      <c r="J196" s="997"/>
      <c r="K196" s="997"/>
      <c r="L196" s="997"/>
      <c r="M196" s="1001"/>
    </row>
    <row r="197" spans="1:15" s="44" customFormat="1" ht="20.25" thickTop="1">
      <c r="A197" s="36"/>
      <c r="B197" s="36"/>
      <c r="C197" s="36"/>
      <c r="D197" s="36"/>
      <c r="E197" s="220"/>
      <c r="F197" s="534"/>
      <c r="G197" s="36"/>
      <c r="H197" s="36"/>
      <c r="I197" s="36"/>
      <c r="J197" s="36"/>
      <c r="K197" s="36"/>
      <c r="L197" s="36"/>
      <c r="M197" s="422"/>
      <c r="N197" s="36"/>
    </row>
    <row r="199" spans="1:15">
      <c r="O199" s="46"/>
    </row>
    <row r="200" spans="1:15" s="44" customFormat="1">
      <c r="A200" s="36"/>
      <c r="B200" s="36"/>
      <c r="C200" s="36"/>
      <c r="D200" s="36"/>
      <c r="E200" s="220"/>
      <c r="F200" s="534"/>
      <c r="G200" s="36"/>
      <c r="H200" s="36"/>
      <c r="I200" s="36"/>
      <c r="J200" s="36"/>
      <c r="K200" s="36"/>
      <c r="L200" s="36"/>
      <c r="M200" s="422"/>
      <c r="N200" s="36"/>
      <c r="O200" s="36"/>
    </row>
    <row r="202" spans="1:15" s="46" customFormat="1">
      <c r="A202" s="36"/>
      <c r="B202" s="36"/>
      <c r="C202" s="36"/>
      <c r="D202" s="36"/>
      <c r="E202" s="220"/>
      <c r="F202" s="534"/>
      <c r="G202" s="36"/>
      <c r="H202" s="36"/>
      <c r="I202" s="36"/>
      <c r="J202" s="36"/>
      <c r="K202" s="36"/>
      <c r="L202" s="36"/>
      <c r="M202" s="422"/>
      <c r="N202" s="36"/>
      <c r="O202" s="36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60" type="noConversion"/>
  <dataValidations disablePrompts="1" count="1">
    <dataValidation operator="greaterThanOrEqual" allowBlank="1" showInputMessage="1" showErrorMessage="1" sqref="B103:B104 B55:B67 B106:B108" xr:uid="{00000000-0002-0000-0700-000000000000}"/>
  </dataValidations>
  <pageMargins left="0.15748031496062992" right="0.15748031496062992" top="0.39370078740157483" bottom="0.47244094488188981" header="0.31496062992125984" footer="0.31496062992125984"/>
  <pageSetup paperSize="9" scale="84" orientation="landscape" horizont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N83"/>
  <sheetViews>
    <sheetView view="pageBreakPreview" zoomScale="90" zoomScaleSheetLayoutView="90" workbookViewId="0">
      <selection activeCell="F31" activeCellId="2" sqref="F79 F52 F31"/>
    </sheetView>
  </sheetViews>
  <sheetFormatPr defaultColWidth="9" defaultRowHeight="14.25"/>
  <cols>
    <col min="1" max="1" width="5.25" style="36" customWidth="1"/>
    <col min="2" max="2" width="37.25" style="36" customWidth="1"/>
    <col min="3" max="3" width="12.25" style="36" customWidth="1"/>
    <col min="4" max="4" width="12.125" style="36" customWidth="1"/>
    <col min="5" max="5" width="16.125" style="220" customWidth="1"/>
    <col min="6" max="6" width="11" style="36" customWidth="1"/>
    <col min="7" max="12" width="4.625" style="36" customWidth="1"/>
    <col min="13" max="13" width="17.625" style="36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55"/>
    </row>
    <row r="7" spans="1:13" ht="19.5">
      <c r="A7" s="42"/>
      <c r="B7" s="5" t="s">
        <v>1741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21.75">
      <c r="A8" s="1"/>
      <c r="B8" s="305" t="s">
        <v>856</v>
      </c>
      <c r="C8" s="1"/>
      <c r="D8" s="233"/>
      <c r="E8" s="461"/>
      <c r="F8" s="1"/>
      <c r="G8" s="1"/>
      <c r="H8" s="1"/>
      <c r="I8" s="1"/>
      <c r="J8" s="1"/>
      <c r="K8" s="1"/>
      <c r="L8" s="1"/>
      <c r="M8" s="2"/>
    </row>
    <row r="9" spans="1:13" ht="19.5">
      <c r="A9" s="1">
        <v>1</v>
      </c>
      <c r="B9" s="306" t="s">
        <v>857</v>
      </c>
      <c r="C9" s="1" t="s">
        <v>858</v>
      </c>
      <c r="D9" s="4">
        <v>14981</v>
      </c>
      <c r="E9" s="57">
        <v>0</v>
      </c>
      <c r="F9" s="1127" t="s">
        <v>2433</v>
      </c>
      <c r="G9" s="1" t="s">
        <v>45</v>
      </c>
      <c r="H9" s="1"/>
      <c r="I9" s="1"/>
      <c r="J9" s="1"/>
      <c r="K9" s="1"/>
      <c r="L9" s="1"/>
      <c r="M9" s="2"/>
    </row>
    <row r="10" spans="1:13" ht="19.5">
      <c r="A10" s="1">
        <v>2</v>
      </c>
      <c r="B10" s="306" t="s">
        <v>857</v>
      </c>
      <c r="C10" s="1" t="s">
        <v>859</v>
      </c>
      <c r="D10" s="4">
        <v>14981</v>
      </c>
      <c r="E10" s="57">
        <v>0</v>
      </c>
      <c r="F10" s="1127" t="s">
        <v>2433</v>
      </c>
      <c r="G10" s="1" t="s">
        <v>45</v>
      </c>
      <c r="H10" s="1"/>
      <c r="I10" s="1"/>
      <c r="J10" s="1"/>
      <c r="K10" s="1"/>
      <c r="L10" s="1"/>
      <c r="M10" s="2"/>
    </row>
    <row r="11" spans="1:13" ht="19.5">
      <c r="A11" s="1">
        <v>3</v>
      </c>
      <c r="B11" s="306" t="s">
        <v>860</v>
      </c>
      <c r="C11" s="1" t="s">
        <v>861</v>
      </c>
      <c r="D11" s="4">
        <v>17832</v>
      </c>
      <c r="E11" s="57">
        <v>0</v>
      </c>
      <c r="F11" s="1127" t="s">
        <v>2433</v>
      </c>
      <c r="G11" s="1" t="s">
        <v>45</v>
      </c>
      <c r="H11" s="1"/>
      <c r="I11" s="1"/>
      <c r="J11" s="1"/>
      <c r="K11" s="1"/>
      <c r="L11" s="1"/>
      <c r="M11" s="2"/>
    </row>
    <row r="12" spans="1:13" ht="19.5">
      <c r="A12" s="1">
        <v>4</v>
      </c>
      <c r="B12" s="306" t="s">
        <v>862</v>
      </c>
      <c r="C12" s="1" t="s">
        <v>863</v>
      </c>
      <c r="D12" s="4">
        <v>18851</v>
      </c>
      <c r="E12" s="57">
        <v>14000</v>
      </c>
      <c r="F12" s="1127" t="s">
        <v>2433</v>
      </c>
      <c r="G12" s="1" t="s">
        <v>45</v>
      </c>
      <c r="H12" s="1"/>
      <c r="I12" s="1"/>
      <c r="J12" s="1"/>
      <c r="K12" s="1"/>
      <c r="L12" s="1"/>
      <c r="M12" s="2"/>
    </row>
    <row r="13" spans="1:13" ht="19.5">
      <c r="A13" s="1">
        <v>5</v>
      </c>
      <c r="B13" s="306" t="s">
        <v>864</v>
      </c>
      <c r="C13" s="1" t="s">
        <v>865</v>
      </c>
      <c r="D13" s="4">
        <v>18850</v>
      </c>
      <c r="E13" s="57">
        <v>37700</v>
      </c>
      <c r="F13" s="1127" t="s">
        <v>2433</v>
      </c>
      <c r="G13" s="1" t="s">
        <v>45</v>
      </c>
      <c r="H13" s="1"/>
      <c r="I13" s="1"/>
      <c r="J13" s="1"/>
      <c r="K13" s="1"/>
      <c r="L13" s="1"/>
      <c r="M13" s="2" t="s">
        <v>3145</v>
      </c>
    </row>
    <row r="14" spans="1:13" ht="18.75" customHeight="1">
      <c r="A14" s="1">
        <v>6</v>
      </c>
      <c r="B14" s="306" t="s">
        <v>866</v>
      </c>
      <c r="C14" s="1" t="s">
        <v>867</v>
      </c>
      <c r="D14" s="4">
        <v>22761</v>
      </c>
      <c r="E14" s="57">
        <v>9500</v>
      </c>
      <c r="F14" s="1127" t="s">
        <v>2433</v>
      </c>
      <c r="G14" s="1" t="s">
        <v>45</v>
      </c>
      <c r="H14" s="1"/>
      <c r="I14" s="1"/>
      <c r="J14" s="1"/>
      <c r="K14" s="1"/>
      <c r="L14" s="1"/>
      <c r="M14" s="2" t="s">
        <v>3146</v>
      </c>
    </row>
    <row r="15" spans="1:13" s="914" customFormat="1" ht="20.25" thickBot="1">
      <c r="A15" s="909">
        <v>6</v>
      </c>
      <c r="B15" s="908"/>
      <c r="C15" s="909"/>
      <c r="D15" s="910" t="s">
        <v>64</v>
      </c>
      <c r="E15" s="911">
        <f>SUM(E9:E14)</f>
        <v>61200</v>
      </c>
      <c r="F15" s="909"/>
      <c r="G15" s="909"/>
      <c r="H15" s="909"/>
      <c r="I15" s="909"/>
      <c r="J15" s="909"/>
      <c r="K15" s="909"/>
      <c r="L15" s="909"/>
      <c r="M15" s="908"/>
    </row>
    <row r="16" spans="1:13" ht="20.25" thickTop="1">
      <c r="A16" s="1"/>
      <c r="B16" s="2"/>
      <c r="C16" s="1"/>
      <c r="D16" s="47"/>
      <c r="E16" s="278"/>
      <c r="F16" s="1"/>
      <c r="G16" s="1"/>
      <c r="H16" s="1"/>
      <c r="I16" s="1"/>
      <c r="J16" s="1"/>
      <c r="K16" s="1"/>
      <c r="L16" s="1"/>
      <c r="M16" s="2"/>
    </row>
    <row r="17" spans="1:13" ht="21.75">
      <c r="A17" s="1"/>
      <c r="B17" s="462" t="s">
        <v>868</v>
      </c>
      <c r="C17" s="1"/>
      <c r="D17" s="233"/>
      <c r="E17" s="280"/>
      <c r="F17" s="1"/>
      <c r="G17" s="1"/>
      <c r="H17" s="1"/>
      <c r="I17" s="1"/>
      <c r="J17" s="1"/>
      <c r="K17" s="1"/>
      <c r="L17" s="1"/>
      <c r="M17" s="2"/>
    </row>
    <row r="18" spans="1:13" ht="19.5">
      <c r="A18" s="1">
        <v>1</v>
      </c>
      <c r="B18" s="463" t="s">
        <v>869</v>
      </c>
      <c r="C18" s="1" t="s">
        <v>870</v>
      </c>
      <c r="D18" s="4">
        <v>21544</v>
      </c>
      <c r="E18" s="57">
        <v>65000</v>
      </c>
      <c r="F18" s="1127" t="s">
        <v>2433</v>
      </c>
      <c r="G18" s="1" t="s">
        <v>45</v>
      </c>
      <c r="H18" s="1"/>
      <c r="I18" s="1"/>
      <c r="J18" s="1"/>
      <c r="K18" s="1"/>
      <c r="L18" s="1"/>
      <c r="M18" s="2" t="s">
        <v>3144</v>
      </c>
    </row>
    <row r="19" spans="1:13" ht="18.75" customHeight="1">
      <c r="A19" s="1">
        <v>2</v>
      </c>
      <c r="B19" s="463" t="s">
        <v>869</v>
      </c>
      <c r="C19" s="464" t="s">
        <v>871</v>
      </c>
      <c r="D19" s="4">
        <v>22761</v>
      </c>
      <c r="E19" s="57">
        <v>42000</v>
      </c>
      <c r="F19" s="1127" t="s">
        <v>2433</v>
      </c>
      <c r="G19" s="1" t="s">
        <v>45</v>
      </c>
      <c r="H19" s="1"/>
      <c r="I19" s="1"/>
      <c r="J19" s="1"/>
      <c r="K19" s="1"/>
      <c r="L19" s="1"/>
      <c r="M19" s="2" t="s">
        <v>3146</v>
      </c>
    </row>
    <row r="20" spans="1:13" ht="21">
      <c r="A20" s="1">
        <v>3</v>
      </c>
      <c r="B20" s="465" t="s">
        <v>3089</v>
      </c>
      <c r="C20" s="466" t="s">
        <v>2951</v>
      </c>
      <c r="D20" s="4">
        <v>242943</v>
      </c>
      <c r="E20" s="56">
        <v>475000</v>
      </c>
      <c r="F20" s="1150" t="s">
        <v>3541</v>
      </c>
      <c r="G20" s="1" t="s">
        <v>45</v>
      </c>
      <c r="H20" s="1"/>
      <c r="I20" s="1"/>
      <c r="J20" s="1"/>
      <c r="K20" s="1"/>
      <c r="L20" s="1"/>
      <c r="M20" s="2" t="s">
        <v>3145</v>
      </c>
    </row>
    <row r="21" spans="1:13" s="914" customFormat="1" ht="19.5">
      <c r="A21" s="909">
        <v>3</v>
      </c>
      <c r="B21" s="908"/>
      <c r="C21" s="909"/>
      <c r="D21" s="910" t="s">
        <v>64</v>
      </c>
      <c r="E21" s="1016">
        <f>SUM(E18:E20)</f>
        <v>582000</v>
      </c>
      <c r="F21" s="909"/>
      <c r="G21" s="909"/>
      <c r="H21" s="909"/>
      <c r="I21" s="909"/>
      <c r="J21" s="909"/>
      <c r="K21" s="909"/>
      <c r="L21" s="909"/>
      <c r="M21" s="908"/>
    </row>
    <row r="22" spans="1:13" ht="19.5">
      <c r="A22" s="1"/>
      <c r="B22" s="2"/>
      <c r="C22" s="1"/>
      <c r="D22" s="47"/>
      <c r="E22" s="264"/>
      <c r="F22" s="1"/>
      <c r="G22" s="1"/>
      <c r="H22" s="1"/>
      <c r="I22" s="1"/>
      <c r="J22" s="1"/>
      <c r="K22" s="1"/>
      <c r="L22" s="1"/>
      <c r="M22" s="2"/>
    </row>
    <row r="23" spans="1:13" ht="19.5">
      <c r="A23" s="1"/>
      <c r="B23" s="221" t="s">
        <v>3385</v>
      </c>
      <c r="C23" s="1"/>
      <c r="D23" s="47"/>
      <c r="E23" s="264"/>
      <c r="F23" s="1"/>
      <c r="G23" s="1"/>
      <c r="H23" s="1"/>
      <c r="I23" s="1"/>
      <c r="J23" s="1"/>
      <c r="K23" s="1"/>
      <c r="L23" s="1"/>
      <c r="M23" s="2"/>
    </row>
    <row r="24" spans="1:13" ht="58.5">
      <c r="A24" s="223">
        <v>1</v>
      </c>
      <c r="B24" s="511" t="s">
        <v>3386</v>
      </c>
      <c r="C24" s="452" t="s">
        <v>3389</v>
      </c>
      <c r="D24" s="535" t="s">
        <v>3393</v>
      </c>
      <c r="E24" s="536">
        <v>30000</v>
      </c>
      <c r="F24" s="1151" t="s">
        <v>3542</v>
      </c>
      <c r="G24" s="223" t="s">
        <v>45</v>
      </c>
      <c r="H24" s="223"/>
      <c r="I24" s="223"/>
      <c r="J24" s="223"/>
      <c r="K24" s="223"/>
      <c r="L24" s="223"/>
      <c r="M24" s="271" t="s">
        <v>3348</v>
      </c>
    </row>
    <row r="25" spans="1:13" ht="59.25" thickBot="1">
      <c r="A25" s="223">
        <v>2</v>
      </c>
      <c r="B25" s="511" t="s">
        <v>3387</v>
      </c>
      <c r="C25" s="452" t="s">
        <v>3390</v>
      </c>
      <c r="D25" s="535" t="s">
        <v>3393</v>
      </c>
      <c r="E25" s="536">
        <v>59990</v>
      </c>
      <c r="F25" s="1151" t="s">
        <v>3542</v>
      </c>
      <c r="G25" s="223" t="s">
        <v>45</v>
      </c>
      <c r="H25" s="223"/>
      <c r="I25" s="223"/>
      <c r="J25" s="223"/>
      <c r="K25" s="223"/>
      <c r="L25" s="223"/>
      <c r="M25" s="271" t="s">
        <v>3348</v>
      </c>
    </row>
    <row r="26" spans="1:13" ht="59.25" thickTop="1">
      <c r="A26" s="223">
        <v>3</v>
      </c>
      <c r="B26" s="511" t="s">
        <v>3388</v>
      </c>
      <c r="C26" s="223" t="s">
        <v>3392</v>
      </c>
      <c r="D26" s="535" t="s">
        <v>3393</v>
      </c>
      <c r="E26" s="537">
        <v>30000</v>
      </c>
      <c r="F26" s="1151" t="s">
        <v>3542</v>
      </c>
      <c r="G26" s="223" t="s">
        <v>45</v>
      </c>
      <c r="H26" s="223"/>
      <c r="I26" s="223"/>
      <c r="J26" s="223"/>
      <c r="K26" s="223"/>
      <c r="L26" s="223"/>
      <c r="M26" s="271" t="s">
        <v>3348</v>
      </c>
    </row>
    <row r="27" spans="1:13" ht="58.5">
      <c r="A27" s="223">
        <v>4</v>
      </c>
      <c r="B27" s="511" t="s">
        <v>3388</v>
      </c>
      <c r="C27" s="223" t="s">
        <v>3391</v>
      </c>
      <c r="D27" s="535" t="s">
        <v>3393</v>
      </c>
      <c r="E27" s="538">
        <v>37000</v>
      </c>
      <c r="F27" s="1151" t="s">
        <v>3542</v>
      </c>
      <c r="G27" s="223" t="s">
        <v>45</v>
      </c>
      <c r="H27" s="223"/>
      <c r="I27" s="223"/>
      <c r="J27" s="223"/>
      <c r="K27" s="223"/>
      <c r="L27" s="223"/>
      <c r="M27" s="271" t="s">
        <v>3465</v>
      </c>
    </row>
    <row r="28" spans="1:13" s="914" customFormat="1" ht="20.25" thickBot="1">
      <c r="A28" s="909">
        <v>4</v>
      </c>
      <c r="B28" s="908"/>
      <c r="C28" s="909"/>
      <c r="D28" s="910" t="s">
        <v>64</v>
      </c>
      <c r="E28" s="911">
        <f>SUM(E24:E27)</f>
        <v>156990</v>
      </c>
      <c r="F28" s="909"/>
      <c r="G28" s="909"/>
      <c r="H28" s="909"/>
      <c r="I28" s="909"/>
      <c r="J28" s="909"/>
      <c r="K28" s="909"/>
      <c r="L28" s="909"/>
      <c r="M28" s="908"/>
    </row>
    <row r="29" spans="1:13" ht="20.25" thickTop="1">
      <c r="A29" s="1"/>
      <c r="B29" s="2"/>
      <c r="C29" s="1"/>
      <c r="D29" s="47"/>
      <c r="E29" s="269"/>
      <c r="F29" s="1"/>
      <c r="G29" s="1"/>
      <c r="H29" s="1"/>
      <c r="I29" s="1"/>
      <c r="J29" s="1"/>
      <c r="K29" s="1"/>
      <c r="L29" s="1"/>
      <c r="M29" s="2"/>
    </row>
    <row r="30" spans="1:13" ht="21.75">
      <c r="A30" s="1"/>
      <c r="B30" s="305" t="s">
        <v>872</v>
      </c>
      <c r="C30" s="1"/>
      <c r="D30" s="233"/>
      <c r="E30" s="461"/>
      <c r="F30" s="1"/>
      <c r="G30" s="1"/>
      <c r="H30" s="1"/>
      <c r="I30" s="1"/>
      <c r="J30" s="1"/>
      <c r="K30" s="1"/>
      <c r="L30" s="1"/>
      <c r="M30" s="2"/>
    </row>
    <row r="31" spans="1:13" ht="19.5">
      <c r="A31" s="1">
        <v>1</v>
      </c>
      <c r="B31" s="463" t="s">
        <v>2660</v>
      </c>
      <c r="C31" s="1" t="s">
        <v>2661</v>
      </c>
      <c r="D31" s="4">
        <v>23581</v>
      </c>
      <c r="E31" s="1083">
        <v>18990</v>
      </c>
      <c r="F31" s="939" t="s">
        <v>2117</v>
      </c>
      <c r="G31" s="1" t="s">
        <v>45</v>
      </c>
      <c r="H31" s="1"/>
      <c r="I31" s="1"/>
      <c r="J31" s="1"/>
      <c r="K31" s="1"/>
      <c r="L31" s="1"/>
      <c r="M31" s="2" t="s">
        <v>1220</v>
      </c>
    </row>
    <row r="32" spans="1:13" s="914" customFormat="1" ht="20.25" thickBot="1">
      <c r="A32" s="909">
        <v>1</v>
      </c>
      <c r="B32" s="908"/>
      <c r="C32" s="909"/>
      <c r="D32" s="910" t="s">
        <v>64</v>
      </c>
      <c r="E32" s="911">
        <f>SUM(E31)</f>
        <v>18990</v>
      </c>
      <c r="F32" s="909"/>
      <c r="G32" s="909"/>
      <c r="H32" s="909"/>
      <c r="I32" s="909"/>
      <c r="J32" s="909"/>
      <c r="K32" s="909"/>
      <c r="L32" s="909"/>
      <c r="M32" s="908"/>
    </row>
    <row r="33" spans="1:13" ht="20.25" thickTop="1">
      <c r="A33" s="1"/>
      <c r="B33" s="2"/>
      <c r="C33" s="1"/>
      <c r="D33" s="47"/>
      <c r="E33" s="219"/>
      <c r="F33" s="1"/>
      <c r="G33" s="1"/>
      <c r="H33" s="1"/>
      <c r="I33" s="1"/>
      <c r="J33" s="1"/>
      <c r="K33" s="1"/>
      <c r="L33" s="1"/>
      <c r="M33" s="2"/>
    </row>
    <row r="34" spans="1:13" ht="21.75">
      <c r="A34" s="1"/>
      <c r="B34" s="305" t="s">
        <v>2180</v>
      </c>
      <c r="C34" s="1"/>
      <c r="D34" s="233"/>
      <c r="E34" s="280"/>
      <c r="F34" s="1"/>
      <c r="G34" s="1"/>
      <c r="H34" s="1"/>
      <c r="I34" s="1"/>
      <c r="J34" s="1"/>
      <c r="K34" s="1"/>
      <c r="L34" s="1"/>
      <c r="M34" s="2"/>
    </row>
    <row r="35" spans="1:13" ht="19.5">
      <c r="A35" s="1">
        <v>1</v>
      </c>
      <c r="B35" s="463" t="s">
        <v>2099</v>
      </c>
      <c r="C35" s="1" t="s">
        <v>2181</v>
      </c>
      <c r="D35" s="4">
        <v>21863</v>
      </c>
      <c r="E35" s="57">
        <v>139956</v>
      </c>
      <c r="F35" s="1127" t="s">
        <v>2433</v>
      </c>
      <c r="G35" s="1" t="s">
        <v>45</v>
      </c>
      <c r="H35" s="1"/>
      <c r="I35" s="1"/>
      <c r="J35" s="1"/>
      <c r="K35" s="1"/>
      <c r="L35" s="1"/>
      <c r="M35" s="2"/>
    </row>
    <row r="36" spans="1:13" ht="19.5">
      <c r="A36" s="1">
        <v>2</v>
      </c>
      <c r="B36" s="463" t="s">
        <v>2099</v>
      </c>
      <c r="C36" s="1" t="s">
        <v>2182</v>
      </c>
      <c r="D36" s="4">
        <v>21863</v>
      </c>
      <c r="E36" s="57">
        <v>155957</v>
      </c>
      <c r="F36" s="1127" t="s">
        <v>2433</v>
      </c>
      <c r="G36" s="1" t="s">
        <v>45</v>
      </c>
      <c r="H36" s="1"/>
      <c r="I36" s="1"/>
      <c r="J36" s="1"/>
      <c r="K36" s="1"/>
      <c r="L36" s="1"/>
      <c r="M36" s="2"/>
    </row>
    <row r="37" spans="1:13" s="914" customFormat="1" ht="20.25" thickBot="1">
      <c r="A37" s="909">
        <v>2</v>
      </c>
      <c r="B37" s="908"/>
      <c r="C37" s="909"/>
      <c r="D37" s="910" t="s">
        <v>64</v>
      </c>
      <c r="E37" s="911">
        <f>SUM(E35:E36)</f>
        <v>295913</v>
      </c>
      <c r="F37" s="909"/>
      <c r="G37" s="909"/>
      <c r="H37" s="909"/>
      <c r="I37" s="909"/>
      <c r="J37" s="909"/>
      <c r="K37" s="909"/>
      <c r="L37" s="909"/>
      <c r="M37" s="908"/>
    </row>
    <row r="38" spans="1:13" ht="20.25" thickTop="1">
      <c r="A38" s="1"/>
      <c r="B38" s="2"/>
      <c r="C38" s="1"/>
      <c r="D38" s="47"/>
      <c r="E38" s="95"/>
      <c r="F38" s="1"/>
      <c r="G38" s="1"/>
      <c r="H38" s="1"/>
      <c r="I38" s="1"/>
      <c r="J38" s="1"/>
      <c r="K38" s="1"/>
      <c r="L38" s="1"/>
      <c r="M38" s="2"/>
    </row>
    <row r="39" spans="1:13" ht="21.75">
      <c r="A39" s="1"/>
      <c r="B39" s="212" t="s">
        <v>873</v>
      </c>
      <c r="C39" s="1"/>
      <c r="D39" s="233"/>
      <c r="E39" s="280"/>
      <c r="F39" s="1"/>
      <c r="G39" s="1"/>
      <c r="H39" s="1"/>
      <c r="I39" s="1"/>
      <c r="J39" s="1"/>
      <c r="K39" s="1"/>
      <c r="L39" s="1"/>
      <c r="M39" s="2"/>
    </row>
    <row r="40" spans="1:13" ht="19.5">
      <c r="A40" s="1">
        <v>1</v>
      </c>
      <c r="B40" s="2" t="s">
        <v>874</v>
      </c>
      <c r="C40" s="1" t="s">
        <v>875</v>
      </c>
      <c r="D40" s="4">
        <v>13263</v>
      </c>
      <c r="E40" s="57">
        <v>11000</v>
      </c>
      <c r="F40" s="1127" t="s">
        <v>2433</v>
      </c>
      <c r="G40" s="1" t="s">
        <v>45</v>
      </c>
      <c r="H40" s="1"/>
      <c r="I40" s="1"/>
      <c r="J40" s="1"/>
      <c r="K40" s="1"/>
      <c r="L40" s="1"/>
      <c r="M40" s="2"/>
    </row>
    <row r="41" spans="1:13" ht="19.5">
      <c r="A41" s="1">
        <v>2</v>
      </c>
      <c r="B41" s="467" t="s">
        <v>1606</v>
      </c>
      <c r="C41" s="468" t="s">
        <v>1607</v>
      </c>
      <c r="D41" s="4">
        <v>15234</v>
      </c>
      <c r="E41" s="469">
        <v>15000</v>
      </c>
      <c r="F41" s="1129" t="s">
        <v>1572</v>
      </c>
      <c r="G41" s="1" t="s">
        <v>45</v>
      </c>
      <c r="H41" s="1"/>
      <c r="I41" s="1"/>
      <c r="J41" s="1"/>
      <c r="K41" s="1"/>
      <c r="L41" s="1"/>
      <c r="M41" s="2"/>
    </row>
    <row r="42" spans="1:13" ht="19.5">
      <c r="A42" s="1">
        <v>3</v>
      </c>
      <c r="B42" s="2" t="s">
        <v>876</v>
      </c>
      <c r="C42" s="1" t="s">
        <v>877</v>
      </c>
      <c r="D42" s="4">
        <v>18851</v>
      </c>
      <c r="E42" s="57">
        <v>27000</v>
      </c>
      <c r="F42" s="1127" t="s">
        <v>2433</v>
      </c>
      <c r="G42" s="1" t="s">
        <v>45</v>
      </c>
      <c r="H42" s="1"/>
      <c r="I42" s="1"/>
      <c r="J42" s="1"/>
      <c r="K42" s="1"/>
      <c r="L42" s="1"/>
      <c r="M42" s="2" t="s">
        <v>3147</v>
      </c>
    </row>
    <row r="43" spans="1:13" ht="19.5">
      <c r="A43" s="1">
        <v>4</v>
      </c>
      <c r="B43" s="2" t="s">
        <v>876</v>
      </c>
      <c r="C43" s="1" t="s">
        <v>879</v>
      </c>
      <c r="D43" s="4">
        <v>18851</v>
      </c>
      <c r="E43" s="57">
        <v>64500</v>
      </c>
      <c r="F43" s="1127" t="s">
        <v>2433</v>
      </c>
      <c r="G43" s="1" t="s">
        <v>45</v>
      </c>
      <c r="H43" s="1"/>
      <c r="I43" s="1"/>
      <c r="J43" s="1"/>
      <c r="K43" s="1"/>
      <c r="L43" s="1"/>
      <c r="M43" s="2" t="s">
        <v>3147</v>
      </c>
    </row>
    <row r="44" spans="1:13" ht="19.5">
      <c r="A44" s="1">
        <v>5</v>
      </c>
      <c r="B44" s="2" t="s">
        <v>876</v>
      </c>
      <c r="C44" s="1" t="s">
        <v>880</v>
      </c>
      <c r="D44" s="4">
        <v>18851</v>
      </c>
      <c r="E44" s="57">
        <v>64500</v>
      </c>
      <c r="F44" s="1127" t="s">
        <v>2433</v>
      </c>
      <c r="G44" s="1" t="s">
        <v>45</v>
      </c>
      <c r="H44" s="1"/>
      <c r="I44" s="1"/>
      <c r="J44" s="1"/>
      <c r="K44" s="1"/>
      <c r="L44" s="1"/>
      <c r="M44" s="2" t="s">
        <v>3147</v>
      </c>
    </row>
    <row r="45" spans="1:13" ht="19.5">
      <c r="A45" s="1">
        <v>6</v>
      </c>
      <c r="B45" s="2" t="s">
        <v>882</v>
      </c>
      <c r="C45" s="1" t="s">
        <v>883</v>
      </c>
      <c r="D45" s="4">
        <v>18851</v>
      </c>
      <c r="E45" s="57">
        <v>36200</v>
      </c>
      <c r="F45" s="1127" t="s">
        <v>2433</v>
      </c>
      <c r="G45" s="1" t="s">
        <v>45</v>
      </c>
      <c r="H45" s="1"/>
      <c r="I45" s="1"/>
      <c r="J45" s="1"/>
      <c r="K45" s="1"/>
      <c r="L45" s="1"/>
      <c r="M45" s="2" t="s">
        <v>3147</v>
      </c>
    </row>
    <row r="46" spans="1:13" ht="19.5">
      <c r="A46" s="1">
        <v>7</v>
      </c>
      <c r="B46" s="2" t="s">
        <v>884</v>
      </c>
      <c r="C46" s="1" t="s">
        <v>885</v>
      </c>
      <c r="D46" s="4">
        <v>18851</v>
      </c>
      <c r="E46" s="57">
        <v>23500</v>
      </c>
      <c r="F46" s="1127" t="s">
        <v>2433</v>
      </c>
      <c r="G46" s="1" t="s">
        <v>45</v>
      </c>
      <c r="H46" s="1"/>
      <c r="I46" s="1"/>
      <c r="J46" s="1"/>
      <c r="K46" s="1"/>
      <c r="L46" s="1"/>
      <c r="M46" s="2" t="s">
        <v>3147</v>
      </c>
    </row>
    <row r="47" spans="1:13" ht="19.5">
      <c r="A47" s="1">
        <v>8</v>
      </c>
      <c r="B47" s="2" t="s">
        <v>886</v>
      </c>
      <c r="C47" s="1" t="s">
        <v>887</v>
      </c>
      <c r="D47" s="4">
        <v>18851</v>
      </c>
      <c r="E47" s="57">
        <v>30000</v>
      </c>
      <c r="F47" s="1127" t="s">
        <v>2433</v>
      </c>
      <c r="G47" s="1" t="s">
        <v>45</v>
      </c>
      <c r="H47" s="1"/>
      <c r="I47" s="1"/>
      <c r="J47" s="1"/>
      <c r="K47" s="1"/>
      <c r="L47" s="1"/>
      <c r="M47" s="2" t="s">
        <v>3147</v>
      </c>
    </row>
    <row r="48" spans="1:13" ht="19.5">
      <c r="A48" s="1">
        <v>9</v>
      </c>
      <c r="B48" s="2" t="s">
        <v>888</v>
      </c>
      <c r="C48" s="1" t="s">
        <v>889</v>
      </c>
      <c r="D48" s="4">
        <v>18851</v>
      </c>
      <c r="E48" s="57">
        <v>12000</v>
      </c>
      <c r="F48" s="1127" t="s">
        <v>2433</v>
      </c>
      <c r="G48" s="1" t="s">
        <v>45</v>
      </c>
      <c r="H48" s="1"/>
      <c r="I48" s="1"/>
      <c r="J48" s="1"/>
      <c r="K48" s="1"/>
      <c r="L48" s="1"/>
      <c r="M48" s="2"/>
    </row>
    <row r="49" spans="1:14" ht="19.5">
      <c r="A49" s="1">
        <v>10</v>
      </c>
      <c r="B49" s="2" t="s">
        <v>2183</v>
      </c>
      <c r="C49" s="1" t="s">
        <v>2184</v>
      </c>
      <c r="D49" s="4">
        <v>19168</v>
      </c>
      <c r="E49" s="57">
        <v>8000</v>
      </c>
      <c r="F49" s="1127" t="s">
        <v>2433</v>
      </c>
      <c r="G49" s="1" t="s">
        <v>45</v>
      </c>
      <c r="H49" s="1"/>
      <c r="I49" s="1"/>
      <c r="J49" s="1"/>
      <c r="K49" s="1"/>
      <c r="L49" s="1"/>
      <c r="M49" s="2"/>
    </row>
    <row r="50" spans="1:14" ht="19.5">
      <c r="A50" s="1">
        <v>11</v>
      </c>
      <c r="B50" s="2" t="s">
        <v>2378</v>
      </c>
      <c r="C50" s="1" t="s">
        <v>2379</v>
      </c>
      <c r="D50" s="4">
        <v>19169</v>
      </c>
      <c r="E50" s="57">
        <v>8000.39</v>
      </c>
      <c r="F50" s="1127" t="s">
        <v>2433</v>
      </c>
      <c r="G50" s="1" t="s">
        <v>45</v>
      </c>
      <c r="H50" s="1"/>
      <c r="I50" s="1"/>
      <c r="J50" s="1"/>
      <c r="K50" s="1"/>
      <c r="L50" s="1"/>
      <c r="M50" s="2"/>
    </row>
    <row r="51" spans="1:14" ht="19.5">
      <c r="A51" s="1">
        <v>12</v>
      </c>
      <c r="B51" s="2" t="s">
        <v>890</v>
      </c>
      <c r="C51" s="1" t="s">
        <v>891</v>
      </c>
      <c r="D51" s="4">
        <v>19428</v>
      </c>
      <c r="E51" s="57">
        <v>42000</v>
      </c>
      <c r="F51" s="1127" t="s">
        <v>2433</v>
      </c>
      <c r="G51" s="1" t="s">
        <v>45</v>
      </c>
      <c r="H51" s="1"/>
      <c r="I51" s="1"/>
      <c r="J51" s="1"/>
      <c r="K51" s="1"/>
      <c r="L51" s="1"/>
      <c r="M51" s="2"/>
    </row>
    <row r="52" spans="1:14" ht="19.5">
      <c r="A52" s="1">
        <v>13</v>
      </c>
      <c r="B52" s="83" t="s">
        <v>2185</v>
      </c>
      <c r="C52" s="82" t="s">
        <v>2186</v>
      </c>
      <c r="D52" s="84">
        <v>19913</v>
      </c>
      <c r="E52" s="1106">
        <v>10900</v>
      </c>
      <c r="F52" s="1195" t="s">
        <v>3173</v>
      </c>
      <c r="G52" s="82"/>
      <c r="H52" s="82" t="s">
        <v>45</v>
      </c>
      <c r="I52" s="82"/>
      <c r="J52" s="82"/>
      <c r="K52" s="82"/>
      <c r="L52" s="82"/>
      <c r="M52" s="83" t="s">
        <v>3205</v>
      </c>
    </row>
    <row r="53" spans="1:14" ht="19.5">
      <c r="A53" s="1">
        <v>14</v>
      </c>
      <c r="B53" s="2" t="s">
        <v>2185</v>
      </c>
      <c r="C53" s="1" t="s">
        <v>2187</v>
      </c>
      <c r="D53" s="4">
        <v>19913</v>
      </c>
      <c r="E53" s="57">
        <v>10900</v>
      </c>
      <c r="F53" s="1127" t="s">
        <v>2433</v>
      </c>
      <c r="G53" s="1" t="s">
        <v>45</v>
      </c>
      <c r="H53" s="1"/>
      <c r="I53" s="1"/>
      <c r="J53" s="1"/>
      <c r="K53" s="1"/>
      <c r="L53" s="1"/>
      <c r="M53" s="2"/>
      <c r="N53" s="249"/>
    </row>
    <row r="54" spans="1:14" s="249" customFormat="1" ht="19.5">
      <c r="A54" s="1">
        <v>15</v>
      </c>
      <c r="B54" s="290" t="s">
        <v>1478</v>
      </c>
      <c r="C54" s="158" t="s">
        <v>1479</v>
      </c>
      <c r="D54" s="4">
        <v>22300</v>
      </c>
      <c r="E54" s="65">
        <v>12990</v>
      </c>
      <c r="F54" s="1129" t="s">
        <v>1265</v>
      </c>
      <c r="G54" s="1" t="s">
        <v>1458</v>
      </c>
      <c r="H54" s="2"/>
      <c r="I54" s="2"/>
      <c r="J54" s="2"/>
      <c r="K54" s="2"/>
      <c r="L54" s="2"/>
      <c r="M54" s="2" t="s">
        <v>3170</v>
      </c>
      <c r="N54" s="36"/>
    </row>
    <row r="55" spans="1:14" ht="19.5">
      <c r="A55" s="1">
        <v>16</v>
      </c>
      <c r="B55" s="470" t="s">
        <v>2893</v>
      </c>
      <c r="C55" s="194" t="s">
        <v>2731</v>
      </c>
      <c r="D55" s="173">
        <v>23636</v>
      </c>
      <c r="E55" s="304">
        <v>15670</v>
      </c>
      <c r="F55" s="1152" t="s">
        <v>2732</v>
      </c>
      <c r="G55" s="194" t="s">
        <v>45</v>
      </c>
      <c r="H55" s="2"/>
      <c r="I55" s="2"/>
      <c r="J55" s="2"/>
      <c r="K55" s="2"/>
      <c r="L55" s="2"/>
      <c r="M55" s="2"/>
      <c r="N55" s="46"/>
    </row>
    <row r="56" spans="1:14" s="46" customFormat="1" ht="19.5">
      <c r="A56" s="1">
        <v>17</v>
      </c>
      <c r="B56" s="193" t="s">
        <v>2892</v>
      </c>
      <c r="C56" s="194" t="s">
        <v>2894</v>
      </c>
      <c r="D56" s="173">
        <v>242975</v>
      </c>
      <c r="E56" s="439">
        <v>63490</v>
      </c>
      <c r="F56" s="1153" t="s">
        <v>2895</v>
      </c>
      <c r="G56" s="194" t="s">
        <v>45</v>
      </c>
      <c r="H56" s="2"/>
      <c r="I56" s="2"/>
      <c r="J56" s="2"/>
      <c r="K56" s="2"/>
      <c r="L56" s="2"/>
      <c r="M56" s="2" t="s">
        <v>3164</v>
      </c>
    </row>
    <row r="57" spans="1:14" s="46" customFormat="1" ht="19.5">
      <c r="A57" s="1">
        <v>18</v>
      </c>
      <c r="B57" s="193" t="s">
        <v>2892</v>
      </c>
      <c r="C57" s="194" t="s">
        <v>2896</v>
      </c>
      <c r="D57" s="173">
        <v>242975</v>
      </c>
      <c r="E57" s="439">
        <v>63490</v>
      </c>
      <c r="F57" s="1153" t="s">
        <v>2895</v>
      </c>
      <c r="G57" s="194" t="s">
        <v>45</v>
      </c>
      <c r="H57" s="2"/>
      <c r="I57" s="2"/>
      <c r="J57" s="2"/>
      <c r="K57" s="2"/>
      <c r="L57" s="2"/>
      <c r="M57" s="2" t="s">
        <v>3164</v>
      </c>
    </row>
    <row r="58" spans="1:14" s="46" customFormat="1" ht="19.5">
      <c r="A58" s="1">
        <v>19</v>
      </c>
      <c r="B58" s="193" t="s">
        <v>2892</v>
      </c>
      <c r="C58" s="194" t="s">
        <v>2897</v>
      </c>
      <c r="D58" s="173">
        <v>242975</v>
      </c>
      <c r="E58" s="439">
        <v>63490</v>
      </c>
      <c r="F58" s="1153" t="s">
        <v>2895</v>
      </c>
      <c r="G58" s="194" t="s">
        <v>45</v>
      </c>
      <c r="H58" s="2"/>
      <c r="I58" s="2"/>
      <c r="J58" s="2"/>
      <c r="K58" s="2"/>
      <c r="L58" s="2"/>
      <c r="M58" s="2" t="s">
        <v>3164</v>
      </c>
    </row>
    <row r="59" spans="1:14" s="46" customFormat="1" ht="19.5">
      <c r="A59" s="1">
        <v>20</v>
      </c>
      <c r="B59" s="193" t="s">
        <v>2892</v>
      </c>
      <c r="C59" s="194" t="s">
        <v>2898</v>
      </c>
      <c r="D59" s="173">
        <v>242975</v>
      </c>
      <c r="E59" s="439">
        <v>63490</v>
      </c>
      <c r="F59" s="1153" t="s">
        <v>2895</v>
      </c>
      <c r="G59" s="194" t="s">
        <v>45</v>
      </c>
      <c r="H59" s="2"/>
      <c r="I59" s="2"/>
      <c r="J59" s="2"/>
      <c r="K59" s="2"/>
      <c r="L59" s="2"/>
      <c r="M59" s="2" t="s">
        <v>3164</v>
      </c>
    </row>
    <row r="60" spans="1:14" s="46" customFormat="1" ht="19.5">
      <c r="A60" s="1">
        <v>21</v>
      </c>
      <c r="B60" s="193" t="s">
        <v>2952</v>
      </c>
      <c r="C60" s="194" t="s">
        <v>2953</v>
      </c>
      <c r="D60" s="173">
        <v>242915</v>
      </c>
      <c r="E60" s="439">
        <v>184900</v>
      </c>
      <c r="F60" s="1139" t="s">
        <v>2770</v>
      </c>
      <c r="G60" s="194" t="s">
        <v>45</v>
      </c>
      <c r="H60" s="2"/>
      <c r="I60" s="2"/>
      <c r="J60" s="2"/>
      <c r="K60" s="2"/>
      <c r="L60" s="2"/>
      <c r="M60" s="2" t="s">
        <v>3145</v>
      </c>
    </row>
    <row r="61" spans="1:14" s="46" customFormat="1" ht="19.5">
      <c r="A61" s="1">
        <v>22</v>
      </c>
      <c r="B61" s="193" t="s">
        <v>2952</v>
      </c>
      <c r="C61" s="194" t="s">
        <v>2954</v>
      </c>
      <c r="D61" s="173">
        <v>242915</v>
      </c>
      <c r="E61" s="439">
        <v>184900</v>
      </c>
      <c r="F61" s="1139" t="s">
        <v>2770</v>
      </c>
      <c r="G61" s="194" t="s">
        <v>45</v>
      </c>
      <c r="H61" s="2"/>
      <c r="I61" s="2"/>
      <c r="J61" s="2"/>
      <c r="K61" s="2"/>
      <c r="L61" s="2"/>
      <c r="M61" s="2" t="s">
        <v>3148</v>
      </c>
    </row>
    <row r="62" spans="1:14" s="46" customFormat="1" ht="58.5">
      <c r="A62" s="223">
        <v>23</v>
      </c>
      <c r="B62" s="539" t="s">
        <v>3379</v>
      </c>
      <c r="C62" s="540" t="s">
        <v>3377</v>
      </c>
      <c r="D62" s="541" t="s">
        <v>3380</v>
      </c>
      <c r="E62" s="542">
        <v>6500</v>
      </c>
      <c r="F62" s="1154" t="s">
        <v>2117</v>
      </c>
      <c r="G62" s="540" t="s">
        <v>45</v>
      </c>
      <c r="H62" s="511"/>
      <c r="I62" s="511"/>
      <c r="J62" s="511"/>
      <c r="K62" s="511"/>
      <c r="L62" s="511"/>
      <c r="M62" s="271" t="s">
        <v>3465</v>
      </c>
    </row>
    <row r="63" spans="1:14" s="46" customFormat="1" ht="58.5">
      <c r="A63" s="223">
        <v>24</v>
      </c>
      <c r="B63" s="539" t="s">
        <v>3376</v>
      </c>
      <c r="C63" s="540" t="s">
        <v>3378</v>
      </c>
      <c r="D63" s="541" t="s">
        <v>3380</v>
      </c>
      <c r="E63" s="542">
        <v>37383</v>
      </c>
      <c r="F63" s="1154" t="s">
        <v>2117</v>
      </c>
      <c r="G63" s="540" t="s">
        <v>45</v>
      </c>
      <c r="H63" s="511"/>
      <c r="I63" s="511"/>
      <c r="J63" s="511"/>
      <c r="K63" s="511"/>
      <c r="L63" s="511"/>
      <c r="M63" s="271" t="s">
        <v>3465</v>
      </c>
    </row>
    <row r="64" spans="1:14" s="1008" customFormat="1" ht="20.25" thickBot="1">
      <c r="A64" s="908">
        <v>24</v>
      </c>
      <c r="B64" s="1017"/>
      <c r="C64" s="907"/>
      <c r="D64" s="1018" t="s">
        <v>64</v>
      </c>
      <c r="E64" s="1019">
        <f>SUM(E40:E63)</f>
        <v>1059803.3900000001</v>
      </c>
      <c r="F64" s="908"/>
      <c r="G64" s="908"/>
      <c r="H64" s="908"/>
      <c r="I64" s="908"/>
      <c r="J64" s="908"/>
      <c r="K64" s="908"/>
      <c r="L64" s="908"/>
      <c r="M64" s="908"/>
    </row>
    <row r="65" spans="1:14" s="46" customFormat="1" ht="20.25" thickTop="1">
      <c r="A65" s="2"/>
      <c r="B65" s="290"/>
      <c r="C65" s="158"/>
      <c r="D65" s="471"/>
      <c r="E65" s="472"/>
      <c r="F65" s="2"/>
      <c r="G65" s="2"/>
      <c r="H65" s="2"/>
      <c r="I65" s="2"/>
      <c r="J65" s="2"/>
      <c r="K65" s="2"/>
      <c r="L65" s="2"/>
      <c r="M65" s="2"/>
    </row>
    <row r="66" spans="1:14" s="46" customFormat="1" ht="19.5">
      <c r="A66" s="473"/>
      <c r="B66" s="162"/>
      <c r="C66" s="199"/>
      <c r="D66" s="474"/>
      <c r="E66" s="472"/>
      <c r="F66" s="473"/>
      <c r="G66" s="473"/>
      <c r="H66" s="473"/>
      <c r="I66" s="473"/>
      <c r="J66" s="473"/>
      <c r="K66" s="473"/>
      <c r="L66" s="473"/>
      <c r="M66" s="473"/>
      <c r="N66" s="36"/>
    </row>
    <row r="67" spans="1:14" ht="21.75">
      <c r="A67" s="194"/>
      <c r="B67" s="475" t="s">
        <v>2666</v>
      </c>
      <c r="C67" s="194"/>
      <c r="D67" s="476"/>
      <c r="E67" s="477"/>
      <c r="F67" s="194"/>
      <c r="G67" s="194"/>
      <c r="H67" s="194"/>
      <c r="I67" s="194"/>
      <c r="J67" s="194"/>
      <c r="K67" s="194"/>
      <c r="L67" s="194"/>
      <c r="M67" s="193"/>
      <c r="N67" s="46"/>
    </row>
    <row r="68" spans="1:14" s="46" customFormat="1" ht="19.5">
      <c r="A68" s="194">
        <v>1</v>
      </c>
      <c r="B68" s="193" t="s">
        <v>2667</v>
      </c>
      <c r="C68" s="194" t="s">
        <v>2668</v>
      </c>
      <c r="D68" s="173">
        <v>23563</v>
      </c>
      <c r="E68" s="304">
        <v>99500</v>
      </c>
      <c r="F68" s="1139" t="s">
        <v>2649</v>
      </c>
      <c r="G68" s="194" t="s">
        <v>45</v>
      </c>
      <c r="H68" s="194"/>
      <c r="I68" s="194"/>
      <c r="J68" s="194"/>
      <c r="K68" s="194"/>
      <c r="L68" s="194"/>
      <c r="M68" s="2" t="s">
        <v>3148</v>
      </c>
      <c r="N68" s="478"/>
    </row>
    <row r="69" spans="1:14" s="478" customFormat="1" ht="19.5">
      <c r="A69" s="194">
        <v>2</v>
      </c>
      <c r="B69" s="193" t="s">
        <v>2903</v>
      </c>
      <c r="C69" s="194" t="s">
        <v>2904</v>
      </c>
      <c r="D69" s="173">
        <v>242871</v>
      </c>
      <c r="E69" s="304">
        <v>99500</v>
      </c>
      <c r="F69" s="1139" t="s">
        <v>2649</v>
      </c>
      <c r="G69" s="194" t="s">
        <v>45</v>
      </c>
      <c r="H69" s="194"/>
      <c r="I69" s="194"/>
      <c r="J69" s="194"/>
      <c r="K69" s="194"/>
      <c r="L69" s="194"/>
      <c r="M69" s="2" t="s">
        <v>3145</v>
      </c>
    </row>
    <row r="70" spans="1:14" s="478" customFormat="1" ht="19.5">
      <c r="A70" s="194">
        <v>3</v>
      </c>
      <c r="B70" s="193" t="s">
        <v>2903</v>
      </c>
      <c r="C70" s="194" t="s">
        <v>2905</v>
      </c>
      <c r="D70" s="173">
        <v>242836</v>
      </c>
      <c r="E70" s="304">
        <v>17900</v>
      </c>
      <c r="F70" s="1139" t="s">
        <v>2649</v>
      </c>
      <c r="G70" s="194" t="s">
        <v>45</v>
      </c>
      <c r="H70" s="194"/>
      <c r="I70" s="194"/>
      <c r="J70" s="194"/>
      <c r="K70" s="194"/>
      <c r="L70" s="194"/>
      <c r="M70" s="193"/>
    </row>
    <row r="71" spans="1:14" s="478" customFormat="1" ht="19.5">
      <c r="A71" s="194">
        <v>4</v>
      </c>
      <c r="B71" s="193" t="s">
        <v>2903</v>
      </c>
      <c r="C71" s="194" t="s">
        <v>2912</v>
      </c>
      <c r="D71" s="173">
        <v>242836</v>
      </c>
      <c r="E71" s="304">
        <v>17900</v>
      </c>
      <c r="F71" s="1139" t="s">
        <v>2649</v>
      </c>
      <c r="G71" s="194" t="s">
        <v>45</v>
      </c>
      <c r="H71" s="194"/>
      <c r="I71" s="194"/>
      <c r="J71" s="194"/>
      <c r="K71" s="194"/>
      <c r="L71" s="194"/>
      <c r="M71" s="193"/>
    </row>
    <row r="72" spans="1:14" s="1024" customFormat="1" ht="19.5">
      <c r="A72" s="1020">
        <v>4</v>
      </c>
      <c r="B72" s="1021"/>
      <c r="C72" s="1020"/>
      <c r="D72" s="1022" t="s">
        <v>64</v>
      </c>
      <c r="E72" s="1023">
        <f>SUM(E68:E71)</f>
        <v>234800</v>
      </c>
      <c r="F72" s="1020"/>
      <c r="G72" s="1020"/>
      <c r="H72" s="1020"/>
      <c r="I72" s="1020"/>
      <c r="J72" s="1020"/>
      <c r="K72" s="1020"/>
      <c r="L72" s="1020"/>
      <c r="M72" s="1021"/>
    </row>
    <row r="73" spans="1:14" s="478" customFormat="1" ht="19.5">
      <c r="A73" s="50"/>
      <c r="B73" s="166"/>
      <c r="C73" s="232"/>
      <c r="D73" s="479"/>
      <c r="E73" s="480"/>
      <c r="F73" s="50"/>
      <c r="G73" s="50"/>
      <c r="H73" s="50"/>
      <c r="I73" s="50"/>
      <c r="J73" s="50"/>
      <c r="K73" s="50"/>
      <c r="L73" s="50"/>
      <c r="M73" s="50"/>
    </row>
    <row r="74" spans="1:14" s="478" customFormat="1" ht="19.5">
      <c r="A74" s="50"/>
      <c r="B74" s="481" t="s">
        <v>3092</v>
      </c>
      <c r="C74" s="232"/>
      <c r="D74" s="479"/>
      <c r="E74" s="482"/>
      <c r="F74" s="50"/>
      <c r="G74" s="50"/>
      <c r="H74" s="50"/>
      <c r="I74" s="50"/>
      <c r="J74" s="50"/>
      <c r="K74" s="50"/>
      <c r="L74" s="50"/>
      <c r="M74" s="50"/>
      <c r="N74" s="46"/>
    </row>
    <row r="75" spans="1:14" s="46" customFormat="1" ht="21">
      <c r="A75" s="35">
        <v>1</v>
      </c>
      <c r="B75" s="412" t="s">
        <v>3090</v>
      </c>
      <c r="C75" s="413" t="s">
        <v>3091</v>
      </c>
      <c r="D75" s="479">
        <v>242979</v>
      </c>
      <c r="E75" s="1112">
        <v>70486.25</v>
      </c>
      <c r="F75" s="412" t="s">
        <v>3173</v>
      </c>
      <c r="G75" s="194" t="s">
        <v>45</v>
      </c>
      <c r="H75" s="50"/>
      <c r="I75" s="50"/>
      <c r="J75" s="50"/>
      <c r="K75" s="50"/>
      <c r="L75" s="50"/>
      <c r="M75" s="50" t="s">
        <v>3205</v>
      </c>
    </row>
    <row r="76" spans="1:14" s="1008" customFormat="1" ht="20.25" thickBot="1">
      <c r="A76" s="1025">
        <v>1</v>
      </c>
      <c r="B76" s="1026"/>
      <c r="C76" s="975"/>
      <c r="D76" s="1027"/>
      <c r="E76" s="1028">
        <f>SUM(E75)</f>
        <v>70486.25</v>
      </c>
      <c r="F76" s="1025"/>
      <c r="G76" s="1025"/>
      <c r="H76" s="1025"/>
      <c r="I76" s="1025"/>
      <c r="J76" s="1025"/>
      <c r="K76" s="1025"/>
      <c r="L76" s="1025"/>
      <c r="M76" s="1025"/>
    </row>
    <row r="77" spans="1:14" s="46" customFormat="1" ht="20.25" thickTop="1">
      <c r="A77" s="50"/>
      <c r="B77" s="166"/>
      <c r="C77" s="232"/>
      <c r="D77" s="479"/>
      <c r="E77" s="483"/>
      <c r="F77" s="50"/>
      <c r="G77" s="50"/>
      <c r="H77" s="50"/>
      <c r="I77" s="50"/>
      <c r="J77" s="50"/>
      <c r="K77" s="50"/>
      <c r="L77" s="50"/>
      <c r="M77" s="50"/>
    </row>
    <row r="78" spans="1:14" s="46" customFormat="1" ht="19.5">
      <c r="A78" s="50"/>
      <c r="B78" s="484" t="s">
        <v>3382</v>
      </c>
      <c r="C78" s="232"/>
      <c r="D78" s="479"/>
      <c r="E78" s="483"/>
      <c r="F78" s="50"/>
      <c r="G78" s="50"/>
      <c r="H78" s="50"/>
      <c r="I78" s="50"/>
      <c r="J78" s="50"/>
      <c r="K78" s="50"/>
      <c r="L78" s="50"/>
      <c r="M78" s="50"/>
    </row>
    <row r="79" spans="1:14" s="46" customFormat="1" ht="58.5">
      <c r="A79" s="167">
        <v>1</v>
      </c>
      <c r="B79" s="490" t="s">
        <v>3381</v>
      </c>
      <c r="C79" s="167" t="s">
        <v>3383</v>
      </c>
      <c r="D79" s="543" t="s">
        <v>3384</v>
      </c>
      <c r="E79" s="544">
        <v>12000</v>
      </c>
      <c r="F79" s="1194" t="s">
        <v>3515</v>
      </c>
      <c r="G79" s="167" t="s">
        <v>45</v>
      </c>
      <c r="H79" s="490"/>
      <c r="I79" s="515"/>
      <c r="J79" s="515"/>
      <c r="K79" s="515"/>
      <c r="L79" s="515"/>
      <c r="M79" s="490" t="s">
        <v>3465</v>
      </c>
    </row>
    <row r="80" spans="1:14" s="1008" customFormat="1" ht="20.25" thickBot="1">
      <c r="A80" s="1025">
        <v>1</v>
      </c>
      <c r="B80" s="1026"/>
      <c r="C80" s="975"/>
      <c r="D80" s="1027"/>
      <c r="E80" s="1029">
        <f>SUM(E79)</f>
        <v>12000</v>
      </c>
      <c r="F80" s="1025"/>
      <c r="G80" s="1025"/>
      <c r="H80" s="1025"/>
      <c r="I80" s="1025"/>
      <c r="J80" s="1025"/>
      <c r="K80" s="1025"/>
      <c r="L80" s="1025"/>
      <c r="M80" s="1025"/>
    </row>
    <row r="81" spans="1:14" s="46" customFormat="1" ht="20.25" thickTop="1">
      <c r="A81" s="50"/>
      <c r="B81" s="166"/>
      <c r="C81" s="232"/>
      <c r="D81" s="479"/>
      <c r="E81" s="485"/>
      <c r="F81" s="50"/>
      <c r="G81" s="50"/>
      <c r="H81" s="50"/>
      <c r="I81" s="50"/>
      <c r="J81" s="50"/>
      <c r="K81" s="50"/>
      <c r="L81" s="50"/>
      <c r="M81" s="50"/>
    </row>
    <row r="82" spans="1:14" s="1031" customFormat="1" ht="20.25" thickBot="1">
      <c r="A82" s="997">
        <f>A80+A76+A72+A64+A37+A32+A28+A21+A15</f>
        <v>46</v>
      </c>
      <c r="B82" s="998"/>
      <c r="C82" s="997"/>
      <c r="D82" s="999" t="s">
        <v>1723</v>
      </c>
      <c r="E82" s="1030">
        <f>E80+E76+E72+E64+E37+E32+E28+E21+E15</f>
        <v>2492182.64</v>
      </c>
      <c r="F82" s="997"/>
      <c r="G82" s="997"/>
      <c r="H82" s="997"/>
      <c r="I82" s="997"/>
      <c r="J82" s="997"/>
      <c r="K82" s="997"/>
      <c r="L82" s="997"/>
      <c r="M82" s="997"/>
    </row>
    <row r="83" spans="1:14" s="46" customFormat="1" ht="20.25" thickTop="1">
      <c r="A83" s="36"/>
      <c r="B83" s="36"/>
      <c r="C83" s="36"/>
      <c r="D83" s="36"/>
      <c r="E83" s="220"/>
      <c r="F83" s="36"/>
      <c r="G83" s="36"/>
      <c r="H83" s="36"/>
      <c r="I83" s="36"/>
      <c r="J83" s="36"/>
      <c r="K83" s="36"/>
      <c r="L83" s="36"/>
      <c r="M83" s="36"/>
      <c r="N83" s="36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dataValidations count="1">
    <dataValidation operator="greaterThanOrEqual" allowBlank="1" showInputMessage="1" showErrorMessage="1" sqref="B34:B36 B8:B14 B30:B31 F20 B75 F75 B17:B20" xr:uid="{00000000-0002-0000-0800-000000000000}"/>
  </dataValidations>
  <pageMargins left="0.15748031496062992" right="0.15748031496062992" top="0.47244094488188981" bottom="0.47244094488188981" header="0.31496062992125984" footer="0.31496062992125984"/>
  <pageSetup paperSize="9" scale="96" orientation="landscape" horizontalDpi="4294967294" r:id="rId1"/>
  <colBreaks count="1" manualBreakCount="1">
    <brk id="1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37"/>
  <sheetViews>
    <sheetView view="pageBreakPreview" zoomScaleSheetLayoutView="100" workbookViewId="0">
      <selection activeCell="F16" sqref="F9:F16"/>
    </sheetView>
  </sheetViews>
  <sheetFormatPr defaultColWidth="9" defaultRowHeight="14.25"/>
  <cols>
    <col min="1" max="1" width="5.25" style="36" customWidth="1"/>
    <col min="2" max="2" width="38.125" style="36" customWidth="1"/>
    <col min="3" max="3" width="10.25" style="36" customWidth="1"/>
    <col min="4" max="4" width="9.75" style="36" customWidth="1"/>
    <col min="5" max="5" width="13.25" style="220" customWidth="1"/>
    <col min="6" max="6" width="11.25" style="36" customWidth="1"/>
    <col min="7" max="12" width="4.625" style="36" customWidth="1"/>
    <col min="13" max="13" width="19.125" style="36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55"/>
    </row>
    <row r="7" spans="1:13" ht="19.5">
      <c r="A7" s="42"/>
      <c r="B7" s="5" t="s">
        <v>1738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19.5">
      <c r="A8" s="158"/>
      <c r="B8" s="212" t="s">
        <v>1673</v>
      </c>
      <c r="C8" s="158"/>
      <c r="D8" s="47"/>
      <c r="E8" s="237"/>
      <c r="F8" s="158"/>
      <c r="G8" s="158"/>
      <c r="H8" s="158"/>
      <c r="I8" s="158"/>
      <c r="J8" s="158"/>
      <c r="K8" s="158"/>
      <c r="L8" s="158"/>
      <c r="M8" s="343"/>
    </row>
    <row r="9" spans="1:13" s="44" customFormat="1" ht="19.5">
      <c r="A9" s="260">
        <v>1</v>
      </c>
      <c r="B9" s="259" t="s">
        <v>2032</v>
      </c>
      <c r="C9" s="260" t="s">
        <v>2033</v>
      </c>
      <c r="D9" s="243">
        <v>18836</v>
      </c>
      <c r="E9" s="1094">
        <v>100000</v>
      </c>
      <c r="F9" s="939" t="s">
        <v>1649</v>
      </c>
      <c r="G9" s="1" t="s">
        <v>45</v>
      </c>
      <c r="H9" s="406"/>
      <c r="I9" s="49"/>
      <c r="J9" s="406"/>
      <c r="K9" s="49"/>
      <c r="L9" s="49"/>
      <c r="M9" s="49"/>
    </row>
    <row r="10" spans="1:13" s="44" customFormat="1" ht="19.5">
      <c r="A10" s="260">
        <v>2</v>
      </c>
      <c r="B10" s="259" t="s">
        <v>2032</v>
      </c>
      <c r="C10" s="260" t="s">
        <v>2039</v>
      </c>
      <c r="D10" s="243">
        <v>18836</v>
      </c>
      <c r="E10" s="1094">
        <v>100000</v>
      </c>
      <c r="F10" s="939" t="s">
        <v>1649</v>
      </c>
      <c r="G10" s="1" t="s">
        <v>45</v>
      </c>
      <c r="H10" s="406"/>
      <c r="I10" s="49"/>
      <c r="J10" s="406"/>
      <c r="K10" s="49"/>
      <c r="L10" s="49"/>
      <c r="M10" s="49"/>
    </row>
    <row r="11" spans="1:13" s="44" customFormat="1" ht="19.5">
      <c r="A11" s="260">
        <v>3</v>
      </c>
      <c r="B11" s="259" t="s">
        <v>2032</v>
      </c>
      <c r="C11" s="260" t="s">
        <v>2040</v>
      </c>
      <c r="D11" s="243">
        <v>18836</v>
      </c>
      <c r="E11" s="1094">
        <v>100000</v>
      </c>
      <c r="F11" s="939" t="s">
        <v>1649</v>
      </c>
      <c r="G11" s="1" t="s">
        <v>45</v>
      </c>
      <c r="H11" s="406"/>
      <c r="I11" s="49"/>
      <c r="J11" s="406"/>
      <c r="K11" s="49"/>
      <c r="L11" s="49"/>
      <c r="M11" s="49"/>
    </row>
    <row r="12" spans="1:13" s="44" customFormat="1" ht="19.5">
      <c r="A12" s="260">
        <v>4</v>
      </c>
      <c r="B12" s="259" t="s">
        <v>2032</v>
      </c>
      <c r="C12" s="260" t="s">
        <v>2034</v>
      </c>
      <c r="D12" s="243">
        <v>18836</v>
      </c>
      <c r="E12" s="1094">
        <v>100000</v>
      </c>
      <c r="F12" s="939" t="s">
        <v>1649</v>
      </c>
      <c r="G12" s="1" t="s">
        <v>45</v>
      </c>
      <c r="H12" s="406"/>
      <c r="I12" s="49"/>
      <c r="J12" s="406"/>
      <c r="K12" s="49"/>
      <c r="L12" s="49"/>
      <c r="M12" s="49"/>
    </row>
    <row r="13" spans="1:13" s="44" customFormat="1" ht="19.5">
      <c r="A13" s="260">
        <v>5</v>
      </c>
      <c r="B13" s="259" t="s">
        <v>2032</v>
      </c>
      <c r="C13" s="300" t="s">
        <v>2035</v>
      </c>
      <c r="D13" s="243">
        <v>19197</v>
      </c>
      <c r="E13" s="1094">
        <v>104860</v>
      </c>
      <c r="F13" s="939" t="s">
        <v>1649</v>
      </c>
      <c r="G13" s="1" t="s">
        <v>45</v>
      </c>
      <c r="H13" s="406"/>
      <c r="I13" s="49"/>
      <c r="J13" s="406"/>
      <c r="K13" s="49"/>
      <c r="L13" s="49"/>
      <c r="M13" s="49"/>
    </row>
    <row r="14" spans="1:13" s="44" customFormat="1" ht="19.5">
      <c r="A14" s="260">
        <v>6</v>
      </c>
      <c r="B14" s="259" t="s">
        <v>2032</v>
      </c>
      <c r="C14" s="300" t="s">
        <v>2036</v>
      </c>
      <c r="D14" s="243">
        <v>19197</v>
      </c>
      <c r="E14" s="1094">
        <v>104860</v>
      </c>
      <c r="F14" s="939" t="s">
        <v>1649</v>
      </c>
      <c r="G14" s="1" t="s">
        <v>45</v>
      </c>
      <c r="H14" s="406"/>
      <c r="I14" s="49"/>
      <c r="J14" s="406"/>
      <c r="K14" s="49"/>
      <c r="L14" s="49"/>
      <c r="M14" s="49"/>
    </row>
    <row r="15" spans="1:13" s="44" customFormat="1" ht="19.5">
      <c r="A15" s="260">
        <v>7</v>
      </c>
      <c r="B15" s="259" t="s">
        <v>2032</v>
      </c>
      <c r="C15" s="300" t="s">
        <v>2037</v>
      </c>
      <c r="D15" s="243">
        <v>19197</v>
      </c>
      <c r="E15" s="1094">
        <v>104860</v>
      </c>
      <c r="F15" s="939" t="s">
        <v>1649</v>
      </c>
      <c r="G15" s="1" t="s">
        <v>45</v>
      </c>
      <c r="H15" s="406"/>
      <c r="I15" s="49"/>
      <c r="J15" s="406"/>
      <c r="K15" s="49"/>
      <c r="L15" s="49"/>
      <c r="M15" s="49"/>
    </row>
    <row r="16" spans="1:13" s="44" customFormat="1" ht="19.5">
      <c r="A16" s="260">
        <v>8</v>
      </c>
      <c r="B16" s="259" t="s">
        <v>2032</v>
      </c>
      <c r="C16" s="486" t="s">
        <v>2038</v>
      </c>
      <c r="D16" s="243">
        <v>19197</v>
      </c>
      <c r="E16" s="1094">
        <v>104860</v>
      </c>
      <c r="F16" s="939" t="s">
        <v>1649</v>
      </c>
      <c r="G16" s="1" t="s">
        <v>45</v>
      </c>
      <c r="H16" s="406"/>
      <c r="I16" s="49"/>
      <c r="J16" s="406"/>
      <c r="K16" s="49"/>
      <c r="L16" s="49"/>
      <c r="M16" s="49"/>
    </row>
    <row r="17" spans="1:13" s="914" customFormat="1" ht="20.25" thickBot="1">
      <c r="A17" s="907">
        <v>8</v>
      </c>
      <c r="B17" s="915"/>
      <c r="C17" s="907"/>
      <c r="D17" s="910" t="s">
        <v>64</v>
      </c>
      <c r="E17" s="916">
        <f>SUM(E9:E16)</f>
        <v>819440</v>
      </c>
      <c r="F17" s="907"/>
      <c r="G17" s="907"/>
      <c r="H17" s="907"/>
      <c r="I17" s="907"/>
      <c r="J17" s="907"/>
      <c r="K17" s="907"/>
      <c r="L17" s="907"/>
      <c r="M17" s="1032"/>
    </row>
    <row r="18" spans="1:13" s="478" customFormat="1" ht="20.25" thickTop="1">
      <c r="A18" s="194"/>
      <c r="B18" s="475" t="s">
        <v>4034</v>
      </c>
      <c r="C18" s="194"/>
      <c r="D18" s="194"/>
      <c r="E18" s="304"/>
      <c r="F18" s="194"/>
      <c r="G18" s="194"/>
      <c r="H18" s="194"/>
      <c r="I18" s="194"/>
      <c r="J18" s="194"/>
      <c r="K18" s="194"/>
      <c r="L18" s="194"/>
      <c r="M18" s="193"/>
    </row>
    <row r="19" spans="1:13" s="478" customFormat="1" ht="19.5">
      <c r="A19" s="194"/>
      <c r="B19" s="475" t="s">
        <v>4035</v>
      </c>
      <c r="C19" s="194"/>
      <c r="D19" s="194"/>
      <c r="E19" s="304"/>
      <c r="F19" s="194"/>
      <c r="G19" s="194"/>
      <c r="H19" s="194"/>
      <c r="I19" s="194"/>
      <c r="J19" s="194"/>
      <c r="K19" s="194"/>
      <c r="L19" s="194"/>
      <c r="M19" s="193"/>
    </row>
    <row r="20" spans="1:13" s="478" customFormat="1" ht="39">
      <c r="A20" s="540">
        <v>1</v>
      </c>
      <c r="B20" s="539" t="s">
        <v>2655</v>
      </c>
      <c r="C20" s="540" t="s">
        <v>2656</v>
      </c>
      <c r="D20" s="541">
        <v>23171</v>
      </c>
      <c r="E20" s="1118">
        <v>2500</v>
      </c>
      <c r="F20" s="1196" t="s">
        <v>2117</v>
      </c>
      <c r="G20" s="540" t="s">
        <v>45</v>
      </c>
      <c r="H20" s="540"/>
      <c r="I20" s="540"/>
      <c r="J20" s="540"/>
      <c r="K20" s="540"/>
      <c r="L20" s="540"/>
      <c r="M20" s="546" t="s">
        <v>3196</v>
      </c>
    </row>
    <row r="21" spans="1:13" s="478" customFormat="1" ht="19.5">
      <c r="A21" s="540">
        <v>2</v>
      </c>
      <c r="B21" s="539" t="s">
        <v>2655</v>
      </c>
      <c r="C21" s="540" t="s">
        <v>2645</v>
      </c>
      <c r="D21" s="541">
        <v>23171</v>
      </c>
      <c r="E21" s="545">
        <v>2500</v>
      </c>
      <c r="F21" s="1197" t="s">
        <v>2646</v>
      </c>
      <c r="G21" s="540" t="s">
        <v>45</v>
      </c>
      <c r="H21" s="540"/>
      <c r="I21" s="540"/>
      <c r="J21" s="540"/>
      <c r="K21" s="540"/>
      <c r="L21" s="540"/>
      <c r="M21" s="539"/>
    </row>
    <row r="22" spans="1:13" s="478" customFormat="1" ht="39">
      <c r="A22" s="540">
        <v>3</v>
      </c>
      <c r="B22" s="539" t="s">
        <v>2655</v>
      </c>
      <c r="C22" s="540" t="s">
        <v>2657</v>
      </c>
      <c r="D22" s="541">
        <v>23171</v>
      </c>
      <c r="E22" s="1118">
        <v>2500</v>
      </c>
      <c r="F22" s="1196" t="s">
        <v>2117</v>
      </c>
      <c r="G22" s="540" t="s">
        <v>45</v>
      </c>
      <c r="H22" s="540"/>
      <c r="I22" s="540"/>
      <c r="J22" s="540"/>
      <c r="K22" s="540"/>
      <c r="L22" s="540"/>
      <c r="M22" s="546" t="s">
        <v>3196</v>
      </c>
    </row>
    <row r="23" spans="1:13" s="478" customFormat="1" ht="39">
      <c r="A23" s="540">
        <v>4</v>
      </c>
      <c r="B23" s="539" t="s">
        <v>2655</v>
      </c>
      <c r="C23" s="540" t="s">
        <v>2658</v>
      </c>
      <c r="D23" s="541">
        <v>23171</v>
      </c>
      <c r="E23" s="1118">
        <v>2500</v>
      </c>
      <c r="F23" s="1196" t="s">
        <v>2117</v>
      </c>
      <c r="G23" s="540" t="s">
        <v>45</v>
      </c>
      <c r="H23" s="540"/>
      <c r="I23" s="540"/>
      <c r="J23" s="540"/>
      <c r="K23" s="540"/>
      <c r="L23" s="540"/>
      <c r="M23" s="546" t="s">
        <v>3196</v>
      </c>
    </row>
    <row r="24" spans="1:13" s="478" customFormat="1" ht="39">
      <c r="A24" s="540">
        <v>5</v>
      </c>
      <c r="B24" s="539" t="s">
        <v>2655</v>
      </c>
      <c r="C24" s="540" t="s">
        <v>2659</v>
      </c>
      <c r="D24" s="541">
        <v>23171</v>
      </c>
      <c r="E24" s="1118">
        <v>2500</v>
      </c>
      <c r="F24" s="1196" t="s">
        <v>2117</v>
      </c>
      <c r="G24" s="540" t="s">
        <v>45</v>
      </c>
      <c r="H24" s="540"/>
      <c r="I24" s="540"/>
      <c r="J24" s="540"/>
      <c r="K24" s="540"/>
      <c r="L24" s="540"/>
      <c r="M24" s="546" t="s">
        <v>3196</v>
      </c>
    </row>
    <row r="25" spans="1:13" s="478" customFormat="1" ht="19.5">
      <c r="A25" s="194">
        <v>6</v>
      </c>
      <c r="B25" s="193" t="s">
        <v>2647</v>
      </c>
      <c r="C25" s="194" t="s">
        <v>2648</v>
      </c>
      <c r="D25" s="173">
        <v>23405</v>
      </c>
      <c r="E25" s="304">
        <v>2195</v>
      </c>
      <c r="F25" s="1139" t="s">
        <v>2649</v>
      </c>
      <c r="G25" s="194" t="s">
        <v>45</v>
      </c>
      <c r="H25" s="194"/>
      <c r="I25" s="194"/>
      <c r="J25" s="194"/>
      <c r="K25" s="194"/>
      <c r="L25" s="194"/>
      <c r="M25" s="193"/>
    </row>
    <row r="26" spans="1:13" s="478" customFormat="1" ht="19.5">
      <c r="A26" s="194"/>
      <c r="B26" s="193" t="s">
        <v>2650</v>
      </c>
      <c r="C26" s="194"/>
      <c r="D26" s="173"/>
      <c r="E26" s="304"/>
      <c r="F26" s="194"/>
      <c r="G26" s="194"/>
      <c r="H26" s="194"/>
      <c r="I26" s="194"/>
      <c r="J26" s="194"/>
      <c r="K26" s="194"/>
      <c r="L26" s="194"/>
      <c r="M26" s="193"/>
    </row>
    <row r="27" spans="1:13" s="478" customFormat="1" ht="19.5">
      <c r="A27" s="194">
        <v>7</v>
      </c>
      <c r="B27" s="193" t="s">
        <v>2647</v>
      </c>
      <c r="C27" s="194" t="s">
        <v>2651</v>
      </c>
      <c r="D27" s="173">
        <v>23405</v>
      </c>
      <c r="E27" s="304">
        <v>2195</v>
      </c>
      <c r="F27" s="1139" t="s">
        <v>2274</v>
      </c>
      <c r="G27" s="194" t="s">
        <v>45</v>
      </c>
      <c r="H27" s="194"/>
      <c r="I27" s="194"/>
      <c r="J27" s="194"/>
      <c r="K27" s="194"/>
      <c r="L27" s="194"/>
      <c r="M27" s="193"/>
    </row>
    <row r="28" spans="1:13" s="478" customFormat="1" ht="19.5">
      <c r="A28" s="194"/>
      <c r="B28" s="193" t="s">
        <v>2650</v>
      </c>
      <c r="C28" s="194"/>
      <c r="D28" s="173"/>
      <c r="E28" s="304"/>
      <c r="F28" s="194"/>
      <c r="G28" s="194"/>
      <c r="H28" s="194"/>
      <c r="I28" s="194"/>
      <c r="J28" s="194"/>
      <c r="K28" s="194"/>
      <c r="L28" s="194"/>
      <c r="M28" s="193"/>
    </row>
    <row r="29" spans="1:13" s="478" customFormat="1" ht="19.5">
      <c r="A29" s="441">
        <v>8</v>
      </c>
      <c r="B29" s="442" t="s">
        <v>3004</v>
      </c>
      <c r="C29" s="441" t="s">
        <v>3076</v>
      </c>
      <c r="D29" s="443">
        <v>242887</v>
      </c>
      <c r="E29" s="1111">
        <v>1720</v>
      </c>
      <c r="F29" s="939" t="s">
        <v>1649</v>
      </c>
      <c r="G29" s="194" t="s">
        <v>45</v>
      </c>
      <c r="H29" s="441"/>
      <c r="I29" s="441"/>
      <c r="J29" s="441"/>
      <c r="K29" s="441"/>
      <c r="L29" s="441"/>
      <c r="M29" s="442" t="s">
        <v>3205</v>
      </c>
    </row>
    <row r="30" spans="1:13" s="478" customFormat="1" ht="19.5">
      <c r="A30" s="441">
        <v>9</v>
      </c>
      <c r="B30" s="442" t="s">
        <v>3078</v>
      </c>
      <c r="C30" s="441" t="s">
        <v>3077</v>
      </c>
      <c r="D30" s="443">
        <v>242887</v>
      </c>
      <c r="E30" s="304">
        <v>1720</v>
      </c>
      <c r="F30" s="1139" t="s">
        <v>2649</v>
      </c>
      <c r="G30" s="194" t="s">
        <v>45</v>
      </c>
      <c r="H30" s="441"/>
      <c r="I30" s="441"/>
      <c r="J30" s="441"/>
      <c r="K30" s="441"/>
      <c r="L30" s="441"/>
      <c r="M30" s="442"/>
    </row>
    <row r="31" spans="1:13" s="478" customFormat="1" ht="19.5">
      <c r="A31" s="441">
        <v>10</v>
      </c>
      <c r="B31" s="442" t="s">
        <v>3079</v>
      </c>
      <c r="C31" s="441" t="s">
        <v>3080</v>
      </c>
      <c r="D31" s="443">
        <v>242887</v>
      </c>
      <c r="E31" s="304">
        <v>1720</v>
      </c>
      <c r="F31" s="1155" t="s">
        <v>1583</v>
      </c>
      <c r="G31" s="194" t="s">
        <v>45</v>
      </c>
      <c r="H31" s="441"/>
      <c r="I31" s="441"/>
      <c r="J31" s="441"/>
      <c r="K31" s="441"/>
      <c r="L31" s="441"/>
      <c r="M31" s="442"/>
    </row>
    <row r="32" spans="1:13" s="478" customFormat="1" ht="19.5">
      <c r="A32" s="441">
        <v>11</v>
      </c>
      <c r="B32" s="442" t="s">
        <v>3004</v>
      </c>
      <c r="C32" s="441" t="s">
        <v>3081</v>
      </c>
      <c r="D32" s="443">
        <v>242887</v>
      </c>
      <c r="E32" s="304">
        <v>1720</v>
      </c>
      <c r="F32" s="1156" t="s">
        <v>1265</v>
      </c>
      <c r="G32" s="194" t="s">
        <v>45</v>
      </c>
      <c r="H32" s="441"/>
      <c r="I32" s="441"/>
      <c r="J32" s="441"/>
      <c r="K32" s="441"/>
      <c r="L32" s="441"/>
      <c r="M32" s="442"/>
    </row>
    <row r="33" spans="1:13" s="478" customFormat="1" ht="97.5">
      <c r="A33" s="547">
        <v>12</v>
      </c>
      <c r="B33" s="548" t="s">
        <v>3402</v>
      </c>
      <c r="C33" s="547" t="s">
        <v>3403</v>
      </c>
      <c r="D33" s="549" t="s">
        <v>3404</v>
      </c>
      <c r="E33" s="550">
        <v>2500</v>
      </c>
      <c r="F33" s="1157" t="s">
        <v>3543</v>
      </c>
      <c r="G33" s="540" t="s">
        <v>45</v>
      </c>
      <c r="H33" s="547"/>
      <c r="I33" s="547"/>
      <c r="J33" s="547"/>
      <c r="K33" s="547"/>
      <c r="L33" s="547"/>
      <c r="M33" s="551" t="s">
        <v>3405</v>
      </c>
    </row>
    <row r="34" spans="1:13" s="960" customFormat="1" ht="20.25" thickBot="1">
      <c r="A34" s="1033">
        <v>12</v>
      </c>
      <c r="B34" s="1034"/>
      <c r="C34" s="1033"/>
      <c r="D34" s="1035" t="s">
        <v>64</v>
      </c>
      <c r="E34" s="1036">
        <f>SUM(E20:E33)</f>
        <v>26270</v>
      </c>
      <c r="F34" s="974"/>
      <c r="G34" s="974"/>
      <c r="H34" s="1037"/>
      <c r="I34" s="1038"/>
      <c r="J34" s="1037"/>
      <c r="K34" s="1038"/>
      <c r="L34" s="1038"/>
      <c r="M34" s="1038"/>
    </row>
    <row r="35" spans="1:13" s="44" customFormat="1" ht="21" thickTop="1" thickBot="1">
      <c r="A35" s="396"/>
      <c r="B35" s="395"/>
      <c r="C35" s="396"/>
      <c r="D35" s="43"/>
      <c r="E35" s="487"/>
      <c r="F35" s="35"/>
      <c r="G35" s="35"/>
      <c r="H35" s="401"/>
      <c r="I35" s="488"/>
      <c r="J35" s="401"/>
      <c r="K35" s="488"/>
      <c r="L35" s="488"/>
      <c r="M35" s="488"/>
    </row>
    <row r="36" spans="1:13" s="1002" customFormat="1" ht="21" thickTop="1" thickBot="1">
      <c r="A36" s="997">
        <f>A34+A17</f>
        <v>20</v>
      </c>
      <c r="B36" s="998"/>
      <c r="C36" s="997"/>
      <c r="D36" s="999" t="s">
        <v>1723</v>
      </c>
      <c r="E36" s="1000">
        <f>SUM(E17+E34)</f>
        <v>845710</v>
      </c>
      <c r="F36" s="997"/>
      <c r="G36" s="997"/>
      <c r="H36" s="997"/>
      <c r="I36" s="997"/>
      <c r="J36" s="997"/>
      <c r="K36" s="997"/>
      <c r="L36" s="997"/>
      <c r="M36" s="997"/>
    </row>
    <row r="37" spans="1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47244094488188981" bottom="0.47244094488188981" header="0.31496062992125984" footer="0.31496062992125984"/>
  <pageSetup paperSize="9" orientation="landscape" horizont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M100"/>
  <sheetViews>
    <sheetView view="pageBreakPreview" topLeftCell="A76" zoomScale="85" zoomScaleSheetLayoutView="85" workbookViewId="0">
      <selection activeCell="N13" sqref="N13"/>
    </sheetView>
  </sheetViews>
  <sheetFormatPr defaultColWidth="9" defaultRowHeight="14.25"/>
  <cols>
    <col min="1" max="1" width="5.25" style="36" customWidth="1"/>
    <col min="2" max="2" width="36.625" style="36" customWidth="1"/>
    <col min="3" max="3" width="10.25" style="36" customWidth="1"/>
    <col min="4" max="4" width="9.75" style="36" customWidth="1"/>
    <col min="5" max="5" width="13.25" style="220" customWidth="1"/>
    <col min="6" max="6" width="13.25" style="36" customWidth="1"/>
    <col min="7" max="12" width="4.625" style="36" customWidth="1"/>
    <col min="13" max="13" width="19.125" style="36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55"/>
    </row>
    <row r="7" spans="1:13" ht="19.5">
      <c r="A7" s="42"/>
      <c r="B7" s="5" t="s">
        <v>1740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19.5">
      <c r="A8" s="42"/>
      <c r="B8" s="212" t="s">
        <v>2177</v>
      </c>
      <c r="C8" s="42"/>
      <c r="D8" s="43"/>
      <c r="E8" s="217"/>
      <c r="F8" s="218"/>
      <c r="G8" s="218"/>
      <c r="H8" s="218"/>
      <c r="I8" s="42"/>
      <c r="J8" s="218"/>
      <c r="K8" s="42"/>
      <c r="L8" s="42"/>
      <c r="M8" s="218"/>
    </row>
    <row r="9" spans="1:13" ht="19.5">
      <c r="A9" s="232">
        <v>1</v>
      </c>
      <c r="B9" s="3" t="s">
        <v>821</v>
      </c>
      <c r="C9" s="1" t="s">
        <v>822</v>
      </c>
      <c r="D9" s="4">
        <v>17873</v>
      </c>
      <c r="E9" s="57">
        <v>8540</v>
      </c>
      <c r="F9" s="1127" t="s">
        <v>2433</v>
      </c>
      <c r="G9" s="1" t="s">
        <v>45</v>
      </c>
      <c r="H9" s="218"/>
      <c r="I9" s="232"/>
      <c r="J9" s="218"/>
      <c r="K9" s="232"/>
      <c r="L9" s="232"/>
      <c r="M9" s="218"/>
    </row>
    <row r="10" spans="1:13" ht="19.5">
      <c r="A10" s="232">
        <v>2</v>
      </c>
      <c r="B10" s="3" t="s">
        <v>823</v>
      </c>
      <c r="C10" s="1" t="s">
        <v>824</v>
      </c>
      <c r="D10" s="4">
        <v>17873</v>
      </c>
      <c r="E10" s="57">
        <v>15860</v>
      </c>
      <c r="F10" s="1127" t="s">
        <v>2433</v>
      </c>
      <c r="G10" s="1" t="s">
        <v>45</v>
      </c>
      <c r="H10" s="218"/>
      <c r="I10" s="232"/>
      <c r="J10" s="218"/>
      <c r="K10" s="232"/>
      <c r="L10" s="232"/>
      <c r="M10" s="218"/>
    </row>
    <row r="11" spans="1:13" ht="19.5">
      <c r="A11" s="232">
        <v>3</v>
      </c>
      <c r="B11" s="3" t="s">
        <v>809</v>
      </c>
      <c r="C11" s="1" t="s">
        <v>810</v>
      </c>
      <c r="D11" s="4">
        <v>17932</v>
      </c>
      <c r="E11" s="57">
        <v>5400</v>
      </c>
      <c r="F11" s="1127" t="s">
        <v>2433</v>
      </c>
      <c r="G11" s="1" t="s">
        <v>45</v>
      </c>
      <c r="H11" s="218"/>
      <c r="I11" s="232"/>
      <c r="J11" s="218"/>
      <c r="K11" s="232"/>
      <c r="L11" s="232"/>
      <c r="M11" s="218"/>
    </row>
    <row r="12" spans="1:13" ht="19.5">
      <c r="A12" s="232">
        <v>4</v>
      </c>
      <c r="B12" s="3" t="s">
        <v>809</v>
      </c>
      <c r="C12" s="1" t="s">
        <v>811</v>
      </c>
      <c r="D12" s="4">
        <v>17932</v>
      </c>
      <c r="E12" s="57">
        <v>5500</v>
      </c>
      <c r="F12" s="1127" t="s">
        <v>2433</v>
      </c>
      <c r="G12" s="1" t="s">
        <v>45</v>
      </c>
      <c r="H12" s="218"/>
      <c r="I12" s="232"/>
      <c r="J12" s="218"/>
      <c r="K12" s="232"/>
      <c r="L12" s="232"/>
      <c r="M12" s="218"/>
    </row>
    <row r="13" spans="1:13" ht="19.5">
      <c r="A13" s="232">
        <v>5</v>
      </c>
      <c r="B13" s="3" t="s">
        <v>809</v>
      </c>
      <c r="C13" s="1" t="s">
        <v>812</v>
      </c>
      <c r="D13" s="4">
        <v>17932</v>
      </c>
      <c r="E13" s="57">
        <v>3200</v>
      </c>
      <c r="F13" s="1127" t="s">
        <v>2433</v>
      </c>
      <c r="G13" s="1" t="s">
        <v>45</v>
      </c>
      <c r="H13" s="218"/>
      <c r="I13" s="232"/>
      <c r="J13" s="218"/>
      <c r="K13" s="232"/>
      <c r="L13" s="232"/>
      <c r="M13" s="218"/>
    </row>
    <row r="14" spans="1:13" ht="19.5">
      <c r="A14" s="232">
        <v>6</v>
      </c>
      <c r="B14" s="3" t="s">
        <v>809</v>
      </c>
      <c r="C14" s="1" t="s">
        <v>813</v>
      </c>
      <c r="D14" s="4">
        <v>17932</v>
      </c>
      <c r="E14" s="57">
        <v>8050</v>
      </c>
      <c r="F14" s="1127" t="s">
        <v>2433</v>
      </c>
      <c r="G14" s="1" t="s">
        <v>45</v>
      </c>
      <c r="H14" s="218"/>
      <c r="I14" s="232"/>
      <c r="J14" s="218"/>
      <c r="K14" s="232"/>
      <c r="L14" s="232"/>
      <c r="M14" s="218"/>
    </row>
    <row r="15" spans="1:13" ht="19.5">
      <c r="A15" s="232">
        <v>7</v>
      </c>
      <c r="B15" s="3" t="s">
        <v>809</v>
      </c>
      <c r="C15" s="1" t="s">
        <v>814</v>
      </c>
      <c r="D15" s="4">
        <v>17932</v>
      </c>
      <c r="E15" s="57">
        <v>5500</v>
      </c>
      <c r="F15" s="1127" t="s">
        <v>2433</v>
      </c>
      <c r="G15" s="1" t="s">
        <v>45</v>
      </c>
      <c r="H15" s="218"/>
      <c r="I15" s="232"/>
      <c r="J15" s="218"/>
      <c r="K15" s="232"/>
      <c r="L15" s="232"/>
      <c r="M15" s="218"/>
    </row>
    <row r="16" spans="1:13" ht="19.5">
      <c r="A16" s="232">
        <v>8</v>
      </c>
      <c r="B16" s="3" t="s">
        <v>809</v>
      </c>
      <c r="C16" s="1" t="s">
        <v>815</v>
      </c>
      <c r="D16" s="4">
        <v>17932</v>
      </c>
      <c r="E16" s="57">
        <v>4500</v>
      </c>
      <c r="F16" s="1127" t="s">
        <v>2433</v>
      </c>
      <c r="G16" s="1" t="s">
        <v>45</v>
      </c>
      <c r="H16" s="218"/>
      <c r="I16" s="232"/>
      <c r="J16" s="218"/>
      <c r="K16" s="232"/>
      <c r="L16" s="232"/>
      <c r="M16" s="218"/>
    </row>
    <row r="17" spans="1:13" ht="19.5">
      <c r="A17" s="232">
        <v>9</v>
      </c>
      <c r="B17" s="3" t="s">
        <v>809</v>
      </c>
      <c r="C17" s="1" t="s">
        <v>816</v>
      </c>
      <c r="D17" s="4">
        <v>17932</v>
      </c>
      <c r="E17" s="57">
        <v>4500</v>
      </c>
      <c r="F17" s="1127" t="s">
        <v>2433</v>
      </c>
      <c r="G17" s="1" t="s">
        <v>45</v>
      </c>
      <c r="H17" s="218"/>
      <c r="I17" s="232"/>
      <c r="J17" s="218"/>
      <c r="K17" s="232"/>
      <c r="L17" s="232"/>
      <c r="M17" s="218"/>
    </row>
    <row r="18" spans="1:13" ht="19.5">
      <c r="A18" s="232">
        <v>10</v>
      </c>
      <c r="B18" s="3" t="s">
        <v>809</v>
      </c>
      <c r="C18" s="1" t="s">
        <v>817</v>
      </c>
      <c r="D18" s="4">
        <v>17932</v>
      </c>
      <c r="E18" s="57">
        <v>2850</v>
      </c>
      <c r="F18" s="1127" t="s">
        <v>2433</v>
      </c>
      <c r="G18" s="1" t="s">
        <v>45</v>
      </c>
      <c r="H18" s="218"/>
      <c r="I18" s="232"/>
      <c r="J18" s="218"/>
      <c r="K18" s="232"/>
      <c r="L18" s="232"/>
      <c r="M18" s="218"/>
    </row>
    <row r="19" spans="1:13" ht="19.5">
      <c r="A19" s="232">
        <v>11</v>
      </c>
      <c r="B19" s="3" t="s">
        <v>809</v>
      </c>
      <c r="C19" s="1" t="s">
        <v>818</v>
      </c>
      <c r="D19" s="4">
        <v>17932</v>
      </c>
      <c r="E19" s="57">
        <v>600</v>
      </c>
      <c r="F19" s="1127" t="s">
        <v>2433</v>
      </c>
      <c r="G19" s="1" t="s">
        <v>45</v>
      </c>
      <c r="H19" s="218"/>
      <c r="I19" s="232"/>
      <c r="J19" s="218"/>
      <c r="K19" s="232"/>
      <c r="L19" s="232"/>
      <c r="M19" s="218"/>
    </row>
    <row r="20" spans="1:13" ht="19.5">
      <c r="A20" s="232">
        <v>12</v>
      </c>
      <c r="B20" s="3" t="s">
        <v>809</v>
      </c>
      <c r="C20" s="1" t="s">
        <v>819</v>
      </c>
      <c r="D20" s="4">
        <v>17932</v>
      </c>
      <c r="E20" s="57">
        <v>7150</v>
      </c>
      <c r="F20" s="1127" t="s">
        <v>2433</v>
      </c>
      <c r="G20" s="1" t="s">
        <v>45</v>
      </c>
      <c r="H20" s="218"/>
      <c r="I20" s="232"/>
      <c r="J20" s="218"/>
      <c r="K20" s="232"/>
      <c r="L20" s="232"/>
      <c r="M20" s="218"/>
    </row>
    <row r="21" spans="1:13" ht="19.5">
      <c r="A21" s="232">
        <v>13</v>
      </c>
      <c r="B21" s="3" t="s">
        <v>809</v>
      </c>
      <c r="C21" s="1" t="s">
        <v>820</v>
      </c>
      <c r="D21" s="4">
        <v>17932</v>
      </c>
      <c r="E21" s="57">
        <v>7150</v>
      </c>
      <c r="F21" s="1127" t="s">
        <v>2433</v>
      </c>
      <c r="G21" s="1" t="s">
        <v>45</v>
      </c>
      <c r="H21" s="218"/>
      <c r="I21" s="232"/>
      <c r="J21" s="218"/>
      <c r="K21" s="232"/>
      <c r="L21" s="232"/>
      <c r="M21" s="218"/>
    </row>
    <row r="22" spans="1:13" s="914" customFormat="1" ht="20.25" thickBot="1">
      <c r="A22" s="975">
        <v>13</v>
      </c>
      <c r="B22" s="915"/>
      <c r="C22" s="975"/>
      <c r="D22" s="910" t="s">
        <v>64</v>
      </c>
      <c r="E22" s="911">
        <f>SUM(E9:E21)</f>
        <v>78800</v>
      </c>
      <c r="F22" s="976"/>
      <c r="G22" s="976"/>
      <c r="H22" s="976"/>
      <c r="I22" s="975"/>
      <c r="J22" s="976"/>
      <c r="K22" s="975"/>
      <c r="L22" s="975"/>
      <c r="M22" s="976"/>
    </row>
    <row r="23" spans="1:13" ht="20.25" thickTop="1">
      <c r="A23" s="232"/>
      <c r="B23" s="3"/>
      <c r="C23" s="232"/>
      <c r="D23" s="35"/>
      <c r="E23" s="330"/>
      <c r="F23" s="218"/>
      <c r="G23" s="218"/>
      <c r="H23" s="218"/>
      <c r="I23" s="232"/>
      <c r="J23" s="218"/>
      <c r="K23" s="232"/>
      <c r="L23" s="232"/>
      <c r="M23" s="218"/>
    </row>
    <row r="24" spans="1:13" ht="19.5">
      <c r="A24" s="1"/>
      <c r="B24" s="212" t="s">
        <v>825</v>
      </c>
      <c r="C24" s="1"/>
      <c r="D24" s="47"/>
      <c r="E24" s="269"/>
      <c r="F24" s="1"/>
      <c r="G24" s="1"/>
      <c r="H24" s="1"/>
      <c r="I24" s="1"/>
      <c r="J24" s="1"/>
      <c r="K24" s="1"/>
      <c r="L24" s="1"/>
      <c r="M24" s="2"/>
    </row>
    <row r="25" spans="1:13" ht="19.5">
      <c r="A25" s="1">
        <v>1</v>
      </c>
      <c r="B25" s="2" t="s">
        <v>826</v>
      </c>
      <c r="C25" s="1" t="s">
        <v>827</v>
      </c>
      <c r="D25" s="4">
        <v>18851</v>
      </c>
      <c r="E25" s="57">
        <v>12600</v>
      </c>
      <c r="F25" s="1127" t="s">
        <v>2433</v>
      </c>
      <c r="G25" s="1" t="s">
        <v>45</v>
      </c>
      <c r="H25" s="1"/>
      <c r="I25" s="1"/>
      <c r="J25" s="1"/>
      <c r="K25" s="1"/>
      <c r="L25" s="1"/>
      <c r="M25" s="2"/>
    </row>
    <row r="26" spans="1:13" ht="19.5">
      <c r="A26" s="163">
        <v>2</v>
      </c>
      <c r="B26" s="489" t="s">
        <v>1480</v>
      </c>
      <c r="C26" s="163" t="s">
        <v>1481</v>
      </c>
      <c r="D26" s="228">
        <v>19140</v>
      </c>
      <c r="E26" s="164">
        <v>40125</v>
      </c>
      <c r="F26" s="1158" t="s">
        <v>1265</v>
      </c>
      <c r="G26" s="192" t="s">
        <v>45</v>
      </c>
      <c r="H26" s="192"/>
      <c r="I26" s="192"/>
      <c r="J26" s="192"/>
      <c r="K26" s="192"/>
      <c r="L26" s="192"/>
      <c r="M26" s="473" t="s">
        <v>3164</v>
      </c>
    </row>
    <row r="27" spans="1:13" ht="19.5">
      <c r="A27" s="167"/>
      <c r="B27" s="490" t="s">
        <v>1482</v>
      </c>
      <c r="C27" s="167"/>
      <c r="D27" s="491"/>
      <c r="E27" s="492"/>
      <c r="F27" s="1159"/>
      <c r="G27" s="35"/>
      <c r="H27" s="35"/>
      <c r="I27" s="35"/>
      <c r="J27" s="35"/>
      <c r="K27" s="35"/>
      <c r="L27" s="35"/>
      <c r="M27" s="50"/>
    </row>
    <row r="28" spans="1:13" ht="19.5">
      <c r="A28" s="1">
        <v>3</v>
      </c>
      <c r="B28" s="2" t="s">
        <v>828</v>
      </c>
      <c r="C28" s="1" t="s">
        <v>2176</v>
      </c>
      <c r="D28" s="4">
        <v>21136</v>
      </c>
      <c r="E28" s="57">
        <v>3210</v>
      </c>
      <c r="F28" s="1127" t="s">
        <v>2433</v>
      </c>
      <c r="G28" s="1" t="s">
        <v>45</v>
      </c>
      <c r="H28" s="1"/>
      <c r="I28" s="1"/>
      <c r="J28" s="1"/>
      <c r="K28" s="1"/>
      <c r="L28" s="1"/>
      <c r="M28" s="2"/>
    </row>
    <row r="29" spans="1:13" ht="19.5">
      <c r="A29" s="1">
        <v>4</v>
      </c>
      <c r="B29" s="2" t="s">
        <v>828</v>
      </c>
      <c r="C29" s="1" t="s">
        <v>829</v>
      </c>
      <c r="D29" s="4">
        <v>21136</v>
      </c>
      <c r="E29" s="57">
        <v>3210</v>
      </c>
      <c r="F29" s="1127" t="s">
        <v>2433</v>
      </c>
      <c r="G29" s="1" t="s">
        <v>45</v>
      </c>
      <c r="H29" s="1"/>
      <c r="I29" s="1"/>
      <c r="J29" s="1"/>
      <c r="K29" s="1"/>
      <c r="L29" s="1"/>
      <c r="M29" s="2"/>
    </row>
    <row r="30" spans="1:13" ht="19.5">
      <c r="A30" s="1">
        <v>5</v>
      </c>
      <c r="B30" s="2" t="s">
        <v>828</v>
      </c>
      <c r="C30" s="1" t="s">
        <v>830</v>
      </c>
      <c r="D30" s="4">
        <v>21136</v>
      </c>
      <c r="E30" s="57">
        <v>3210</v>
      </c>
      <c r="F30" s="1127" t="s">
        <v>2433</v>
      </c>
      <c r="G30" s="1" t="s">
        <v>45</v>
      </c>
      <c r="H30" s="1"/>
      <c r="I30" s="1"/>
      <c r="J30" s="1"/>
      <c r="K30" s="1"/>
      <c r="L30" s="1"/>
      <c r="M30" s="2"/>
    </row>
    <row r="31" spans="1:13" ht="19.5">
      <c r="A31" s="1">
        <v>6</v>
      </c>
      <c r="B31" s="2" t="s">
        <v>828</v>
      </c>
      <c r="C31" s="1" t="s">
        <v>831</v>
      </c>
      <c r="D31" s="4">
        <v>21136</v>
      </c>
      <c r="E31" s="57">
        <v>3210</v>
      </c>
      <c r="F31" s="1127" t="s">
        <v>2433</v>
      </c>
      <c r="G31" s="1" t="s">
        <v>45</v>
      </c>
      <c r="H31" s="1"/>
      <c r="I31" s="1"/>
      <c r="J31" s="1"/>
      <c r="K31" s="1"/>
      <c r="L31" s="1"/>
      <c r="M31" s="2"/>
    </row>
    <row r="32" spans="1:13" ht="19.5">
      <c r="A32" s="1">
        <v>7</v>
      </c>
      <c r="B32" s="2" t="s">
        <v>828</v>
      </c>
      <c r="C32" s="1" t="s">
        <v>832</v>
      </c>
      <c r="D32" s="4">
        <v>21136</v>
      </c>
      <c r="E32" s="57">
        <v>3210</v>
      </c>
      <c r="F32" s="1127" t="s">
        <v>2433</v>
      </c>
      <c r="G32" s="1" t="s">
        <v>45</v>
      </c>
      <c r="H32" s="1"/>
      <c r="I32" s="1"/>
      <c r="J32" s="1"/>
      <c r="K32" s="1"/>
      <c r="L32" s="1"/>
      <c r="M32" s="2"/>
    </row>
    <row r="33" spans="1:13" ht="19.5">
      <c r="A33" s="1">
        <v>8</v>
      </c>
      <c r="B33" s="2" t="s">
        <v>828</v>
      </c>
      <c r="C33" s="1" t="s">
        <v>833</v>
      </c>
      <c r="D33" s="4">
        <v>21136</v>
      </c>
      <c r="E33" s="57">
        <v>3210</v>
      </c>
      <c r="F33" s="1127" t="s">
        <v>2433</v>
      </c>
      <c r="G33" s="1" t="s">
        <v>45</v>
      </c>
      <c r="H33" s="1"/>
      <c r="I33" s="1"/>
      <c r="J33" s="1"/>
      <c r="K33" s="1"/>
      <c r="L33" s="1"/>
      <c r="M33" s="2"/>
    </row>
    <row r="34" spans="1:13" ht="19.5">
      <c r="A34" s="1">
        <v>9</v>
      </c>
      <c r="B34" s="2" t="s">
        <v>828</v>
      </c>
      <c r="C34" s="1" t="s">
        <v>834</v>
      </c>
      <c r="D34" s="4">
        <v>21136</v>
      </c>
      <c r="E34" s="57">
        <v>3210</v>
      </c>
      <c r="F34" s="1127" t="s">
        <v>2433</v>
      </c>
      <c r="G34" s="1" t="s">
        <v>45</v>
      </c>
      <c r="H34" s="1"/>
      <c r="I34" s="1"/>
      <c r="J34" s="1"/>
      <c r="K34" s="1"/>
      <c r="L34" s="1"/>
      <c r="M34" s="2"/>
    </row>
    <row r="35" spans="1:13" ht="19.5">
      <c r="A35" s="1">
        <v>10</v>
      </c>
      <c r="B35" s="2" t="s">
        <v>828</v>
      </c>
      <c r="C35" s="1" t="s">
        <v>835</v>
      </c>
      <c r="D35" s="4">
        <v>21136</v>
      </c>
      <c r="E35" s="57">
        <v>2675</v>
      </c>
      <c r="F35" s="1127" t="s">
        <v>2433</v>
      </c>
      <c r="G35" s="1" t="s">
        <v>45</v>
      </c>
      <c r="H35" s="1"/>
      <c r="I35" s="1"/>
      <c r="J35" s="1"/>
      <c r="K35" s="1"/>
      <c r="L35" s="1"/>
      <c r="M35" s="2"/>
    </row>
    <row r="36" spans="1:13" ht="19.5">
      <c r="A36" s="1">
        <v>11</v>
      </c>
      <c r="B36" s="2" t="s">
        <v>828</v>
      </c>
      <c r="C36" s="1" t="s">
        <v>836</v>
      </c>
      <c r="D36" s="4">
        <v>21136</v>
      </c>
      <c r="E36" s="57">
        <v>2675</v>
      </c>
      <c r="F36" s="1127" t="s">
        <v>2433</v>
      </c>
      <c r="G36" s="1" t="s">
        <v>45</v>
      </c>
      <c r="H36" s="1"/>
      <c r="I36" s="1"/>
      <c r="J36" s="1"/>
      <c r="K36" s="1"/>
      <c r="L36" s="1"/>
      <c r="M36" s="2"/>
    </row>
    <row r="37" spans="1:13" ht="19.5">
      <c r="A37" s="1">
        <v>12</v>
      </c>
      <c r="B37" s="2" t="s">
        <v>828</v>
      </c>
      <c r="C37" s="1" t="s">
        <v>837</v>
      </c>
      <c r="D37" s="4">
        <v>21136</v>
      </c>
      <c r="E37" s="57">
        <v>2675</v>
      </c>
      <c r="F37" s="1127" t="s">
        <v>2433</v>
      </c>
      <c r="G37" s="1" t="s">
        <v>45</v>
      </c>
      <c r="H37" s="1"/>
      <c r="I37" s="1"/>
      <c r="J37" s="1"/>
      <c r="K37" s="1"/>
      <c r="L37" s="1"/>
      <c r="M37" s="2"/>
    </row>
    <row r="38" spans="1:13" ht="19.5">
      <c r="A38" s="1">
        <v>13</v>
      </c>
      <c r="B38" s="2" t="s">
        <v>828</v>
      </c>
      <c r="C38" s="1" t="s">
        <v>838</v>
      </c>
      <c r="D38" s="4">
        <v>21136</v>
      </c>
      <c r="E38" s="57">
        <v>2675</v>
      </c>
      <c r="F38" s="1127" t="s">
        <v>2433</v>
      </c>
      <c r="G38" s="1" t="s">
        <v>45</v>
      </c>
      <c r="H38" s="1"/>
      <c r="I38" s="1"/>
      <c r="J38" s="1"/>
      <c r="K38" s="1"/>
      <c r="L38" s="1"/>
      <c r="M38" s="2"/>
    </row>
    <row r="39" spans="1:13" ht="19.5">
      <c r="A39" s="1">
        <v>14</v>
      </c>
      <c r="B39" s="2" t="s">
        <v>828</v>
      </c>
      <c r="C39" s="1" t="s">
        <v>839</v>
      </c>
      <c r="D39" s="4">
        <v>21136</v>
      </c>
      <c r="E39" s="57">
        <v>2675</v>
      </c>
      <c r="F39" s="1127" t="s">
        <v>2433</v>
      </c>
      <c r="G39" s="1" t="s">
        <v>45</v>
      </c>
      <c r="H39" s="1"/>
      <c r="I39" s="1"/>
      <c r="J39" s="1"/>
      <c r="K39" s="1"/>
      <c r="L39" s="1"/>
      <c r="M39" s="2"/>
    </row>
    <row r="40" spans="1:13" ht="19.5">
      <c r="A40" s="1">
        <v>15</v>
      </c>
      <c r="B40" s="2" t="s">
        <v>828</v>
      </c>
      <c r="C40" s="1" t="s">
        <v>840</v>
      </c>
      <c r="D40" s="4">
        <v>21136</v>
      </c>
      <c r="E40" s="57">
        <v>2675</v>
      </c>
      <c r="F40" s="1127" t="s">
        <v>2433</v>
      </c>
      <c r="G40" s="1" t="s">
        <v>45</v>
      </c>
      <c r="H40" s="1"/>
      <c r="I40" s="1"/>
      <c r="J40" s="1"/>
      <c r="K40" s="1"/>
      <c r="L40" s="1"/>
      <c r="M40" s="2"/>
    </row>
    <row r="41" spans="1:13" ht="19.5">
      <c r="A41" s="1">
        <v>16</v>
      </c>
      <c r="B41" s="2" t="s">
        <v>828</v>
      </c>
      <c r="C41" s="1" t="s">
        <v>841</v>
      </c>
      <c r="D41" s="4">
        <v>21136</v>
      </c>
      <c r="E41" s="57">
        <v>2675</v>
      </c>
      <c r="F41" s="1127" t="s">
        <v>2433</v>
      </c>
      <c r="G41" s="1" t="s">
        <v>45</v>
      </c>
      <c r="H41" s="1"/>
      <c r="I41" s="1"/>
      <c r="J41" s="1"/>
      <c r="K41" s="1"/>
      <c r="L41" s="1"/>
      <c r="M41" s="2"/>
    </row>
    <row r="42" spans="1:13" s="914" customFormat="1" ht="20.25" thickBot="1">
      <c r="A42" s="909">
        <v>16</v>
      </c>
      <c r="B42" s="908"/>
      <c r="C42" s="909"/>
      <c r="D42" s="910" t="s">
        <v>64</v>
      </c>
      <c r="E42" s="911">
        <f>SUM(E25:E41)</f>
        <v>93920</v>
      </c>
      <c r="F42" s="909"/>
      <c r="G42" s="909"/>
      <c r="H42" s="909"/>
      <c r="I42" s="909"/>
      <c r="J42" s="909"/>
      <c r="K42" s="909"/>
      <c r="L42" s="909"/>
      <c r="M42" s="908"/>
    </row>
    <row r="43" spans="1:13" ht="20.25" thickTop="1">
      <c r="A43" s="1"/>
      <c r="B43" s="2"/>
      <c r="C43" s="1"/>
      <c r="D43" s="47"/>
      <c r="E43" s="278"/>
      <c r="F43" s="1"/>
      <c r="G43" s="1"/>
      <c r="H43" s="1"/>
      <c r="I43" s="1"/>
      <c r="J43" s="1"/>
      <c r="K43" s="1"/>
      <c r="L43" s="1"/>
      <c r="M43" s="2"/>
    </row>
    <row r="44" spans="1:13" ht="21.75">
      <c r="A44" s="1"/>
      <c r="B44" s="212" t="s">
        <v>852</v>
      </c>
      <c r="C44" s="1"/>
      <c r="D44" s="233"/>
      <c r="E44" s="280"/>
      <c r="F44" s="1"/>
      <c r="G44" s="1"/>
      <c r="H44" s="1"/>
      <c r="I44" s="1"/>
      <c r="J44" s="1"/>
      <c r="K44" s="1"/>
      <c r="L44" s="1"/>
      <c r="M44" s="2"/>
    </row>
    <row r="45" spans="1:13" s="249" customFormat="1" ht="19.5">
      <c r="A45" s="1">
        <v>1</v>
      </c>
      <c r="B45" s="2" t="s">
        <v>853</v>
      </c>
      <c r="C45" s="1" t="s">
        <v>2136</v>
      </c>
      <c r="D45" s="4">
        <v>11338</v>
      </c>
      <c r="E45" s="57">
        <v>3400</v>
      </c>
      <c r="F45" s="1011" t="s">
        <v>1649</v>
      </c>
      <c r="G45" s="1" t="s">
        <v>45</v>
      </c>
      <c r="H45" s="1"/>
      <c r="I45" s="1"/>
      <c r="J45" s="1"/>
      <c r="K45" s="1"/>
      <c r="L45" s="1"/>
      <c r="M45" s="2"/>
    </row>
    <row r="46" spans="1:13" ht="19.5">
      <c r="A46" s="1">
        <v>2</v>
      </c>
      <c r="B46" s="2" t="s">
        <v>853</v>
      </c>
      <c r="C46" s="1" t="s">
        <v>2137</v>
      </c>
      <c r="D46" s="4">
        <v>12372</v>
      </c>
      <c r="E46" s="57">
        <v>3500</v>
      </c>
      <c r="F46" s="1011" t="s">
        <v>1649</v>
      </c>
      <c r="G46" s="1" t="s">
        <v>45</v>
      </c>
      <c r="H46" s="1"/>
      <c r="I46" s="1"/>
      <c r="J46" s="1"/>
      <c r="K46" s="1"/>
      <c r="L46" s="1"/>
      <c r="M46" s="2"/>
    </row>
    <row r="47" spans="1:13" ht="19.5">
      <c r="A47" s="1">
        <v>3</v>
      </c>
      <c r="B47" s="2" t="s">
        <v>853</v>
      </c>
      <c r="C47" s="1" t="s">
        <v>2138</v>
      </c>
      <c r="D47" s="4">
        <v>13480</v>
      </c>
      <c r="E47" s="57">
        <v>3400</v>
      </c>
      <c r="F47" s="1011" t="s">
        <v>1649</v>
      </c>
      <c r="G47" s="1" t="s">
        <v>45</v>
      </c>
      <c r="H47" s="1"/>
      <c r="I47" s="1"/>
      <c r="J47" s="1"/>
      <c r="K47" s="1"/>
      <c r="L47" s="1"/>
      <c r="M47" s="2"/>
    </row>
    <row r="48" spans="1:13" ht="19.5">
      <c r="A48" s="1">
        <v>4</v>
      </c>
      <c r="B48" s="2" t="s">
        <v>853</v>
      </c>
      <c r="C48" s="1" t="s">
        <v>854</v>
      </c>
      <c r="D48" s="4">
        <v>16595</v>
      </c>
      <c r="E48" s="57">
        <v>3200</v>
      </c>
      <c r="F48" s="1127" t="s">
        <v>2433</v>
      </c>
      <c r="G48" s="1" t="s">
        <v>45</v>
      </c>
      <c r="H48" s="1"/>
      <c r="I48" s="1"/>
      <c r="J48" s="1"/>
      <c r="K48" s="1"/>
      <c r="L48" s="1"/>
      <c r="M48" s="2"/>
    </row>
    <row r="49" spans="1:13" ht="19.5">
      <c r="A49" s="1">
        <v>5</v>
      </c>
      <c r="B49" s="2" t="s">
        <v>853</v>
      </c>
      <c r="C49" s="1" t="s">
        <v>855</v>
      </c>
      <c r="D49" s="4">
        <v>16595</v>
      </c>
      <c r="E49" s="57">
        <v>3200</v>
      </c>
      <c r="F49" s="1127" t="s">
        <v>2433</v>
      </c>
      <c r="G49" s="1" t="s">
        <v>45</v>
      </c>
      <c r="H49" s="1"/>
      <c r="I49" s="1"/>
      <c r="J49" s="1"/>
      <c r="K49" s="1"/>
      <c r="L49" s="1"/>
      <c r="M49" s="2"/>
    </row>
    <row r="50" spans="1:13" ht="39">
      <c r="A50" s="223">
        <v>6</v>
      </c>
      <c r="B50" s="511" t="s">
        <v>2766</v>
      </c>
      <c r="C50" s="223" t="s">
        <v>2767</v>
      </c>
      <c r="D50" s="270">
        <v>21589</v>
      </c>
      <c r="E50" s="1105">
        <v>5990</v>
      </c>
      <c r="F50" s="1179" t="s">
        <v>2117</v>
      </c>
      <c r="G50" s="223" t="s">
        <v>45</v>
      </c>
      <c r="H50" s="223"/>
      <c r="I50" s="223"/>
      <c r="J50" s="223"/>
      <c r="K50" s="223"/>
      <c r="L50" s="223"/>
      <c r="M50" s="271" t="s">
        <v>3544</v>
      </c>
    </row>
    <row r="51" spans="1:13" ht="58.5">
      <c r="A51" s="223">
        <v>7</v>
      </c>
      <c r="B51" s="511" t="s">
        <v>3331</v>
      </c>
      <c r="C51" s="223" t="s">
        <v>3332</v>
      </c>
      <c r="D51" s="270" t="s">
        <v>3333</v>
      </c>
      <c r="E51" s="1116">
        <v>3200</v>
      </c>
      <c r="F51" s="1179" t="s">
        <v>3173</v>
      </c>
      <c r="G51" s="223" t="s">
        <v>45</v>
      </c>
      <c r="H51" s="223"/>
      <c r="I51" s="223"/>
      <c r="J51" s="223"/>
      <c r="K51" s="223"/>
      <c r="L51" s="223"/>
      <c r="M51" s="271" t="s">
        <v>3334</v>
      </c>
    </row>
    <row r="52" spans="1:13" s="914" customFormat="1" ht="20.25" thickBot="1">
      <c r="A52" s="909">
        <v>7</v>
      </c>
      <c r="B52" s="908"/>
      <c r="C52" s="909"/>
      <c r="D52" s="910" t="s">
        <v>64</v>
      </c>
      <c r="E52" s="911">
        <f>SUM(E45:E51)</f>
        <v>25890</v>
      </c>
      <c r="F52" s="909"/>
      <c r="G52" s="909"/>
      <c r="H52" s="909"/>
      <c r="I52" s="909"/>
      <c r="J52" s="909"/>
      <c r="K52" s="909"/>
      <c r="L52" s="909"/>
      <c r="M52" s="908"/>
    </row>
    <row r="53" spans="1:13" ht="20.25" thickTop="1">
      <c r="A53" s="1"/>
      <c r="B53" s="2"/>
      <c r="C53" s="1"/>
      <c r="D53" s="4"/>
      <c r="E53" s="282"/>
      <c r="F53" s="1"/>
      <c r="G53" s="1"/>
      <c r="H53" s="1"/>
      <c r="I53" s="1"/>
      <c r="J53" s="1"/>
      <c r="K53" s="1"/>
      <c r="L53" s="1"/>
      <c r="M53" s="2"/>
    </row>
    <row r="54" spans="1:13" s="46" customFormat="1" ht="21.75">
      <c r="A54" s="1"/>
      <c r="B54" s="212" t="s">
        <v>2143</v>
      </c>
      <c r="C54" s="1"/>
      <c r="D54" s="233"/>
      <c r="E54" s="280"/>
      <c r="F54" s="1"/>
      <c r="G54" s="1"/>
      <c r="H54" s="1"/>
      <c r="I54" s="1"/>
      <c r="J54" s="1"/>
      <c r="K54" s="1"/>
      <c r="L54" s="1"/>
      <c r="M54" s="2"/>
    </row>
    <row r="55" spans="1:13" ht="19.5">
      <c r="A55" s="1">
        <v>1</v>
      </c>
      <c r="B55" s="2" t="s">
        <v>2144</v>
      </c>
      <c r="C55" s="1" t="s">
        <v>2145</v>
      </c>
      <c r="D55" s="4">
        <v>13448</v>
      </c>
      <c r="E55" s="1083">
        <v>6259.5</v>
      </c>
      <c r="F55" s="1" t="s">
        <v>1649</v>
      </c>
      <c r="G55" s="1" t="s">
        <v>45</v>
      </c>
      <c r="H55" s="1"/>
      <c r="I55" s="1"/>
      <c r="J55" s="1"/>
      <c r="K55" s="1"/>
      <c r="L55" s="1"/>
      <c r="M55" s="2" t="s">
        <v>3208</v>
      </c>
    </row>
    <row r="56" spans="1:13" ht="19.5">
      <c r="A56" s="1">
        <v>2</v>
      </c>
      <c r="B56" s="2" t="s">
        <v>2144</v>
      </c>
      <c r="C56" s="1" t="s">
        <v>2146</v>
      </c>
      <c r="D56" s="4">
        <v>13448</v>
      </c>
      <c r="E56" s="1083">
        <v>6259.5</v>
      </c>
      <c r="F56" s="939" t="s">
        <v>1649</v>
      </c>
      <c r="G56" s="1" t="s">
        <v>45</v>
      </c>
      <c r="H56" s="1"/>
      <c r="I56" s="1"/>
      <c r="J56" s="1"/>
      <c r="K56" s="1"/>
      <c r="L56" s="1"/>
      <c r="M56" s="2" t="s">
        <v>3208</v>
      </c>
    </row>
    <row r="57" spans="1:13" ht="19.5">
      <c r="A57" s="1">
        <v>3</v>
      </c>
      <c r="B57" s="2" t="s">
        <v>2144</v>
      </c>
      <c r="C57" s="1" t="s">
        <v>2147</v>
      </c>
      <c r="D57" s="4">
        <v>13448</v>
      </c>
      <c r="E57" s="1083">
        <v>6259.5</v>
      </c>
      <c r="F57" s="939" t="s">
        <v>1649</v>
      </c>
      <c r="G57" s="1" t="s">
        <v>45</v>
      </c>
      <c r="H57" s="1"/>
      <c r="I57" s="1"/>
      <c r="J57" s="1"/>
      <c r="K57" s="1"/>
      <c r="L57" s="1"/>
      <c r="M57" s="2" t="s">
        <v>3208</v>
      </c>
    </row>
    <row r="58" spans="1:13" ht="19.5">
      <c r="A58" s="1">
        <v>4</v>
      </c>
      <c r="B58" s="2" t="s">
        <v>2144</v>
      </c>
      <c r="C58" s="1" t="s">
        <v>2148</v>
      </c>
      <c r="D58" s="4">
        <v>13448</v>
      </c>
      <c r="E58" s="1083">
        <v>6259.5</v>
      </c>
      <c r="F58" s="939" t="s">
        <v>1649</v>
      </c>
      <c r="G58" s="1" t="s">
        <v>45</v>
      </c>
      <c r="H58" s="1"/>
      <c r="I58" s="1"/>
      <c r="J58" s="1"/>
      <c r="K58" s="1"/>
      <c r="L58" s="1"/>
      <c r="M58" s="2" t="s">
        <v>3208</v>
      </c>
    </row>
    <row r="59" spans="1:13" ht="19.5">
      <c r="A59" s="1">
        <v>5</v>
      </c>
      <c r="B59" s="2" t="s">
        <v>2144</v>
      </c>
      <c r="C59" s="1" t="s">
        <v>2149</v>
      </c>
      <c r="D59" s="4">
        <v>13448</v>
      </c>
      <c r="E59" s="1083">
        <v>6259.5</v>
      </c>
      <c r="F59" s="939" t="s">
        <v>1649</v>
      </c>
      <c r="G59" s="1" t="s">
        <v>45</v>
      </c>
      <c r="H59" s="1"/>
      <c r="I59" s="1"/>
      <c r="J59" s="1"/>
      <c r="K59" s="1"/>
      <c r="L59" s="1"/>
      <c r="M59" s="2" t="s">
        <v>3208</v>
      </c>
    </row>
    <row r="60" spans="1:13" ht="19.5">
      <c r="A60" s="1">
        <v>6</v>
      </c>
      <c r="B60" s="2" t="s">
        <v>2144</v>
      </c>
      <c r="C60" s="1" t="s">
        <v>2150</v>
      </c>
      <c r="D60" s="4">
        <v>13448</v>
      </c>
      <c r="E60" s="1083">
        <v>6259.5</v>
      </c>
      <c r="F60" s="939" t="s">
        <v>1649</v>
      </c>
      <c r="G60" s="1" t="s">
        <v>45</v>
      </c>
      <c r="H60" s="1"/>
      <c r="I60" s="1"/>
      <c r="J60" s="1"/>
      <c r="K60" s="1"/>
      <c r="L60" s="1"/>
      <c r="M60" s="2" t="s">
        <v>3208</v>
      </c>
    </row>
    <row r="61" spans="1:13" ht="19.5">
      <c r="A61" s="1">
        <v>7</v>
      </c>
      <c r="B61" s="2" t="s">
        <v>2144</v>
      </c>
      <c r="C61" s="1" t="s">
        <v>2151</v>
      </c>
      <c r="D61" s="4">
        <v>13448</v>
      </c>
      <c r="E61" s="1083">
        <v>6259.5</v>
      </c>
      <c r="F61" s="939" t="s">
        <v>1649</v>
      </c>
      <c r="G61" s="1" t="s">
        <v>45</v>
      </c>
      <c r="H61" s="1"/>
      <c r="I61" s="1"/>
      <c r="J61" s="1"/>
      <c r="K61" s="1"/>
      <c r="L61" s="1"/>
      <c r="M61" s="2" t="s">
        <v>3208</v>
      </c>
    </row>
    <row r="62" spans="1:13" ht="19.5">
      <c r="A62" s="1">
        <v>8</v>
      </c>
      <c r="B62" s="2" t="s">
        <v>2144</v>
      </c>
      <c r="C62" s="1" t="s">
        <v>2152</v>
      </c>
      <c r="D62" s="4">
        <v>13448</v>
      </c>
      <c r="E62" s="1083">
        <v>6259.5</v>
      </c>
      <c r="F62" s="939" t="s">
        <v>1649</v>
      </c>
      <c r="G62" s="1" t="s">
        <v>45</v>
      </c>
      <c r="H62" s="1"/>
      <c r="I62" s="1"/>
      <c r="J62" s="1"/>
      <c r="K62" s="1"/>
      <c r="L62" s="1"/>
      <c r="M62" s="2" t="s">
        <v>3208</v>
      </c>
    </row>
    <row r="63" spans="1:13" ht="19.5">
      <c r="A63" s="1">
        <v>9</v>
      </c>
      <c r="B63" s="2" t="s">
        <v>2144</v>
      </c>
      <c r="C63" s="1" t="s">
        <v>2153</v>
      </c>
      <c r="D63" s="4">
        <v>13448</v>
      </c>
      <c r="E63" s="1083">
        <v>6259.5</v>
      </c>
      <c r="F63" s="939" t="s">
        <v>1649</v>
      </c>
      <c r="G63" s="1" t="s">
        <v>45</v>
      </c>
      <c r="H63" s="1"/>
      <c r="I63" s="1"/>
      <c r="J63" s="1"/>
      <c r="K63" s="1"/>
      <c r="L63" s="1"/>
      <c r="M63" s="2" t="s">
        <v>3208</v>
      </c>
    </row>
    <row r="64" spans="1:13" ht="19.5">
      <c r="A64" s="1">
        <v>10</v>
      </c>
      <c r="B64" s="2" t="s">
        <v>2144</v>
      </c>
      <c r="C64" s="1" t="s">
        <v>2154</v>
      </c>
      <c r="D64" s="4">
        <v>13448</v>
      </c>
      <c r="E64" s="1083">
        <v>6259.5</v>
      </c>
      <c r="F64" s="939" t="s">
        <v>1649</v>
      </c>
      <c r="G64" s="1" t="s">
        <v>45</v>
      </c>
      <c r="H64" s="1"/>
      <c r="I64" s="1"/>
      <c r="J64" s="1"/>
      <c r="K64" s="1"/>
      <c r="L64" s="1"/>
      <c r="M64" s="2" t="s">
        <v>3208</v>
      </c>
    </row>
    <row r="65" spans="1:13" ht="19.5">
      <c r="A65" s="1">
        <v>11</v>
      </c>
      <c r="B65" s="2" t="s">
        <v>2144</v>
      </c>
      <c r="C65" s="1" t="s">
        <v>2155</v>
      </c>
      <c r="D65" s="4">
        <v>13448</v>
      </c>
      <c r="E65" s="1083">
        <v>6259.5</v>
      </c>
      <c r="F65" s="939" t="s">
        <v>1649</v>
      </c>
      <c r="G65" s="1" t="s">
        <v>45</v>
      </c>
      <c r="H65" s="1"/>
      <c r="I65" s="1"/>
      <c r="J65" s="1"/>
      <c r="K65" s="1"/>
      <c r="L65" s="1"/>
      <c r="M65" s="2" t="s">
        <v>3208</v>
      </c>
    </row>
    <row r="66" spans="1:13" ht="19.5">
      <c r="A66" s="1">
        <v>12</v>
      </c>
      <c r="B66" s="2" t="s">
        <v>2144</v>
      </c>
      <c r="C66" s="1" t="s">
        <v>2156</v>
      </c>
      <c r="D66" s="4">
        <v>13448</v>
      </c>
      <c r="E66" s="1083">
        <v>6259.5</v>
      </c>
      <c r="F66" s="939" t="s">
        <v>1649</v>
      </c>
      <c r="G66" s="1" t="s">
        <v>45</v>
      </c>
      <c r="H66" s="1"/>
      <c r="I66" s="1"/>
      <c r="J66" s="1"/>
      <c r="K66" s="1"/>
      <c r="L66" s="1"/>
      <c r="M66" s="2" t="s">
        <v>3208</v>
      </c>
    </row>
    <row r="67" spans="1:13" ht="19.5">
      <c r="A67" s="1">
        <v>13</v>
      </c>
      <c r="B67" s="2" t="s">
        <v>2144</v>
      </c>
      <c r="C67" s="1" t="s">
        <v>2157</v>
      </c>
      <c r="D67" s="4">
        <v>13448</v>
      </c>
      <c r="E67" s="1083">
        <v>6259.5</v>
      </c>
      <c r="F67" s="939" t="s">
        <v>1649</v>
      </c>
      <c r="G67" s="1" t="s">
        <v>45</v>
      </c>
      <c r="H67" s="1"/>
      <c r="I67" s="1"/>
      <c r="J67" s="1"/>
      <c r="K67" s="1"/>
      <c r="L67" s="1"/>
      <c r="M67" s="2" t="s">
        <v>3208</v>
      </c>
    </row>
    <row r="68" spans="1:13" ht="19.5">
      <c r="A68" s="1">
        <v>14</v>
      </c>
      <c r="B68" s="2" t="s">
        <v>2144</v>
      </c>
      <c r="C68" s="1" t="s">
        <v>2158</v>
      </c>
      <c r="D68" s="4">
        <v>13448</v>
      </c>
      <c r="E68" s="1083">
        <v>6259.5</v>
      </c>
      <c r="F68" s="939" t="s">
        <v>1649</v>
      </c>
      <c r="G68" s="1" t="s">
        <v>45</v>
      </c>
      <c r="H68" s="1"/>
      <c r="I68" s="1"/>
      <c r="J68" s="1"/>
      <c r="K68" s="1"/>
      <c r="L68" s="1"/>
      <c r="M68" s="2" t="s">
        <v>3208</v>
      </c>
    </row>
    <row r="69" spans="1:13" ht="19.5">
      <c r="A69" s="1">
        <v>15</v>
      </c>
      <c r="B69" s="2" t="s">
        <v>2144</v>
      </c>
      <c r="C69" s="1" t="s">
        <v>2159</v>
      </c>
      <c r="D69" s="4">
        <v>13448</v>
      </c>
      <c r="E69" s="1083">
        <v>6259.5</v>
      </c>
      <c r="F69" s="939" t="s">
        <v>1649</v>
      </c>
      <c r="G69" s="1" t="s">
        <v>45</v>
      </c>
      <c r="H69" s="1"/>
      <c r="I69" s="1"/>
      <c r="J69" s="1"/>
      <c r="K69" s="1"/>
      <c r="L69" s="1"/>
      <c r="M69" s="2" t="s">
        <v>3208</v>
      </c>
    </row>
    <row r="70" spans="1:13" ht="19.5">
      <c r="A70" s="1">
        <v>16</v>
      </c>
      <c r="B70" s="2" t="s">
        <v>2144</v>
      </c>
      <c r="C70" s="1" t="s">
        <v>2160</v>
      </c>
      <c r="D70" s="4">
        <v>13448</v>
      </c>
      <c r="E70" s="1083">
        <v>6259.5</v>
      </c>
      <c r="F70" s="939" t="s">
        <v>1649</v>
      </c>
      <c r="G70" s="1" t="s">
        <v>45</v>
      </c>
      <c r="H70" s="1"/>
      <c r="I70" s="1"/>
      <c r="J70" s="1"/>
      <c r="K70" s="1"/>
      <c r="L70" s="1"/>
      <c r="M70" s="2" t="s">
        <v>3208</v>
      </c>
    </row>
    <row r="71" spans="1:13" ht="19.5">
      <c r="A71" s="1">
        <v>17</v>
      </c>
      <c r="B71" s="2" t="s">
        <v>2144</v>
      </c>
      <c r="C71" s="1" t="s">
        <v>2161</v>
      </c>
      <c r="D71" s="4">
        <v>13448</v>
      </c>
      <c r="E71" s="1083">
        <v>6259.5</v>
      </c>
      <c r="F71" s="939" t="s">
        <v>1649</v>
      </c>
      <c r="G71" s="1" t="s">
        <v>45</v>
      </c>
      <c r="H71" s="1"/>
      <c r="I71" s="1"/>
      <c r="J71" s="1"/>
      <c r="K71" s="1"/>
      <c r="L71" s="1"/>
      <c r="M71" s="2" t="s">
        <v>3208</v>
      </c>
    </row>
    <row r="72" spans="1:13" ht="19.5">
      <c r="A72" s="1">
        <v>18</v>
      </c>
      <c r="B72" s="2" t="s">
        <v>2144</v>
      </c>
      <c r="C72" s="1" t="s">
        <v>2162</v>
      </c>
      <c r="D72" s="4">
        <v>13448</v>
      </c>
      <c r="E72" s="1083">
        <v>6259.5</v>
      </c>
      <c r="F72" s="939" t="s">
        <v>1649</v>
      </c>
      <c r="G72" s="1" t="s">
        <v>45</v>
      </c>
      <c r="H72" s="1"/>
      <c r="I72" s="1"/>
      <c r="J72" s="1"/>
      <c r="K72" s="1"/>
      <c r="L72" s="1"/>
      <c r="M72" s="2" t="s">
        <v>3208</v>
      </c>
    </row>
    <row r="73" spans="1:13" ht="19.5">
      <c r="A73" s="1">
        <v>19</v>
      </c>
      <c r="B73" s="2" t="s">
        <v>2144</v>
      </c>
      <c r="C73" s="1" t="s">
        <v>2163</v>
      </c>
      <c r="D73" s="4">
        <v>13448</v>
      </c>
      <c r="E73" s="1083">
        <v>6259.5</v>
      </c>
      <c r="F73" s="939" t="s">
        <v>1649</v>
      </c>
      <c r="G73" s="1" t="s">
        <v>45</v>
      </c>
      <c r="H73" s="1"/>
      <c r="I73" s="1"/>
      <c r="J73" s="1"/>
      <c r="K73" s="1"/>
      <c r="L73" s="1"/>
      <c r="M73" s="2" t="s">
        <v>3208</v>
      </c>
    </row>
    <row r="74" spans="1:13" ht="19.5">
      <c r="A74" s="1">
        <v>20</v>
      </c>
      <c r="B74" s="2" t="s">
        <v>2144</v>
      </c>
      <c r="C74" s="1" t="s">
        <v>2164</v>
      </c>
      <c r="D74" s="4">
        <v>13448</v>
      </c>
      <c r="E74" s="1083">
        <v>6259.5</v>
      </c>
      <c r="F74" s="939" t="s">
        <v>1649</v>
      </c>
      <c r="G74" s="1" t="s">
        <v>45</v>
      </c>
      <c r="H74" s="1"/>
      <c r="I74" s="1"/>
      <c r="J74" s="1"/>
      <c r="K74" s="1"/>
      <c r="L74" s="1"/>
      <c r="M74" s="2" t="s">
        <v>3208</v>
      </c>
    </row>
    <row r="75" spans="1:13" ht="19.5">
      <c r="A75" s="1">
        <v>21</v>
      </c>
      <c r="B75" s="2" t="s">
        <v>2144</v>
      </c>
      <c r="C75" s="1" t="s">
        <v>2165</v>
      </c>
      <c r="D75" s="4">
        <v>13448</v>
      </c>
      <c r="E75" s="1083">
        <v>6259.5</v>
      </c>
      <c r="F75" s="939" t="s">
        <v>1649</v>
      </c>
      <c r="G75" s="1" t="s">
        <v>45</v>
      </c>
      <c r="H75" s="1"/>
      <c r="I75" s="1"/>
      <c r="J75" s="1"/>
      <c r="K75" s="1"/>
      <c r="L75" s="1"/>
      <c r="M75" s="2" t="s">
        <v>3208</v>
      </c>
    </row>
    <row r="76" spans="1:13" ht="19.5">
      <c r="A76" s="1">
        <v>22</v>
      </c>
      <c r="B76" s="2" t="s">
        <v>2144</v>
      </c>
      <c r="C76" s="1" t="s">
        <v>2166</v>
      </c>
      <c r="D76" s="4">
        <v>13448</v>
      </c>
      <c r="E76" s="1083">
        <v>6259.5</v>
      </c>
      <c r="F76" s="939" t="s">
        <v>1649</v>
      </c>
      <c r="G76" s="1" t="s">
        <v>45</v>
      </c>
      <c r="H76" s="1"/>
      <c r="I76" s="1"/>
      <c r="J76" s="1"/>
      <c r="K76" s="1"/>
      <c r="L76" s="1"/>
      <c r="M76" s="2" t="s">
        <v>3208</v>
      </c>
    </row>
    <row r="77" spans="1:13" ht="19.5">
      <c r="A77" s="1">
        <v>23</v>
      </c>
      <c r="B77" s="2" t="s">
        <v>2144</v>
      </c>
      <c r="C77" s="1" t="s">
        <v>2167</v>
      </c>
      <c r="D77" s="4">
        <v>13448</v>
      </c>
      <c r="E77" s="1083">
        <v>6259.5</v>
      </c>
      <c r="F77" s="939" t="s">
        <v>1649</v>
      </c>
      <c r="G77" s="1" t="s">
        <v>45</v>
      </c>
      <c r="H77" s="1"/>
      <c r="I77" s="1"/>
      <c r="J77" s="1"/>
      <c r="K77" s="1"/>
      <c r="L77" s="1"/>
      <c r="M77" s="2" t="s">
        <v>3208</v>
      </c>
    </row>
    <row r="78" spans="1:13" ht="19.5">
      <c r="A78" s="1">
        <v>24</v>
      </c>
      <c r="B78" s="2" t="s">
        <v>2144</v>
      </c>
      <c r="C78" s="1" t="s">
        <v>2168</v>
      </c>
      <c r="D78" s="4">
        <v>13448</v>
      </c>
      <c r="E78" s="1083">
        <v>6259.5</v>
      </c>
      <c r="F78" s="939" t="s">
        <v>1649</v>
      </c>
      <c r="G78" s="1" t="s">
        <v>45</v>
      </c>
      <c r="H78" s="1"/>
      <c r="I78" s="1"/>
      <c r="J78" s="1"/>
      <c r="K78" s="1"/>
      <c r="L78" s="1"/>
      <c r="M78" s="2" t="s">
        <v>3208</v>
      </c>
    </row>
    <row r="79" spans="1:13" ht="19.5">
      <c r="A79" s="1">
        <v>25</v>
      </c>
      <c r="B79" s="2" t="s">
        <v>2144</v>
      </c>
      <c r="C79" s="1" t="s">
        <v>2169</v>
      </c>
      <c r="D79" s="4">
        <v>13448</v>
      </c>
      <c r="E79" s="1083">
        <v>6259.5</v>
      </c>
      <c r="F79" s="939" t="s">
        <v>1649</v>
      </c>
      <c r="G79" s="1" t="s">
        <v>45</v>
      </c>
      <c r="H79" s="1"/>
      <c r="I79" s="1"/>
      <c r="J79" s="1"/>
      <c r="K79" s="1"/>
      <c r="L79" s="1"/>
      <c r="M79" s="2" t="s">
        <v>3208</v>
      </c>
    </row>
    <row r="80" spans="1:13" ht="19.5">
      <c r="A80" s="1">
        <v>26</v>
      </c>
      <c r="B80" s="2" t="s">
        <v>2144</v>
      </c>
      <c r="C80" s="1" t="s">
        <v>2170</v>
      </c>
      <c r="D80" s="4">
        <v>13448</v>
      </c>
      <c r="E80" s="1083">
        <v>6259.5</v>
      </c>
      <c r="F80" s="939" t="s">
        <v>1649</v>
      </c>
      <c r="G80" s="1" t="s">
        <v>45</v>
      </c>
      <c r="H80" s="1"/>
      <c r="I80" s="1"/>
      <c r="J80" s="1"/>
      <c r="K80" s="1"/>
      <c r="L80" s="1"/>
      <c r="M80" s="2" t="s">
        <v>3208</v>
      </c>
    </row>
    <row r="81" spans="1:13" ht="19.5">
      <c r="A81" s="1">
        <v>27</v>
      </c>
      <c r="B81" s="2" t="s">
        <v>2144</v>
      </c>
      <c r="C81" s="1" t="s">
        <v>2171</v>
      </c>
      <c r="D81" s="4">
        <v>13448</v>
      </c>
      <c r="E81" s="1083">
        <v>6259.5</v>
      </c>
      <c r="F81" s="939" t="s">
        <v>1649</v>
      </c>
      <c r="G81" s="1" t="s">
        <v>45</v>
      </c>
      <c r="H81" s="1"/>
      <c r="I81" s="1"/>
      <c r="J81" s="1"/>
      <c r="K81" s="1"/>
      <c r="L81" s="1"/>
      <c r="M81" s="2" t="s">
        <v>3208</v>
      </c>
    </row>
    <row r="82" spans="1:13" ht="19.5">
      <c r="A82" s="1">
        <v>28</v>
      </c>
      <c r="B82" s="2" t="s">
        <v>2144</v>
      </c>
      <c r="C82" s="1" t="s">
        <v>2172</v>
      </c>
      <c r="D82" s="4">
        <v>13448</v>
      </c>
      <c r="E82" s="1083">
        <v>6259.5</v>
      </c>
      <c r="F82" s="939" t="s">
        <v>1649</v>
      </c>
      <c r="G82" s="1" t="s">
        <v>45</v>
      </c>
      <c r="H82" s="1"/>
      <c r="I82" s="1"/>
      <c r="J82" s="1"/>
      <c r="K82" s="1"/>
      <c r="L82" s="1"/>
      <c r="M82" s="2" t="s">
        <v>3208</v>
      </c>
    </row>
    <row r="83" spans="1:13" ht="19.5">
      <c r="A83" s="1">
        <v>29</v>
      </c>
      <c r="B83" s="2" t="s">
        <v>2144</v>
      </c>
      <c r="C83" s="1" t="s">
        <v>2173</v>
      </c>
      <c r="D83" s="4">
        <v>13448</v>
      </c>
      <c r="E83" s="1083">
        <v>6259.5</v>
      </c>
      <c r="F83" s="939" t="s">
        <v>1649</v>
      </c>
      <c r="G83" s="1" t="s">
        <v>45</v>
      </c>
      <c r="H83" s="1"/>
      <c r="I83" s="1"/>
      <c r="J83" s="1"/>
      <c r="K83" s="1"/>
      <c r="L83" s="1"/>
      <c r="M83" s="2" t="s">
        <v>3208</v>
      </c>
    </row>
    <row r="84" spans="1:13" ht="19.5">
      <c r="A84" s="1">
        <v>30</v>
      </c>
      <c r="B84" s="2" t="s">
        <v>2144</v>
      </c>
      <c r="C84" s="1" t="s">
        <v>2174</v>
      </c>
      <c r="D84" s="4">
        <v>13448</v>
      </c>
      <c r="E84" s="1083">
        <v>6259.5</v>
      </c>
      <c r="F84" s="939" t="s">
        <v>1649</v>
      </c>
      <c r="G84" s="1" t="s">
        <v>45</v>
      </c>
      <c r="H84" s="1"/>
      <c r="I84" s="1"/>
      <c r="J84" s="1"/>
      <c r="K84" s="1"/>
      <c r="L84" s="1"/>
      <c r="M84" s="2" t="s">
        <v>3208</v>
      </c>
    </row>
    <row r="85" spans="1:13" ht="19.5">
      <c r="A85" s="1">
        <v>31</v>
      </c>
      <c r="B85" s="2" t="s">
        <v>2144</v>
      </c>
      <c r="C85" s="1" t="s">
        <v>2175</v>
      </c>
      <c r="D85" s="4">
        <v>13448</v>
      </c>
      <c r="E85" s="1083">
        <v>6259.5</v>
      </c>
      <c r="F85" s="939" t="s">
        <v>1649</v>
      </c>
      <c r="G85" s="1" t="s">
        <v>45</v>
      </c>
      <c r="H85" s="1"/>
      <c r="I85" s="1"/>
      <c r="J85" s="1"/>
      <c r="K85" s="1"/>
      <c r="L85" s="1"/>
      <c r="M85" s="2" t="s">
        <v>3208</v>
      </c>
    </row>
    <row r="86" spans="1:13" s="914" customFormat="1" ht="20.25" thickBot="1">
      <c r="A86" s="909">
        <v>31</v>
      </c>
      <c r="B86" s="908"/>
      <c r="C86" s="909"/>
      <c r="D86" s="910" t="s">
        <v>64</v>
      </c>
      <c r="E86" s="911">
        <f>SUM(E55:E85)</f>
        <v>194044.5</v>
      </c>
      <c r="F86" s="909"/>
      <c r="G86" s="909"/>
      <c r="H86" s="909"/>
      <c r="I86" s="909"/>
      <c r="J86" s="909"/>
      <c r="K86" s="909"/>
      <c r="L86" s="909"/>
      <c r="M86" s="908"/>
    </row>
    <row r="87" spans="1:13" ht="20.25" thickTop="1">
      <c r="A87" s="1"/>
      <c r="B87" s="2"/>
      <c r="C87" s="1"/>
      <c r="D87" s="47"/>
      <c r="E87" s="95"/>
      <c r="F87" s="1"/>
      <c r="G87" s="1"/>
      <c r="H87" s="1"/>
      <c r="I87" s="1"/>
      <c r="J87" s="1"/>
      <c r="K87" s="1"/>
      <c r="L87" s="1"/>
      <c r="M87" s="2"/>
    </row>
    <row r="88" spans="1:13" ht="19.5">
      <c r="A88" s="2"/>
      <c r="B88" s="493" t="s">
        <v>1489</v>
      </c>
      <c r="C88" s="223"/>
      <c r="D88" s="494"/>
      <c r="E88" s="92"/>
      <c r="F88" s="1"/>
      <c r="G88" s="1"/>
      <c r="H88" s="2"/>
      <c r="I88" s="2"/>
      <c r="J88" s="2"/>
      <c r="K88" s="2"/>
      <c r="L88" s="2"/>
      <c r="M88" s="2"/>
    </row>
    <row r="89" spans="1:13" s="46" customFormat="1" ht="19.5">
      <c r="A89" s="1">
        <v>1</v>
      </c>
      <c r="B89" s="3" t="s">
        <v>2139</v>
      </c>
      <c r="C89" s="158" t="s">
        <v>2140</v>
      </c>
      <c r="D89" s="4">
        <v>13480</v>
      </c>
      <c r="E89" s="58">
        <v>5800</v>
      </c>
      <c r="F89" s="1011" t="s">
        <v>1649</v>
      </c>
      <c r="G89" s="1" t="s">
        <v>1458</v>
      </c>
      <c r="H89" s="2"/>
      <c r="I89" s="2"/>
      <c r="J89" s="2"/>
      <c r="K89" s="2"/>
      <c r="L89" s="2"/>
      <c r="M89" s="2"/>
    </row>
    <row r="90" spans="1:13" s="46" customFormat="1" ht="19.5">
      <c r="A90" s="1">
        <v>2</v>
      </c>
      <c r="B90" s="3" t="s">
        <v>2141</v>
      </c>
      <c r="C90" s="158" t="s">
        <v>2142</v>
      </c>
      <c r="D90" s="4">
        <v>21512</v>
      </c>
      <c r="E90" s="58">
        <v>6990</v>
      </c>
      <c r="F90" s="1127" t="s">
        <v>2433</v>
      </c>
      <c r="G90" s="1" t="s">
        <v>1458</v>
      </c>
      <c r="H90" s="2"/>
      <c r="I90" s="2"/>
      <c r="J90" s="2"/>
      <c r="K90" s="2"/>
      <c r="L90" s="2"/>
      <c r="M90" s="2"/>
    </row>
    <row r="91" spans="1:13" s="46" customFormat="1" ht="19.5">
      <c r="A91" s="1">
        <v>3</v>
      </c>
      <c r="B91" s="3" t="s">
        <v>1490</v>
      </c>
      <c r="C91" s="158" t="s">
        <v>1491</v>
      </c>
      <c r="D91" s="4">
        <v>22300</v>
      </c>
      <c r="E91" s="58">
        <v>7990</v>
      </c>
      <c r="F91" s="1129" t="s">
        <v>1265</v>
      </c>
      <c r="G91" s="1" t="s">
        <v>1458</v>
      </c>
      <c r="H91" s="2"/>
      <c r="I91" s="2"/>
      <c r="J91" s="2"/>
      <c r="K91" s="2"/>
      <c r="L91" s="2"/>
      <c r="M91" s="2" t="s">
        <v>3178</v>
      </c>
    </row>
    <row r="92" spans="1:13" s="1008" customFormat="1" ht="20.25" thickBot="1">
      <c r="A92" s="908">
        <v>3</v>
      </c>
      <c r="B92" s="1039"/>
      <c r="C92" s="912"/>
      <c r="D92" s="1040" t="s">
        <v>64</v>
      </c>
      <c r="E92" s="1041">
        <f>SUM(E89:E91)</f>
        <v>20780</v>
      </c>
      <c r="F92" s="909"/>
      <c r="G92" s="909"/>
      <c r="H92" s="908"/>
      <c r="I92" s="908"/>
      <c r="J92" s="908"/>
      <c r="K92" s="908"/>
      <c r="L92" s="908"/>
      <c r="M92" s="908"/>
    </row>
    <row r="93" spans="1:13" s="46" customFormat="1" ht="20.25" thickTop="1">
      <c r="A93" s="1"/>
      <c r="B93" s="2"/>
      <c r="C93" s="1"/>
      <c r="D93" s="4"/>
      <c r="E93" s="57"/>
      <c r="F93" s="1"/>
      <c r="G93" s="222"/>
      <c r="H93" s="222"/>
      <c r="I93" s="222"/>
      <c r="J93" s="222"/>
      <c r="K93" s="222"/>
      <c r="L93" s="222"/>
      <c r="M93" s="222"/>
    </row>
    <row r="94" spans="1:13" ht="19.5">
      <c r="A94" s="1"/>
      <c r="B94" s="212" t="s">
        <v>978</v>
      </c>
      <c r="C94" s="1"/>
      <c r="D94" s="47"/>
      <c r="E94" s="57"/>
      <c r="F94" s="1"/>
      <c r="G94" s="1"/>
      <c r="H94" s="1"/>
      <c r="I94" s="1"/>
      <c r="J94" s="1"/>
      <c r="K94" s="1"/>
      <c r="L94" s="1"/>
      <c r="M94" s="1"/>
    </row>
    <row r="95" spans="1:13" ht="19.5">
      <c r="A95" s="1">
        <v>1</v>
      </c>
      <c r="B95" s="2" t="s">
        <v>979</v>
      </c>
      <c r="C95" s="1" t="s">
        <v>980</v>
      </c>
      <c r="D95" s="4">
        <v>15228</v>
      </c>
      <c r="E95" s="57">
        <v>14850</v>
      </c>
      <c r="F95" s="1127" t="s">
        <v>2433</v>
      </c>
      <c r="G95" s="1" t="s">
        <v>45</v>
      </c>
      <c r="H95" s="1"/>
      <c r="I95" s="1"/>
      <c r="J95" s="1"/>
      <c r="K95" s="1"/>
      <c r="L95" s="1"/>
      <c r="M95" s="1"/>
    </row>
    <row r="96" spans="1:13" s="914" customFormat="1" ht="20.25" thickBot="1">
      <c r="A96" s="909">
        <v>1</v>
      </c>
      <c r="B96" s="918"/>
      <c r="C96" s="909"/>
      <c r="D96" s="910" t="s">
        <v>64</v>
      </c>
      <c r="E96" s="911">
        <f>SUM(E95)</f>
        <v>14850</v>
      </c>
      <c r="F96" s="909"/>
      <c r="G96" s="909"/>
      <c r="H96" s="909"/>
      <c r="I96" s="909"/>
      <c r="J96" s="909"/>
      <c r="K96" s="909"/>
      <c r="L96" s="909"/>
      <c r="M96" s="909"/>
    </row>
    <row r="97" spans="1:13" ht="20.25" thickTop="1">
      <c r="A97" s="1"/>
      <c r="B97" s="48"/>
      <c r="C97" s="1"/>
      <c r="D97" s="415"/>
      <c r="E97" s="278"/>
      <c r="F97" s="192"/>
      <c r="G97" s="1"/>
      <c r="H97" s="1"/>
      <c r="I97" s="1"/>
      <c r="J97" s="1"/>
      <c r="K97" s="1"/>
      <c r="L97" s="1"/>
      <c r="M97" s="1"/>
    </row>
    <row r="98" spans="1:13" s="1002" customFormat="1" ht="20.25" thickBot="1">
      <c r="A98" s="997">
        <f>A96+A92+A86+A52+A42+A22</f>
        <v>71</v>
      </c>
      <c r="B98" s="998"/>
      <c r="C98" s="997"/>
      <c r="D98" s="999" t="s">
        <v>1723</v>
      </c>
      <c r="E98" s="1000">
        <f>SUM(E22+E42+E52+E86+E92+E96)</f>
        <v>428284.5</v>
      </c>
      <c r="F98" s="997"/>
      <c r="G98" s="997"/>
      <c r="H98" s="997"/>
      <c r="I98" s="997"/>
      <c r="J98" s="997"/>
      <c r="K98" s="997"/>
      <c r="L98" s="997"/>
      <c r="M98" s="997"/>
    </row>
    <row r="99" spans="1:13" ht="20.25" thickTop="1">
      <c r="A99" s="1"/>
      <c r="B99" s="48"/>
      <c r="C99" s="1"/>
      <c r="D99" s="47"/>
      <c r="E99" s="264"/>
      <c r="F99" s="1"/>
      <c r="G99" s="1"/>
      <c r="H99" s="1"/>
      <c r="I99" s="1"/>
      <c r="J99" s="1"/>
      <c r="K99" s="1"/>
      <c r="L99" s="1"/>
      <c r="M99" s="1"/>
    </row>
    <row r="100" spans="1:13" ht="19.5">
      <c r="A100" s="1"/>
      <c r="B100" s="48"/>
      <c r="C100" s="1"/>
      <c r="D100" s="47"/>
      <c r="E100" s="264"/>
      <c r="F100" s="1"/>
      <c r="G100" s="1"/>
      <c r="H100" s="1"/>
      <c r="I100" s="1"/>
      <c r="J100" s="1"/>
      <c r="K100" s="1"/>
      <c r="L100" s="1"/>
      <c r="M100" s="1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9685039370078741" right="0.19685039370078741" top="0.39370078740157483" bottom="0.19685039370078741" header="0.31496062992125984" footer="0.31496062992125984"/>
  <pageSetup paperSize="9" orientation="landscape" horizont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M34"/>
  <sheetViews>
    <sheetView view="pageBreakPreview" topLeftCell="A4" zoomScaleSheetLayoutView="100" workbookViewId="0">
      <selection activeCell="F17" sqref="F17:F21"/>
    </sheetView>
  </sheetViews>
  <sheetFormatPr defaultColWidth="9" defaultRowHeight="15"/>
  <cols>
    <col min="1" max="1" width="5.25" style="36" customWidth="1"/>
    <col min="2" max="2" width="35.25" style="36" customWidth="1"/>
    <col min="3" max="3" width="10.25" style="36" customWidth="1"/>
    <col min="4" max="4" width="12.125" style="36" customWidth="1"/>
    <col min="5" max="5" width="13.25" style="220" customWidth="1"/>
    <col min="6" max="6" width="11.25" style="36" customWidth="1"/>
    <col min="7" max="12" width="4.625" style="36" customWidth="1"/>
    <col min="13" max="13" width="20.625" style="332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5.25" customHeight="1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66"/>
    </row>
    <row r="7" spans="1:13" ht="19.5">
      <c r="A7" s="42"/>
      <c r="B7" s="5" t="s">
        <v>1736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35"/>
    </row>
    <row r="8" spans="1:13" ht="19.5">
      <c r="A8" s="42"/>
      <c r="B8" s="5" t="s">
        <v>4016</v>
      </c>
      <c r="C8" s="42"/>
      <c r="D8" s="43"/>
      <c r="E8" s="217"/>
      <c r="F8" s="218"/>
      <c r="G8" s="218"/>
      <c r="H8" s="218"/>
      <c r="I8" s="42"/>
      <c r="J8" s="218"/>
      <c r="K8" s="42"/>
      <c r="L8" s="42"/>
      <c r="M8" s="335"/>
    </row>
    <row r="9" spans="1:13" s="249" customFormat="1" ht="19.5">
      <c r="A9" s="840">
        <v>1</v>
      </c>
      <c r="B9" s="841" t="s">
        <v>4018</v>
      </c>
      <c r="C9" s="840" t="s">
        <v>4017</v>
      </c>
      <c r="D9" s="843">
        <v>243628</v>
      </c>
      <c r="E9" s="370">
        <v>14980</v>
      </c>
      <c r="F9" s="1160" t="s">
        <v>2770</v>
      </c>
      <c r="G9" s="839" t="s">
        <v>45</v>
      </c>
      <c r="H9" s="839"/>
      <c r="I9" s="840"/>
      <c r="J9" s="839"/>
      <c r="K9" s="840"/>
      <c r="L9" s="840"/>
      <c r="M9" s="842" t="s">
        <v>3145</v>
      </c>
    </row>
    <row r="10" spans="1:13" s="914" customFormat="1" ht="19.5">
      <c r="A10" s="977">
        <v>1</v>
      </c>
      <c r="B10" s="1042"/>
      <c r="C10" s="977"/>
      <c r="D10" s="1035" t="s">
        <v>64</v>
      </c>
      <c r="E10" s="1043">
        <f>SUM(E9)</f>
        <v>14980</v>
      </c>
      <c r="F10" s="976"/>
      <c r="G10" s="976"/>
      <c r="H10" s="976"/>
      <c r="I10" s="977"/>
      <c r="J10" s="976"/>
      <c r="K10" s="977"/>
      <c r="L10" s="977"/>
      <c r="M10" s="1044"/>
    </row>
    <row r="11" spans="1:13" ht="19.5">
      <c r="A11" s="158"/>
      <c r="B11" s="5" t="s">
        <v>1718</v>
      </c>
      <c r="C11" s="158"/>
      <c r="D11" s="233"/>
      <c r="E11" s="234"/>
      <c r="F11" s="158"/>
      <c r="G11" s="158"/>
      <c r="H11" s="158"/>
      <c r="I11" s="158"/>
      <c r="J11" s="158"/>
      <c r="K11" s="158"/>
      <c r="L11" s="158"/>
      <c r="M11" s="343"/>
    </row>
    <row r="12" spans="1:13" ht="19.5">
      <c r="A12" s="158">
        <v>1</v>
      </c>
      <c r="B12" s="3" t="s">
        <v>2018</v>
      </c>
      <c r="C12" s="158" t="s">
        <v>2019</v>
      </c>
      <c r="D12" s="243">
        <v>44888</v>
      </c>
      <c r="E12" s="62">
        <v>13900</v>
      </c>
      <c r="F12" s="1143" t="s">
        <v>1649</v>
      </c>
      <c r="G12" s="158" t="s">
        <v>45</v>
      </c>
      <c r="H12" s="158"/>
      <c r="I12" s="158"/>
      <c r="J12" s="158"/>
      <c r="K12" s="158"/>
      <c r="L12" s="158"/>
      <c r="M12" s="343"/>
    </row>
    <row r="13" spans="1:13" s="44" customFormat="1" ht="19.5">
      <c r="A13" s="260">
        <v>2</v>
      </c>
      <c r="B13" s="259" t="s">
        <v>1691</v>
      </c>
      <c r="C13" s="260" t="s">
        <v>1692</v>
      </c>
      <c r="D13" s="243">
        <v>44899</v>
      </c>
      <c r="E13" s="62">
        <v>13800</v>
      </c>
      <c r="F13" s="1143" t="s">
        <v>1649</v>
      </c>
      <c r="G13" s="158" t="s">
        <v>45</v>
      </c>
      <c r="H13" s="158"/>
      <c r="I13" s="158"/>
      <c r="J13" s="158"/>
      <c r="K13" s="158"/>
      <c r="L13" s="158"/>
      <c r="M13" s="158"/>
    </row>
    <row r="14" spans="1:13" s="44" customFormat="1" ht="19.5">
      <c r="A14" s="260">
        <v>3</v>
      </c>
      <c r="B14" s="259" t="s">
        <v>1678</v>
      </c>
      <c r="C14" s="260" t="s">
        <v>2017</v>
      </c>
      <c r="D14" s="243">
        <v>20840</v>
      </c>
      <c r="E14" s="62">
        <v>12500</v>
      </c>
      <c r="F14" s="1143" t="s">
        <v>1649</v>
      </c>
      <c r="G14" s="158" t="s">
        <v>45</v>
      </c>
      <c r="H14" s="406"/>
      <c r="I14" s="49"/>
      <c r="J14" s="406"/>
      <c r="K14" s="49"/>
      <c r="L14" s="49"/>
      <c r="M14" s="2"/>
    </row>
    <row r="15" spans="1:13" s="44" customFormat="1" ht="19.5">
      <c r="A15" s="260">
        <v>4</v>
      </c>
      <c r="B15" s="259" t="s">
        <v>1679</v>
      </c>
      <c r="C15" s="260" t="s">
        <v>2015</v>
      </c>
      <c r="D15" s="243">
        <v>20840</v>
      </c>
      <c r="E15" s="1094">
        <v>12500</v>
      </c>
      <c r="F15" s="424" t="s">
        <v>1649</v>
      </c>
      <c r="G15" s="158" t="s">
        <v>45</v>
      </c>
      <c r="H15" s="406"/>
      <c r="I15" s="49"/>
      <c r="J15" s="406"/>
      <c r="K15" s="49"/>
      <c r="L15" s="49"/>
      <c r="M15" s="2" t="s">
        <v>3209</v>
      </c>
    </row>
    <row r="16" spans="1:13" s="44" customFormat="1" ht="19.5">
      <c r="A16" s="260">
        <v>5</v>
      </c>
      <c r="B16" s="259" t="s">
        <v>1678</v>
      </c>
      <c r="C16" s="260" t="s">
        <v>2016</v>
      </c>
      <c r="D16" s="243">
        <v>20840</v>
      </c>
      <c r="E16" s="62">
        <v>12500</v>
      </c>
      <c r="F16" s="1143" t="s">
        <v>1649</v>
      </c>
      <c r="G16" s="158" t="s">
        <v>45</v>
      </c>
      <c r="H16" s="406"/>
      <c r="I16" s="49"/>
      <c r="J16" s="406"/>
      <c r="K16" s="49"/>
      <c r="L16" s="49"/>
      <c r="M16" s="2"/>
    </row>
    <row r="17" spans="1:13" s="44" customFormat="1" ht="19.5">
      <c r="A17" s="312">
        <v>6</v>
      </c>
      <c r="B17" s="257" t="s">
        <v>1680</v>
      </c>
      <c r="C17" s="312" t="s">
        <v>1675</v>
      </c>
      <c r="D17" s="315">
        <v>21709</v>
      </c>
      <c r="E17" s="1102">
        <v>4800</v>
      </c>
      <c r="F17" s="1144" t="s">
        <v>1649</v>
      </c>
      <c r="G17" s="199" t="s">
        <v>45</v>
      </c>
      <c r="H17" s="425"/>
      <c r="I17" s="426"/>
      <c r="J17" s="425"/>
      <c r="K17" s="426"/>
      <c r="L17" s="426"/>
      <c r="M17" s="473" t="s">
        <v>3210</v>
      </c>
    </row>
    <row r="18" spans="1:13" s="44" customFormat="1" ht="19.5">
      <c r="A18" s="396"/>
      <c r="B18" s="495" t="s">
        <v>3213</v>
      </c>
      <c r="C18" s="396"/>
      <c r="D18" s="397"/>
      <c r="E18" s="1103"/>
      <c r="F18" s="1161"/>
      <c r="G18" s="232"/>
      <c r="H18" s="401"/>
      <c r="I18" s="488"/>
      <c r="J18" s="401"/>
      <c r="K18" s="488"/>
      <c r="L18" s="488"/>
      <c r="M18" s="50"/>
    </row>
    <row r="19" spans="1:13" s="44" customFormat="1" ht="19.5">
      <c r="A19" s="192">
        <v>7</v>
      </c>
      <c r="B19" s="257" t="s">
        <v>1680</v>
      </c>
      <c r="C19" s="312" t="s">
        <v>1676</v>
      </c>
      <c r="D19" s="315">
        <v>21709</v>
      </c>
      <c r="E19" s="1102">
        <v>4800</v>
      </c>
      <c r="F19" s="1144" t="s">
        <v>1649</v>
      </c>
      <c r="G19" s="199" t="s">
        <v>45</v>
      </c>
      <c r="H19" s="425"/>
      <c r="I19" s="426"/>
      <c r="J19" s="425"/>
      <c r="K19" s="426"/>
      <c r="L19" s="426"/>
      <c r="M19" s="473" t="s">
        <v>3211</v>
      </c>
    </row>
    <row r="20" spans="1:13" s="44" customFormat="1" ht="19.5">
      <c r="A20" s="35"/>
      <c r="B20" s="495" t="s">
        <v>3213</v>
      </c>
      <c r="C20" s="396"/>
      <c r="D20" s="397"/>
      <c r="E20" s="1103"/>
      <c r="F20" s="1161"/>
      <c r="G20" s="232"/>
      <c r="H20" s="401"/>
      <c r="I20" s="488"/>
      <c r="J20" s="401"/>
      <c r="K20" s="488"/>
      <c r="L20" s="488"/>
      <c r="M20" s="50"/>
    </row>
    <row r="21" spans="1:13" s="44" customFormat="1" ht="19.5">
      <c r="A21" s="192">
        <v>8</v>
      </c>
      <c r="B21" s="257" t="s">
        <v>1680</v>
      </c>
      <c r="C21" s="312" t="s">
        <v>1677</v>
      </c>
      <c r="D21" s="315">
        <v>21709</v>
      </c>
      <c r="E21" s="1102">
        <v>4800</v>
      </c>
      <c r="F21" s="1144" t="s">
        <v>1649</v>
      </c>
      <c r="G21" s="199" t="s">
        <v>45</v>
      </c>
      <c r="H21" s="425"/>
      <c r="I21" s="426"/>
      <c r="J21" s="425"/>
      <c r="K21" s="426"/>
      <c r="L21" s="426"/>
      <c r="M21" s="473" t="s">
        <v>3212</v>
      </c>
    </row>
    <row r="22" spans="1:13" s="44" customFormat="1" ht="19.5">
      <c r="A22" s="35"/>
      <c r="B22" s="495" t="s">
        <v>3213</v>
      </c>
      <c r="C22" s="396"/>
      <c r="D22" s="397"/>
      <c r="E22" s="1103"/>
      <c r="F22" s="431"/>
      <c r="G22" s="232"/>
      <c r="H22" s="401"/>
      <c r="I22" s="488"/>
      <c r="J22" s="401"/>
      <c r="K22" s="488"/>
      <c r="L22" s="488"/>
      <c r="M22" s="50"/>
    </row>
    <row r="23" spans="1:13" s="44" customFormat="1" ht="19.5">
      <c r="A23" s="192">
        <v>9</v>
      </c>
      <c r="B23" s="257" t="s">
        <v>1680</v>
      </c>
      <c r="C23" s="312" t="s">
        <v>1951</v>
      </c>
      <c r="D23" s="315">
        <v>21709</v>
      </c>
      <c r="E23" s="316">
        <v>4800</v>
      </c>
      <c r="F23" s="1144" t="s">
        <v>1649</v>
      </c>
      <c r="G23" s="199" t="s">
        <v>45</v>
      </c>
      <c r="H23" s="425"/>
      <c r="I23" s="426"/>
      <c r="J23" s="425"/>
      <c r="K23" s="426"/>
      <c r="L23" s="426"/>
      <c r="M23" s="473"/>
    </row>
    <row r="24" spans="1:13" s="44" customFormat="1" ht="19.5">
      <c r="A24" s="35"/>
      <c r="B24" s="495" t="s">
        <v>3213</v>
      </c>
      <c r="C24" s="396"/>
      <c r="D24" s="397"/>
      <c r="E24" s="407"/>
      <c r="F24" s="1161"/>
      <c r="G24" s="232"/>
      <c r="H24" s="401"/>
      <c r="I24" s="488"/>
      <c r="J24" s="401"/>
      <c r="K24" s="488"/>
      <c r="L24" s="488"/>
      <c r="M24" s="50"/>
    </row>
    <row r="25" spans="1:13" s="44" customFormat="1" ht="19.5">
      <c r="A25" s="192">
        <v>10</v>
      </c>
      <c r="B25" s="257" t="s">
        <v>1680</v>
      </c>
      <c r="C25" s="312" t="s">
        <v>1952</v>
      </c>
      <c r="D25" s="315">
        <v>21709</v>
      </c>
      <c r="E25" s="316">
        <v>4800</v>
      </c>
      <c r="F25" s="1144" t="s">
        <v>1649</v>
      </c>
      <c r="G25" s="199" t="s">
        <v>45</v>
      </c>
      <c r="H25" s="425"/>
      <c r="I25" s="426"/>
      <c r="J25" s="425"/>
      <c r="K25" s="426"/>
      <c r="L25" s="426"/>
      <c r="M25" s="473"/>
    </row>
    <row r="26" spans="1:13" s="44" customFormat="1" ht="19.5">
      <c r="A26" s="35"/>
      <c r="B26" s="495" t="s">
        <v>3213</v>
      </c>
      <c r="C26" s="396"/>
      <c r="D26" s="397"/>
      <c r="E26" s="407"/>
      <c r="F26" s="1161"/>
      <c r="G26" s="232"/>
      <c r="H26" s="401"/>
      <c r="I26" s="488"/>
      <c r="J26" s="401"/>
      <c r="K26" s="488"/>
      <c r="L26" s="488"/>
      <c r="M26" s="50"/>
    </row>
    <row r="27" spans="1:13" s="914" customFormat="1" ht="20.25" thickBot="1">
      <c r="A27" s="907">
        <v>10</v>
      </c>
      <c r="B27" s="915"/>
      <c r="C27" s="907"/>
      <c r="D27" s="910" t="s">
        <v>64</v>
      </c>
      <c r="E27" s="916">
        <f>SUM(E12:E25)</f>
        <v>89200</v>
      </c>
      <c r="F27" s="907"/>
      <c r="G27" s="907"/>
      <c r="H27" s="907"/>
      <c r="I27" s="907"/>
      <c r="J27" s="907"/>
      <c r="K27" s="907"/>
      <c r="L27" s="907"/>
      <c r="M27" s="1032"/>
    </row>
    <row r="28" spans="1:13" ht="20.25" thickTop="1">
      <c r="A28" s="158"/>
      <c r="B28" s="342" t="s">
        <v>2021</v>
      </c>
      <c r="C28" s="158"/>
      <c r="D28" s="47"/>
      <c r="E28" s="496"/>
      <c r="F28" s="158"/>
      <c r="G28" s="158"/>
      <c r="H28" s="158"/>
      <c r="I28" s="158"/>
      <c r="J28" s="158"/>
      <c r="K28" s="158"/>
      <c r="L28" s="158"/>
      <c r="M28" s="343"/>
    </row>
    <row r="29" spans="1:13" ht="19.5">
      <c r="A29" s="158">
        <v>1</v>
      </c>
      <c r="B29" s="417" t="s">
        <v>2020</v>
      </c>
      <c r="C29" s="260" t="s">
        <v>2022</v>
      </c>
      <c r="D29" s="243">
        <v>17804</v>
      </c>
      <c r="E29" s="62">
        <v>18500</v>
      </c>
      <c r="F29" s="1143" t="s">
        <v>1649</v>
      </c>
      <c r="G29" s="158" t="s">
        <v>45</v>
      </c>
      <c r="H29" s="158"/>
      <c r="I29" s="158"/>
      <c r="J29" s="158"/>
      <c r="K29" s="158"/>
      <c r="L29" s="158"/>
      <c r="M29" s="343"/>
    </row>
    <row r="30" spans="1:13" s="914" customFormat="1" ht="20.25" thickBot="1">
      <c r="A30" s="907">
        <v>1</v>
      </c>
      <c r="B30" s="1045"/>
      <c r="C30" s="1046"/>
      <c r="D30" s="910" t="s">
        <v>64</v>
      </c>
      <c r="E30" s="916">
        <f>SUM(E29)</f>
        <v>18500</v>
      </c>
      <c r="F30" s="907"/>
      <c r="G30" s="907"/>
      <c r="H30" s="907"/>
      <c r="I30" s="907"/>
      <c r="J30" s="907"/>
      <c r="K30" s="907"/>
      <c r="L30" s="907"/>
      <c r="M30" s="1032"/>
    </row>
    <row r="31" spans="1:13" ht="20.25" thickTop="1">
      <c r="A31" s="158"/>
      <c r="B31" s="342"/>
      <c r="C31" s="158"/>
      <c r="D31" s="47"/>
      <c r="E31" s="497"/>
      <c r="F31" s="158"/>
      <c r="G31" s="158"/>
      <c r="H31" s="158"/>
      <c r="I31" s="158"/>
      <c r="J31" s="158"/>
      <c r="K31" s="158"/>
      <c r="L31" s="158"/>
      <c r="M31" s="343"/>
    </row>
    <row r="32" spans="1:13" s="1002" customFormat="1" ht="20.25" thickBot="1">
      <c r="A32" s="997">
        <f>A30+A27+A10</f>
        <v>12</v>
      </c>
      <c r="B32" s="998"/>
      <c r="C32" s="997"/>
      <c r="D32" s="999" t="s">
        <v>1723</v>
      </c>
      <c r="E32" s="1000">
        <f>E30+E27+E10</f>
        <v>122680</v>
      </c>
      <c r="F32" s="997"/>
      <c r="G32" s="997"/>
      <c r="H32" s="997"/>
      <c r="I32" s="997"/>
      <c r="J32" s="997"/>
      <c r="K32" s="997"/>
      <c r="L32" s="997"/>
      <c r="M32" s="997"/>
    </row>
    <row r="33" spans="1:13" ht="20.25" thickTop="1">
      <c r="A33" s="1"/>
      <c r="B33" s="48"/>
      <c r="C33" s="1"/>
      <c r="D33" s="47"/>
      <c r="E33" s="264"/>
      <c r="F33" s="1"/>
      <c r="G33" s="1"/>
      <c r="H33" s="1"/>
      <c r="I33" s="1"/>
      <c r="J33" s="1"/>
      <c r="K33" s="1"/>
      <c r="L33" s="1"/>
      <c r="M33" s="1"/>
    </row>
    <row r="34" spans="1:13" ht="19.5">
      <c r="A34" s="1"/>
      <c r="B34" s="48"/>
      <c r="C34" s="1"/>
      <c r="D34" s="47"/>
      <c r="E34" s="264"/>
      <c r="F34" s="1"/>
      <c r="G34" s="1"/>
      <c r="H34" s="1"/>
      <c r="I34" s="1"/>
      <c r="J34" s="1"/>
      <c r="K34" s="1"/>
      <c r="L34" s="1"/>
      <c r="M34" s="1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15748031496062992" right="0.15748031496062992" top="0.19685039370078741" bottom="0.19685039370078741" header="0.31496062992125984" footer="0.31496062992125984"/>
  <pageSetup paperSize="9" orientation="landscape" horizont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M32"/>
  <sheetViews>
    <sheetView view="pageBreakPreview" topLeftCell="A8" zoomScaleSheetLayoutView="100" workbookViewId="0">
      <selection activeCell="F19" sqref="F19:F28"/>
    </sheetView>
  </sheetViews>
  <sheetFormatPr defaultColWidth="9" defaultRowHeight="15"/>
  <cols>
    <col min="1" max="1" width="5.25" style="36" customWidth="1"/>
    <col min="2" max="2" width="38.125" style="36" customWidth="1"/>
    <col min="3" max="3" width="10.25" style="36" customWidth="1"/>
    <col min="4" max="4" width="9.75" style="36" customWidth="1"/>
    <col min="5" max="5" width="13.25" style="220" customWidth="1"/>
    <col min="6" max="6" width="11.25" style="36" customWidth="1"/>
    <col min="7" max="12" width="4.625" style="36" customWidth="1"/>
    <col min="13" max="13" width="23" style="450" bestFit="1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0.75" customHeight="1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66"/>
    </row>
    <row r="7" spans="1:13" ht="19.5">
      <c r="A7" s="42"/>
      <c r="B7" s="5" t="s">
        <v>1742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423"/>
    </row>
    <row r="8" spans="1:13" ht="21.75">
      <c r="A8" s="1"/>
      <c r="B8" s="212" t="s">
        <v>1701</v>
      </c>
      <c r="C8" s="1"/>
      <c r="D8" s="233"/>
      <c r="E8" s="280"/>
      <c r="F8" s="1"/>
      <c r="G8" s="1"/>
      <c r="H8" s="1"/>
      <c r="I8" s="1"/>
      <c r="J8" s="1"/>
      <c r="K8" s="1"/>
      <c r="L8" s="1"/>
      <c r="M8" s="182"/>
    </row>
    <row r="9" spans="1:13" ht="19.5">
      <c r="A9" s="1">
        <v>1</v>
      </c>
      <c r="B9" s="2" t="s">
        <v>2041</v>
      </c>
      <c r="C9" s="1" t="s">
        <v>2042</v>
      </c>
      <c r="D9" s="243">
        <v>16115</v>
      </c>
      <c r="E9" s="253">
        <v>33000</v>
      </c>
      <c r="F9" s="1011" t="s">
        <v>1649</v>
      </c>
      <c r="G9" s="1" t="s">
        <v>45</v>
      </c>
      <c r="H9" s="1"/>
      <c r="I9" s="1"/>
      <c r="J9" s="1"/>
      <c r="K9" s="1"/>
      <c r="L9" s="1"/>
      <c r="M9" s="182"/>
    </row>
    <row r="10" spans="1:13" ht="19.5">
      <c r="A10" s="1">
        <v>2</v>
      </c>
      <c r="B10" s="2" t="s">
        <v>2041</v>
      </c>
      <c r="C10" s="1" t="s">
        <v>2043</v>
      </c>
      <c r="D10" s="243">
        <v>16115</v>
      </c>
      <c r="E10" s="253">
        <v>33000</v>
      </c>
      <c r="F10" s="1011" t="s">
        <v>1649</v>
      </c>
      <c r="G10" s="1" t="s">
        <v>45</v>
      </c>
      <c r="H10" s="1"/>
      <c r="I10" s="1"/>
      <c r="J10" s="1"/>
      <c r="K10" s="1"/>
      <c r="L10" s="1"/>
      <c r="M10" s="182"/>
    </row>
    <row r="11" spans="1:13" ht="19.5">
      <c r="A11" s="1">
        <v>3</v>
      </c>
      <c r="B11" s="2" t="s">
        <v>2041</v>
      </c>
      <c r="C11" s="1" t="s">
        <v>2044</v>
      </c>
      <c r="D11" s="243">
        <v>16115</v>
      </c>
      <c r="E11" s="253">
        <v>33000</v>
      </c>
      <c r="F11" s="1011" t="s">
        <v>1649</v>
      </c>
      <c r="G11" s="1" t="s">
        <v>45</v>
      </c>
      <c r="H11" s="1"/>
      <c r="I11" s="1"/>
      <c r="J11" s="1"/>
      <c r="K11" s="1"/>
      <c r="L11" s="1"/>
      <c r="M11" s="182"/>
    </row>
    <row r="12" spans="1:13" ht="19.5">
      <c r="A12" s="1">
        <v>4</v>
      </c>
      <c r="B12" s="2" t="s">
        <v>2041</v>
      </c>
      <c r="C12" s="1" t="s">
        <v>2045</v>
      </c>
      <c r="D12" s="243">
        <v>16115</v>
      </c>
      <c r="E12" s="253">
        <v>33000</v>
      </c>
      <c r="F12" s="1011" t="s">
        <v>1649</v>
      </c>
      <c r="G12" s="1" t="s">
        <v>45</v>
      </c>
      <c r="H12" s="1"/>
      <c r="I12" s="1"/>
      <c r="J12" s="1"/>
      <c r="K12" s="1"/>
      <c r="L12" s="1"/>
      <c r="M12" s="182"/>
    </row>
    <row r="13" spans="1:13" ht="19.5">
      <c r="A13" s="1">
        <v>5</v>
      </c>
      <c r="B13" s="2" t="s">
        <v>2041</v>
      </c>
      <c r="C13" s="1" t="s">
        <v>2046</v>
      </c>
      <c r="D13" s="243">
        <v>16115</v>
      </c>
      <c r="E13" s="253">
        <v>33000</v>
      </c>
      <c r="F13" s="1011" t="s">
        <v>1649</v>
      </c>
      <c r="G13" s="1" t="s">
        <v>45</v>
      </c>
      <c r="H13" s="1"/>
      <c r="I13" s="1"/>
      <c r="J13" s="1"/>
      <c r="K13" s="1"/>
      <c r="L13" s="1"/>
      <c r="M13" s="182"/>
    </row>
    <row r="14" spans="1:13" ht="19.5">
      <c r="A14" s="1">
        <v>6</v>
      </c>
      <c r="B14" s="2" t="s">
        <v>2047</v>
      </c>
      <c r="C14" s="1" t="s">
        <v>2048</v>
      </c>
      <c r="D14" s="243">
        <v>15745</v>
      </c>
      <c r="E14" s="253">
        <v>28000</v>
      </c>
      <c r="F14" s="1011" t="s">
        <v>1649</v>
      </c>
      <c r="G14" s="1" t="s">
        <v>45</v>
      </c>
      <c r="H14" s="1"/>
      <c r="I14" s="1"/>
      <c r="J14" s="1"/>
      <c r="K14" s="1"/>
      <c r="L14" s="1"/>
      <c r="M14" s="182"/>
    </row>
    <row r="15" spans="1:13" ht="19.5">
      <c r="A15" s="1">
        <v>7</v>
      </c>
      <c r="B15" s="2" t="s">
        <v>2047</v>
      </c>
      <c r="C15" s="1" t="s">
        <v>2049</v>
      </c>
      <c r="D15" s="243">
        <v>15745</v>
      </c>
      <c r="E15" s="253">
        <v>28000</v>
      </c>
      <c r="F15" s="1011" t="s">
        <v>1649</v>
      </c>
      <c r="G15" s="1" t="s">
        <v>45</v>
      </c>
      <c r="H15" s="1"/>
      <c r="I15" s="1"/>
      <c r="J15" s="1"/>
      <c r="K15" s="1"/>
      <c r="L15" s="1"/>
      <c r="M15" s="182"/>
    </row>
    <row r="16" spans="1:13" ht="19.5">
      <c r="A16" s="1">
        <v>8</v>
      </c>
      <c r="B16" s="2" t="s">
        <v>2047</v>
      </c>
      <c r="C16" s="1" t="s">
        <v>2050</v>
      </c>
      <c r="D16" s="243">
        <v>15745</v>
      </c>
      <c r="E16" s="253">
        <v>28000</v>
      </c>
      <c r="F16" s="1011" t="s">
        <v>1649</v>
      </c>
      <c r="G16" s="1" t="s">
        <v>45</v>
      </c>
      <c r="H16" s="1"/>
      <c r="I16" s="1"/>
      <c r="J16" s="1"/>
      <c r="K16" s="1"/>
      <c r="L16" s="1"/>
      <c r="M16" s="182"/>
    </row>
    <row r="17" spans="1:13" ht="19.5">
      <c r="A17" s="1">
        <v>9</v>
      </c>
      <c r="B17" s="2" t="s">
        <v>2047</v>
      </c>
      <c r="C17" s="1" t="s">
        <v>2051</v>
      </c>
      <c r="D17" s="243">
        <v>15745</v>
      </c>
      <c r="E17" s="253">
        <v>28000</v>
      </c>
      <c r="F17" s="1011" t="s">
        <v>1649</v>
      </c>
      <c r="G17" s="1" t="s">
        <v>45</v>
      </c>
      <c r="H17" s="1"/>
      <c r="I17" s="1"/>
      <c r="J17" s="1"/>
      <c r="K17" s="1"/>
      <c r="L17" s="1"/>
      <c r="M17" s="182"/>
    </row>
    <row r="18" spans="1:13" ht="19.5">
      <c r="A18" s="1">
        <v>10</v>
      </c>
      <c r="B18" s="2" t="s">
        <v>2047</v>
      </c>
      <c r="C18" s="1" t="s">
        <v>2052</v>
      </c>
      <c r="D18" s="243">
        <v>15745</v>
      </c>
      <c r="E18" s="253">
        <v>28000</v>
      </c>
      <c r="F18" s="1011" t="s">
        <v>1649</v>
      </c>
      <c r="G18" s="1" t="s">
        <v>45</v>
      </c>
      <c r="H18" s="1"/>
      <c r="I18" s="1"/>
      <c r="J18" s="1"/>
      <c r="K18" s="1"/>
      <c r="L18" s="1"/>
      <c r="M18" s="182"/>
    </row>
    <row r="19" spans="1:13" s="44" customFormat="1" ht="19.5">
      <c r="A19" s="1">
        <v>11</v>
      </c>
      <c r="B19" s="241" t="s">
        <v>1693</v>
      </c>
      <c r="C19" s="260" t="s">
        <v>1694</v>
      </c>
      <c r="D19" s="243">
        <v>20693</v>
      </c>
      <c r="E19" s="1096">
        <v>47000</v>
      </c>
      <c r="F19" s="939" t="s">
        <v>1649</v>
      </c>
      <c r="G19" s="1" t="s">
        <v>45</v>
      </c>
      <c r="H19" s="1"/>
      <c r="I19" s="1"/>
      <c r="J19" s="1"/>
      <c r="K19" s="1"/>
      <c r="L19" s="1"/>
      <c r="M19" s="182" t="s">
        <v>3205</v>
      </c>
    </row>
    <row r="20" spans="1:13" s="44" customFormat="1" ht="19.5">
      <c r="A20" s="1">
        <v>12</v>
      </c>
      <c r="B20" s="241" t="s">
        <v>1693</v>
      </c>
      <c r="C20" s="260" t="s">
        <v>1695</v>
      </c>
      <c r="D20" s="243">
        <v>20693</v>
      </c>
      <c r="E20" s="1096">
        <v>47000</v>
      </c>
      <c r="F20" s="939" t="s">
        <v>1649</v>
      </c>
      <c r="G20" s="1" t="s">
        <v>45</v>
      </c>
      <c r="H20" s="1"/>
      <c r="I20" s="1"/>
      <c r="J20" s="1"/>
      <c r="K20" s="1"/>
      <c r="L20" s="1"/>
      <c r="M20" s="182" t="s">
        <v>3205</v>
      </c>
    </row>
    <row r="21" spans="1:13" s="44" customFormat="1" ht="19.5">
      <c r="A21" s="1">
        <v>13</v>
      </c>
      <c r="B21" s="241" t="s">
        <v>1693</v>
      </c>
      <c r="C21" s="260" t="s">
        <v>1696</v>
      </c>
      <c r="D21" s="243">
        <v>20693</v>
      </c>
      <c r="E21" s="1096">
        <v>47000</v>
      </c>
      <c r="F21" s="939" t="s">
        <v>1649</v>
      </c>
      <c r="G21" s="1" t="s">
        <v>45</v>
      </c>
      <c r="H21" s="1"/>
      <c r="I21" s="1"/>
      <c r="J21" s="1"/>
      <c r="K21" s="1"/>
      <c r="L21" s="1"/>
      <c r="M21" s="182" t="s">
        <v>3205</v>
      </c>
    </row>
    <row r="22" spans="1:13" s="44" customFormat="1" ht="19.5">
      <c r="A22" s="1">
        <v>14</v>
      </c>
      <c r="B22" s="241" t="s">
        <v>3214</v>
      </c>
      <c r="C22" s="260" t="s">
        <v>1697</v>
      </c>
      <c r="D22" s="243">
        <v>22052</v>
      </c>
      <c r="E22" s="1096">
        <v>22000</v>
      </c>
      <c r="F22" s="939" t="s">
        <v>1649</v>
      </c>
      <c r="G22" s="1" t="s">
        <v>45</v>
      </c>
      <c r="H22" s="1"/>
      <c r="I22" s="1"/>
      <c r="J22" s="1"/>
      <c r="K22" s="1"/>
      <c r="L22" s="1"/>
      <c r="M22" s="182" t="s">
        <v>3205</v>
      </c>
    </row>
    <row r="23" spans="1:13" s="44" customFormat="1" ht="19.5">
      <c r="A23" s="1">
        <v>15</v>
      </c>
      <c r="B23" s="241" t="s">
        <v>3215</v>
      </c>
      <c r="C23" s="260" t="s">
        <v>1698</v>
      </c>
      <c r="D23" s="243">
        <v>22052</v>
      </c>
      <c r="E23" s="1096">
        <v>22000</v>
      </c>
      <c r="F23" s="939" t="s">
        <v>1649</v>
      </c>
      <c r="G23" s="1" t="s">
        <v>45</v>
      </c>
      <c r="H23" s="1"/>
      <c r="I23" s="1"/>
      <c r="J23" s="1"/>
      <c r="K23" s="1"/>
      <c r="L23" s="1"/>
      <c r="M23" s="182" t="s">
        <v>3205</v>
      </c>
    </row>
    <row r="24" spans="1:13" s="44" customFormat="1" ht="19.5">
      <c r="A24" s="1">
        <v>16</v>
      </c>
      <c r="B24" s="241" t="s">
        <v>3214</v>
      </c>
      <c r="C24" s="260" t="s">
        <v>1699</v>
      </c>
      <c r="D24" s="243">
        <v>22052</v>
      </c>
      <c r="E24" s="1096">
        <v>22000</v>
      </c>
      <c r="F24" s="939" t="s">
        <v>1649</v>
      </c>
      <c r="G24" s="1" t="s">
        <v>45</v>
      </c>
      <c r="H24" s="1"/>
      <c r="I24" s="1"/>
      <c r="J24" s="1"/>
      <c r="K24" s="1"/>
      <c r="L24" s="1"/>
      <c r="M24" s="182" t="s">
        <v>3205</v>
      </c>
    </row>
    <row r="25" spans="1:13" s="44" customFormat="1" ht="19.5">
      <c r="A25" s="1">
        <v>17</v>
      </c>
      <c r="B25" s="241" t="s">
        <v>3214</v>
      </c>
      <c r="C25" s="260" t="s">
        <v>1700</v>
      </c>
      <c r="D25" s="243">
        <v>22052</v>
      </c>
      <c r="E25" s="1096">
        <v>22000</v>
      </c>
      <c r="F25" s="939" t="s">
        <v>1649</v>
      </c>
      <c r="G25" s="1" t="s">
        <v>45</v>
      </c>
      <c r="H25" s="1"/>
      <c r="I25" s="1"/>
      <c r="J25" s="1"/>
      <c r="K25" s="1"/>
      <c r="L25" s="1"/>
      <c r="M25" s="182" t="s">
        <v>3205</v>
      </c>
    </row>
    <row r="26" spans="1:13" s="44" customFormat="1" ht="19.5">
      <c r="A26" s="1">
        <v>18</v>
      </c>
      <c r="B26" s="241" t="s">
        <v>2899</v>
      </c>
      <c r="C26" s="260" t="s">
        <v>2900</v>
      </c>
      <c r="D26" s="243">
        <v>243032</v>
      </c>
      <c r="E26" s="1096">
        <v>120000</v>
      </c>
      <c r="F26" s="939" t="s">
        <v>1649</v>
      </c>
      <c r="G26" s="1" t="s">
        <v>45</v>
      </c>
      <c r="H26" s="1"/>
      <c r="I26" s="1"/>
      <c r="J26" s="1"/>
      <c r="K26" s="1"/>
      <c r="L26" s="1"/>
      <c r="M26" s="182" t="s">
        <v>3219</v>
      </c>
    </row>
    <row r="27" spans="1:13" s="44" customFormat="1" ht="19.5">
      <c r="A27" s="1">
        <v>19</v>
      </c>
      <c r="B27" s="241" t="s">
        <v>2899</v>
      </c>
      <c r="C27" s="260" t="s">
        <v>2901</v>
      </c>
      <c r="D27" s="243">
        <v>243032</v>
      </c>
      <c r="E27" s="1113">
        <v>120000</v>
      </c>
      <c r="F27" s="939" t="s">
        <v>1649</v>
      </c>
      <c r="G27" s="1" t="s">
        <v>45</v>
      </c>
      <c r="H27" s="1"/>
      <c r="I27" s="1"/>
      <c r="J27" s="1"/>
      <c r="K27" s="1"/>
      <c r="L27" s="1"/>
      <c r="M27" s="182" t="s">
        <v>3219</v>
      </c>
    </row>
    <row r="28" spans="1:13" s="44" customFormat="1" ht="19.5">
      <c r="A28" s="1">
        <v>20</v>
      </c>
      <c r="B28" s="241" t="s">
        <v>2899</v>
      </c>
      <c r="C28" s="260" t="s">
        <v>2902</v>
      </c>
      <c r="D28" s="243">
        <v>243032</v>
      </c>
      <c r="E28" s="1113">
        <v>120000</v>
      </c>
      <c r="F28" s="939" t="s">
        <v>1649</v>
      </c>
      <c r="G28" s="1" t="s">
        <v>45</v>
      </c>
      <c r="H28" s="1"/>
      <c r="I28" s="1"/>
      <c r="J28" s="1"/>
      <c r="K28" s="1"/>
      <c r="L28" s="1"/>
      <c r="M28" s="182" t="s">
        <v>3219</v>
      </c>
    </row>
    <row r="29" spans="1:13" s="914" customFormat="1" ht="20.25" thickBot="1">
      <c r="A29" s="909">
        <v>20</v>
      </c>
      <c r="B29" s="908"/>
      <c r="C29" s="909"/>
      <c r="D29" s="910" t="s">
        <v>64</v>
      </c>
      <c r="E29" s="911">
        <f>SUM(E9:E28)</f>
        <v>894000</v>
      </c>
      <c r="F29" s="909"/>
      <c r="G29" s="909"/>
      <c r="H29" s="909"/>
      <c r="I29" s="909"/>
      <c r="J29" s="909"/>
      <c r="K29" s="909"/>
      <c r="L29" s="909"/>
      <c r="M29" s="1003"/>
    </row>
    <row r="30" spans="1:13" ht="20.25" thickTop="1">
      <c r="A30" s="1"/>
      <c r="B30" s="2"/>
      <c r="C30" s="1"/>
      <c r="D30" s="47"/>
      <c r="E30" s="269"/>
      <c r="F30" s="1"/>
      <c r="G30" s="1"/>
      <c r="H30" s="1"/>
      <c r="I30" s="1"/>
      <c r="J30" s="1"/>
      <c r="K30" s="1"/>
      <c r="L30" s="1"/>
      <c r="M30" s="182"/>
    </row>
    <row r="31" spans="1:13" s="1002" customFormat="1" ht="20.25" thickBot="1">
      <c r="A31" s="997"/>
      <c r="B31" s="998"/>
      <c r="C31" s="997"/>
      <c r="D31" s="999" t="s">
        <v>1723</v>
      </c>
      <c r="E31" s="1000">
        <f>SUM(E29)</f>
        <v>894000</v>
      </c>
      <c r="F31" s="997"/>
      <c r="G31" s="997"/>
      <c r="H31" s="997"/>
      <c r="I31" s="997"/>
      <c r="J31" s="997"/>
      <c r="K31" s="997"/>
      <c r="L31" s="997"/>
      <c r="M31" s="1001"/>
    </row>
    <row r="32" spans="1:13" ht="15.7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95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M19"/>
  <sheetViews>
    <sheetView view="pageBreakPreview" topLeftCell="A13" zoomScaleSheetLayoutView="100" workbookViewId="0">
      <selection activeCell="F15" activeCellId="1" sqref="F9:F11 F15"/>
    </sheetView>
  </sheetViews>
  <sheetFormatPr defaultColWidth="9" defaultRowHeight="19.5"/>
  <cols>
    <col min="1" max="1" width="5.25" style="36" customWidth="1"/>
    <col min="2" max="2" width="38.125" style="36" customWidth="1"/>
    <col min="3" max="3" width="10.25" style="36" customWidth="1"/>
    <col min="4" max="4" width="9.75" style="36" customWidth="1"/>
    <col min="5" max="5" width="13.25" style="220" customWidth="1"/>
    <col min="6" max="6" width="11.25" style="36" customWidth="1"/>
    <col min="7" max="12" width="4.625" style="36" customWidth="1"/>
    <col min="13" max="13" width="15.625" style="422" customWidth="1"/>
    <col min="14" max="16384" width="9" style="36"/>
  </cols>
  <sheetData>
    <row r="1" spans="1:13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>
      <c r="A2" s="1231" t="s">
        <v>3996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231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33"/>
    </row>
    <row r="7" spans="1:13">
      <c r="A7" s="42"/>
      <c r="B7" s="5" t="s">
        <v>2005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309"/>
    </row>
    <row r="8" spans="1:13">
      <c r="A8" s="45"/>
      <c r="B8" s="498" t="s">
        <v>2007</v>
      </c>
      <c r="C8" s="45"/>
      <c r="D8" s="47"/>
      <c r="E8" s="311"/>
      <c r="F8" s="416"/>
      <c r="G8" s="416"/>
      <c r="H8" s="416"/>
      <c r="I8" s="45"/>
      <c r="J8" s="416"/>
      <c r="K8" s="45"/>
      <c r="L8" s="45"/>
      <c r="M8" s="183"/>
    </row>
    <row r="9" spans="1:13">
      <c r="A9" s="158">
        <v>1</v>
      </c>
      <c r="B9" s="3" t="s">
        <v>3553</v>
      </c>
      <c r="C9" s="158" t="s">
        <v>2009</v>
      </c>
      <c r="D9" s="4">
        <v>18183</v>
      </c>
      <c r="E9" s="1108">
        <v>57800</v>
      </c>
      <c r="F9" s="1185" t="s">
        <v>1649</v>
      </c>
      <c r="G9" s="199" t="s">
        <v>45</v>
      </c>
      <c r="H9" s="416"/>
      <c r="I9" s="158"/>
      <c r="J9" s="416"/>
      <c r="K9" s="158"/>
      <c r="L9" s="158"/>
      <c r="M9" s="183" t="s">
        <v>3206</v>
      </c>
    </row>
    <row r="10" spans="1:13" s="249" customFormat="1">
      <c r="A10" s="390">
        <v>2</v>
      </c>
      <c r="B10" s="624" t="s">
        <v>3792</v>
      </c>
      <c r="C10" s="625" t="s">
        <v>3793</v>
      </c>
      <c r="D10" s="626">
        <v>22474</v>
      </c>
      <c r="E10" s="1117">
        <v>40000</v>
      </c>
      <c r="F10" s="1198" t="s">
        <v>1649</v>
      </c>
      <c r="G10" s="390" t="s">
        <v>45</v>
      </c>
      <c r="H10" s="627"/>
      <c r="I10" s="390"/>
      <c r="J10" s="627"/>
      <c r="K10" s="390"/>
      <c r="L10" s="390"/>
      <c r="M10" s="628"/>
    </row>
    <row r="11" spans="1:13" s="249" customFormat="1">
      <c r="A11" s="629">
        <v>3</v>
      </c>
      <c r="B11" s="624" t="s">
        <v>3797</v>
      </c>
      <c r="C11" s="625" t="s">
        <v>3798</v>
      </c>
      <c r="D11" s="626">
        <v>22474</v>
      </c>
      <c r="E11" s="1117">
        <v>14000</v>
      </c>
      <c r="F11" s="1198" t="s">
        <v>1649</v>
      </c>
      <c r="G11" s="390" t="s">
        <v>45</v>
      </c>
      <c r="H11" s="627"/>
      <c r="I11" s="390"/>
      <c r="J11" s="627"/>
      <c r="K11" s="390"/>
      <c r="L11" s="390"/>
      <c r="M11" s="628"/>
    </row>
    <row r="12" spans="1:13" s="249" customFormat="1">
      <c r="A12" s="622">
        <v>4</v>
      </c>
      <c r="B12" s="624" t="s">
        <v>3797</v>
      </c>
      <c r="C12" s="625" t="s">
        <v>3799</v>
      </c>
      <c r="D12" s="626">
        <v>22474</v>
      </c>
      <c r="E12" s="630">
        <v>14000</v>
      </c>
      <c r="F12" s="1162" t="s">
        <v>1508</v>
      </c>
      <c r="G12" s="390" t="s">
        <v>45</v>
      </c>
      <c r="H12" s="627"/>
      <c r="I12" s="390"/>
      <c r="J12" s="627"/>
      <c r="K12" s="390"/>
      <c r="L12" s="390"/>
      <c r="M12" s="628"/>
    </row>
    <row r="13" spans="1:13" s="979" customFormat="1" ht="20.25" thickBot="1">
      <c r="A13" s="958">
        <v>4</v>
      </c>
      <c r="B13" s="1047"/>
      <c r="C13" s="963"/>
      <c r="D13" s="958"/>
      <c r="E13" s="1048">
        <f>SUM(E9:E12)</f>
        <v>125800</v>
      </c>
      <c r="F13" s="1049"/>
      <c r="G13" s="1049"/>
      <c r="H13" s="1049"/>
      <c r="I13" s="963"/>
      <c r="J13" s="1049"/>
      <c r="K13" s="963"/>
      <c r="L13" s="963"/>
      <c r="M13" s="1050"/>
    </row>
    <row r="14" spans="1:13" ht="20.25" thickTop="1">
      <c r="A14" s="1"/>
      <c r="B14" s="342" t="s">
        <v>2008</v>
      </c>
      <c r="C14" s="45"/>
      <c r="D14" s="47"/>
      <c r="E14" s="217"/>
      <c r="F14" s="416"/>
      <c r="G14" s="416"/>
      <c r="H14" s="416"/>
      <c r="I14" s="45"/>
      <c r="J14" s="416"/>
      <c r="K14" s="45"/>
      <c r="L14" s="45"/>
      <c r="M14" s="183"/>
    </row>
    <row r="15" spans="1:13">
      <c r="A15" s="1">
        <v>1</v>
      </c>
      <c r="B15" s="328" t="s">
        <v>2006</v>
      </c>
      <c r="C15" s="232" t="s">
        <v>2010</v>
      </c>
      <c r="D15" s="4">
        <v>18183</v>
      </c>
      <c r="E15" s="1084">
        <v>18000</v>
      </c>
      <c r="F15" s="1185" t="s">
        <v>1649</v>
      </c>
      <c r="G15" s="232" t="s">
        <v>45</v>
      </c>
      <c r="H15" s="218"/>
      <c r="I15" s="42"/>
      <c r="J15" s="218"/>
      <c r="K15" s="42"/>
      <c r="L15" s="42"/>
      <c r="M15" s="309" t="s">
        <v>3206</v>
      </c>
    </row>
    <row r="16" spans="1:13" s="914" customFormat="1" ht="20.25" thickBot="1">
      <c r="A16" s="909">
        <v>1</v>
      </c>
      <c r="B16" s="1051"/>
      <c r="C16" s="958"/>
      <c r="D16" s="1052"/>
      <c r="E16" s="1053">
        <f>SUM(E15:E15)</f>
        <v>18000</v>
      </c>
      <c r="F16" s="1054"/>
      <c r="G16" s="963"/>
      <c r="H16" s="1032"/>
      <c r="I16" s="1055"/>
      <c r="J16" s="1032"/>
      <c r="K16" s="1055"/>
      <c r="L16" s="1055"/>
      <c r="M16" s="1056"/>
    </row>
    <row r="17" spans="1:13" ht="20.25" thickTop="1">
      <c r="B17" s="48"/>
      <c r="C17" s="1"/>
      <c r="D17" s="192"/>
      <c r="E17" s="499"/>
      <c r="F17" s="1"/>
      <c r="G17" s="1"/>
      <c r="H17" s="1"/>
      <c r="I17" s="1"/>
      <c r="J17" s="1"/>
      <c r="K17" s="1"/>
      <c r="L17" s="1"/>
      <c r="M17" s="182"/>
    </row>
    <row r="18" spans="1:13" s="1002" customFormat="1" ht="20.25" thickBot="1">
      <c r="A18" s="1002">
        <f>A16+A13</f>
        <v>5</v>
      </c>
      <c r="B18" s="998"/>
      <c r="C18" s="997"/>
      <c r="D18" s="999" t="s">
        <v>1723</v>
      </c>
      <c r="E18" s="1000">
        <f>SUM(E13,E16)</f>
        <v>143800</v>
      </c>
      <c r="F18" s="997"/>
      <c r="G18" s="997"/>
      <c r="H18" s="997"/>
      <c r="I18" s="997"/>
      <c r="J18" s="997"/>
      <c r="K18" s="997"/>
      <c r="L18" s="997"/>
      <c r="M18" s="1001"/>
    </row>
    <row r="19" spans="1:13" ht="20.25" thickTop="1">
      <c r="B19" s="48"/>
      <c r="C19" s="1"/>
      <c r="D19" s="47"/>
      <c r="E19" s="264"/>
      <c r="F19" s="1"/>
      <c r="G19" s="1"/>
      <c r="H19" s="1"/>
      <c r="I19" s="1"/>
      <c r="J19" s="1"/>
      <c r="K19" s="1"/>
      <c r="L19" s="1"/>
      <c r="M19" s="182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rintOptions horizontalCentered="1"/>
  <pageMargins left="0" right="0" top="0" bottom="0" header="0.31496062992125984" footer="0.31496062992125984"/>
  <pageSetup paperSize="9" orientation="landscape" horizont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M20"/>
  <sheetViews>
    <sheetView view="pageBreakPreview" zoomScaleSheetLayoutView="100" workbookViewId="0">
      <selection activeCell="F9" sqref="F9"/>
    </sheetView>
  </sheetViews>
  <sheetFormatPr defaultColWidth="9" defaultRowHeight="14.25"/>
  <cols>
    <col min="1" max="1" width="5.25" style="36" customWidth="1"/>
    <col min="2" max="2" width="38.125" style="36" customWidth="1"/>
    <col min="3" max="3" width="10.25" style="36" customWidth="1"/>
    <col min="4" max="4" width="9.75" style="36" customWidth="1"/>
    <col min="5" max="5" width="13.25" style="220" customWidth="1"/>
    <col min="6" max="6" width="11.25" style="36" customWidth="1"/>
    <col min="7" max="12" width="4.625" style="36" customWidth="1"/>
    <col min="13" max="13" width="18.125" style="36" customWidth="1"/>
    <col min="14" max="16384" width="9" style="36"/>
  </cols>
  <sheetData>
    <row r="1" spans="1:13" ht="19.5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 ht="19.5">
      <c r="A2" s="1231" t="s">
        <v>3271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 ht="19.5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37"/>
    </row>
    <row r="4" spans="1:13" ht="19.5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 ht="19.5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 ht="19.5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55"/>
    </row>
    <row r="7" spans="1:13" ht="19.5">
      <c r="A7" s="42"/>
      <c r="B7" s="5" t="s">
        <v>2762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218"/>
    </row>
    <row r="8" spans="1:13" ht="19.5">
      <c r="A8" s="45"/>
      <c r="B8" s="498" t="s">
        <v>2763</v>
      </c>
      <c r="C8" s="45"/>
      <c r="D8" s="47"/>
      <c r="E8" s="311"/>
      <c r="F8" s="416"/>
      <c r="G8" s="416"/>
      <c r="H8" s="416"/>
      <c r="I8" s="45"/>
      <c r="J8" s="416"/>
      <c r="K8" s="45"/>
      <c r="L8" s="45"/>
      <c r="M8" s="416"/>
    </row>
    <row r="9" spans="1:13" ht="19.5">
      <c r="A9" s="158">
        <v>1</v>
      </c>
      <c r="B9" s="3" t="s">
        <v>2764</v>
      </c>
      <c r="C9" s="158" t="s">
        <v>2765</v>
      </c>
      <c r="D9" s="4">
        <v>19743</v>
      </c>
      <c r="E9" s="1108">
        <v>7000</v>
      </c>
      <c r="F9" s="1185" t="s">
        <v>2117</v>
      </c>
      <c r="G9" s="199" t="s">
        <v>45</v>
      </c>
      <c r="H9" s="416"/>
      <c r="I9" s="158"/>
      <c r="J9" s="416"/>
      <c r="K9" s="158"/>
      <c r="L9" s="158"/>
      <c r="M9" s="575" t="s">
        <v>3456</v>
      </c>
    </row>
    <row r="10" spans="1:13" ht="31.5">
      <c r="A10" s="163">
        <v>2</v>
      </c>
      <c r="B10" s="514" t="s">
        <v>3349</v>
      </c>
      <c r="C10" s="163" t="s">
        <v>3355</v>
      </c>
      <c r="D10" s="270">
        <v>19743</v>
      </c>
      <c r="E10" s="272">
        <v>53000</v>
      </c>
      <c r="F10" s="1163" t="s">
        <v>2117</v>
      </c>
      <c r="G10" s="163" t="s">
        <v>45</v>
      </c>
      <c r="H10" s="552"/>
      <c r="I10" s="163"/>
      <c r="J10" s="552"/>
      <c r="K10" s="163"/>
      <c r="L10" s="163"/>
      <c r="M10" s="576" t="s">
        <v>3464</v>
      </c>
    </row>
    <row r="11" spans="1:13" ht="31.5">
      <c r="A11" s="223">
        <v>3</v>
      </c>
      <c r="B11" s="514" t="s">
        <v>3350</v>
      </c>
      <c r="C11" s="163" t="s">
        <v>3356</v>
      </c>
      <c r="D11" s="270">
        <v>19743</v>
      </c>
      <c r="E11" s="272">
        <v>26000</v>
      </c>
      <c r="F11" s="1163" t="s">
        <v>2117</v>
      </c>
      <c r="G11" s="163" t="s">
        <v>45</v>
      </c>
      <c r="H11" s="552"/>
      <c r="I11" s="163"/>
      <c r="J11" s="552"/>
      <c r="K11" s="163"/>
      <c r="L11" s="163"/>
      <c r="M11" s="576" t="s">
        <v>3464</v>
      </c>
    </row>
    <row r="12" spans="1:13" ht="31.5">
      <c r="A12" s="163">
        <v>4</v>
      </c>
      <c r="B12" s="514" t="s">
        <v>3351</v>
      </c>
      <c r="C12" s="163" t="s">
        <v>3357</v>
      </c>
      <c r="D12" s="270">
        <v>19743</v>
      </c>
      <c r="E12" s="272">
        <v>6000</v>
      </c>
      <c r="F12" s="1163" t="s">
        <v>2117</v>
      </c>
      <c r="G12" s="163" t="s">
        <v>45</v>
      </c>
      <c r="H12" s="552"/>
      <c r="I12" s="163"/>
      <c r="J12" s="552"/>
      <c r="K12" s="163"/>
      <c r="L12" s="163"/>
      <c r="M12" s="576" t="s">
        <v>3464</v>
      </c>
    </row>
    <row r="13" spans="1:13" ht="31.5">
      <c r="A13" s="223">
        <v>5</v>
      </c>
      <c r="B13" s="514" t="s">
        <v>3352</v>
      </c>
      <c r="C13" s="163" t="s">
        <v>3358</v>
      </c>
      <c r="D13" s="270">
        <v>19743</v>
      </c>
      <c r="E13" s="272">
        <v>35000</v>
      </c>
      <c r="F13" s="1163" t="s">
        <v>2117</v>
      </c>
      <c r="G13" s="163" t="s">
        <v>45</v>
      </c>
      <c r="H13" s="552"/>
      <c r="I13" s="163"/>
      <c r="J13" s="552"/>
      <c r="K13" s="163"/>
      <c r="L13" s="163"/>
      <c r="M13" s="576" t="s">
        <v>3464</v>
      </c>
    </row>
    <row r="14" spans="1:13" ht="31.5">
      <c r="A14" s="163">
        <v>6</v>
      </c>
      <c r="B14" s="514" t="s">
        <v>3353</v>
      </c>
      <c r="C14" s="163" t="s">
        <v>3359</v>
      </c>
      <c r="D14" s="270">
        <v>19743</v>
      </c>
      <c r="E14" s="272">
        <v>10000</v>
      </c>
      <c r="F14" s="1163" t="s">
        <v>2117</v>
      </c>
      <c r="G14" s="163" t="s">
        <v>45</v>
      </c>
      <c r="H14" s="552"/>
      <c r="I14" s="163"/>
      <c r="J14" s="552"/>
      <c r="K14" s="163"/>
      <c r="L14" s="163"/>
      <c r="M14" s="576" t="s">
        <v>3464</v>
      </c>
    </row>
    <row r="15" spans="1:13" s="914" customFormat="1" ht="20.25" thickBot="1">
      <c r="A15" s="963">
        <v>6</v>
      </c>
      <c r="B15" s="1047"/>
      <c r="C15" s="963"/>
      <c r="D15" s="958"/>
      <c r="E15" s="1048">
        <f>SUM(E9:E14)</f>
        <v>137000</v>
      </c>
      <c r="F15" s="1049"/>
      <c r="G15" s="1049"/>
      <c r="H15" s="1049"/>
      <c r="I15" s="963"/>
      <c r="J15" s="1049"/>
      <c r="K15" s="963"/>
      <c r="L15" s="963"/>
      <c r="M15" s="1049"/>
    </row>
    <row r="16" spans="1:13" ht="20.25" thickTop="1">
      <c r="A16" s="199"/>
      <c r="B16" s="198"/>
      <c r="C16" s="199"/>
      <c r="D16" s="192"/>
      <c r="E16" s="380"/>
      <c r="F16" s="317"/>
      <c r="G16" s="317"/>
      <c r="H16" s="317"/>
      <c r="I16" s="199"/>
      <c r="J16" s="317"/>
      <c r="K16" s="199"/>
      <c r="L16" s="199"/>
      <c r="M16" s="317"/>
    </row>
    <row r="17" spans="1:13" ht="19.5">
      <c r="A17" s="1"/>
      <c r="B17" s="48"/>
      <c r="C17" s="1"/>
      <c r="D17" s="192"/>
      <c r="E17" s="499"/>
      <c r="F17" s="1"/>
      <c r="G17" s="1"/>
      <c r="H17" s="1"/>
      <c r="I17" s="1"/>
      <c r="J17" s="1"/>
      <c r="K17" s="1"/>
      <c r="L17" s="1"/>
      <c r="M17" s="1"/>
    </row>
    <row r="18" spans="1:13" s="1002" customFormat="1" ht="20.25" thickBot="1">
      <c r="A18" s="997">
        <f>A15</f>
        <v>6</v>
      </c>
      <c r="B18" s="998"/>
      <c r="C18" s="997"/>
      <c r="D18" s="999" t="s">
        <v>1723</v>
      </c>
      <c r="E18" s="1000">
        <f>SUM(E15)</f>
        <v>137000</v>
      </c>
      <c r="F18" s="997"/>
      <c r="G18" s="997"/>
      <c r="H18" s="997"/>
      <c r="I18" s="997"/>
      <c r="J18" s="997"/>
      <c r="K18" s="997"/>
      <c r="L18" s="997"/>
      <c r="M18" s="997"/>
    </row>
    <row r="19" spans="1:13" ht="20.25" thickTop="1">
      <c r="A19" s="1"/>
      <c r="B19" s="48"/>
      <c r="C19" s="1"/>
      <c r="D19" s="47"/>
      <c r="E19" s="264"/>
      <c r="F19" s="1"/>
      <c r="G19" s="1"/>
      <c r="H19" s="1"/>
      <c r="I19" s="1"/>
      <c r="J19" s="1"/>
      <c r="K19" s="1"/>
      <c r="L19" s="1"/>
      <c r="M19" s="1"/>
    </row>
    <row r="20" spans="1:13" ht="19.5">
      <c r="A20" s="1"/>
      <c r="B20" s="48"/>
      <c r="C20" s="1"/>
      <c r="D20" s="47"/>
      <c r="E20" s="264"/>
      <c r="F20" s="1"/>
      <c r="G20" s="1"/>
      <c r="H20" s="1"/>
      <c r="I20" s="1"/>
      <c r="J20" s="1"/>
      <c r="K20" s="1"/>
      <c r="L20" s="1"/>
      <c r="M20" s="1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60" type="noConversion"/>
  <printOptions horizontalCentered="1"/>
  <pageMargins left="0.15748031496062992" right="0.15748031496062992" top="0.31496062992125984" bottom="0.27559055118110237" header="0.19685039370078741" footer="0.19685039370078741"/>
  <pageSetup paperSize="9" orientation="landscape" horizontalDpi="4294967294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O225"/>
  <sheetViews>
    <sheetView view="pageBreakPreview" topLeftCell="A177" zoomScale="130" zoomScaleSheetLayoutView="130" workbookViewId="0">
      <selection activeCell="C213" sqref="C213"/>
    </sheetView>
  </sheetViews>
  <sheetFormatPr defaultColWidth="9" defaultRowHeight="19.5"/>
  <cols>
    <col min="1" max="1" width="5.25" style="36" customWidth="1"/>
    <col min="2" max="2" width="38.125" style="36" customWidth="1"/>
    <col min="3" max="3" width="13.25" style="36" customWidth="1"/>
    <col min="4" max="4" width="9.75" style="36" customWidth="1"/>
    <col min="5" max="5" width="15.25" style="220" customWidth="1"/>
    <col min="6" max="6" width="11.25" style="36" customWidth="1"/>
    <col min="7" max="12" width="4.625" style="36" customWidth="1"/>
    <col min="13" max="13" width="18.375" style="519" bestFit="1" customWidth="1"/>
    <col min="14" max="14" width="17" style="36" customWidth="1"/>
    <col min="15" max="16384" width="9" style="36"/>
  </cols>
  <sheetData>
    <row r="1" spans="1:13">
      <c r="A1" s="1231" t="s">
        <v>26</v>
      </c>
      <c r="B1" s="1231"/>
      <c r="C1" s="1231"/>
      <c r="D1" s="1231"/>
      <c r="E1" s="1231"/>
      <c r="F1" s="1231"/>
      <c r="G1" s="1231"/>
      <c r="H1" s="1231"/>
      <c r="I1" s="1231"/>
      <c r="J1" s="1231"/>
      <c r="K1" s="1231"/>
      <c r="L1" s="1231"/>
      <c r="M1" s="1231"/>
    </row>
    <row r="2" spans="1:13">
      <c r="A2" s="1231" t="s">
        <v>3271</v>
      </c>
      <c r="B2" s="1231"/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</row>
    <row r="3" spans="1:13">
      <c r="A3" s="37"/>
      <c r="B3" s="37"/>
      <c r="C3" s="37"/>
      <c r="D3" s="37"/>
      <c r="E3" s="216"/>
      <c r="F3" s="37"/>
      <c r="G3" s="37"/>
      <c r="H3" s="37"/>
      <c r="I3" s="37"/>
      <c r="J3" s="37"/>
      <c r="K3" s="37"/>
      <c r="L3" s="37"/>
      <c r="M3" s="516"/>
    </row>
    <row r="4" spans="1:13">
      <c r="A4" s="38" t="s">
        <v>144</v>
      </c>
      <c r="B4" s="1229" t="s">
        <v>0</v>
      </c>
      <c r="C4" s="1229" t="s">
        <v>1</v>
      </c>
      <c r="D4" s="39" t="s">
        <v>28</v>
      </c>
      <c r="E4" s="1256" t="s">
        <v>2</v>
      </c>
      <c r="F4" s="1237" t="s">
        <v>27</v>
      </c>
      <c r="G4" s="1238"/>
      <c r="H4" s="1238"/>
      <c r="I4" s="1238"/>
      <c r="J4" s="1238"/>
      <c r="K4" s="1238"/>
      <c r="L4" s="1238"/>
      <c r="M4" s="1239"/>
    </row>
    <row r="5" spans="1:13">
      <c r="A5" s="40" t="s">
        <v>145</v>
      </c>
      <c r="B5" s="1232"/>
      <c r="C5" s="1232"/>
      <c r="D5" s="41" t="s">
        <v>37</v>
      </c>
      <c r="E5" s="1257"/>
      <c r="F5" s="1229" t="s">
        <v>29</v>
      </c>
      <c r="G5" s="1229" t="s">
        <v>30</v>
      </c>
      <c r="H5" s="1229" t="s">
        <v>31</v>
      </c>
      <c r="I5" s="38" t="s">
        <v>32</v>
      </c>
      <c r="J5" s="1229" t="s">
        <v>33</v>
      </c>
      <c r="K5" s="38" t="s">
        <v>34</v>
      </c>
      <c r="L5" s="38" t="s">
        <v>35</v>
      </c>
      <c r="M5" s="1229" t="s">
        <v>36</v>
      </c>
    </row>
    <row r="6" spans="1:13">
      <c r="A6" s="42"/>
      <c r="B6" s="1233"/>
      <c r="C6" s="1233"/>
      <c r="D6" s="43"/>
      <c r="E6" s="1258"/>
      <c r="F6" s="1255"/>
      <c r="G6" s="1255"/>
      <c r="H6" s="1255"/>
      <c r="I6" s="42" t="s">
        <v>38</v>
      </c>
      <c r="J6" s="1255"/>
      <c r="K6" s="42" t="s">
        <v>39</v>
      </c>
      <c r="L6" s="42" t="s">
        <v>40</v>
      </c>
      <c r="M6" s="1262"/>
    </row>
    <row r="7" spans="1:13">
      <c r="A7" s="42"/>
      <c r="B7" s="5" t="s">
        <v>1950</v>
      </c>
      <c r="C7" s="42"/>
      <c r="D7" s="43"/>
      <c r="E7" s="217"/>
      <c r="F7" s="218"/>
      <c r="G7" s="218"/>
      <c r="H7" s="218"/>
      <c r="I7" s="42"/>
      <c r="J7" s="218"/>
      <c r="K7" s="42"/>
      <c r="L7" s="42"/>
      <c r="M7" s="517"/>
    </row>
    <row r="8" spans="1:13">
      <c r="A8" s="1"/>
      <c r="B8" s="212" t="s">
        <v>616</v>
      </c>
      <c r="C8" s="1"/>
      <c r="D8" s="1"/>
      <c r="E8" s="57"/>
      <c r="F8" s="1"/>
      <c r="G8" s="1"/>
      <c r="H8" s="1"/>
      <c r="I8" s="1"/>
      <c r="J8" s="1"/>
      <c r="K8" s="1"/>
      <c r="L8" s="1"/>
      <c r="M8" s="211"/>
    </row>
    <row r="9" spans="1:13">
      <c r="A9" s="1">
        <v>1</v>
      </c>
      <c r="B9" s="2" t="s">
        <v>617</v>
      </c>
      <c r="C9" s="1" t="s">
        <v>618</v>
      </c>
      <c r="D9" s="4">
        <v>15291</v>
      </c>
      <c r="E9" s="57">
        <v>80700</v>
      </c>
      <c r="F9" s="1129" t="s">
        <v>1564</v>
      </c>
      <c r="G9" s="1" t="s">
        <v>45</v>
      </c>
      <c r="H9" s="1"/>
      <c r="I9" s="1"/>
      <c r="J9" s="1"/>
      <c r="K9" s="1"/>
      <c r="L9" s="1"/>
      <c r="M9" s="211"/>
    </row>
    <row r="10" spans="1:13">
      <c r="A10" s="1">
        <v>2</v>
      </c>
      <c r="B10" s="2" t="s">
        <v>617</v>
      </c>
      <c r="C10" s="1" t="s">
        <v>619</v>
      </c>
      <c r="D10" s="4">
        <v>15291</v>
      </c>
      <c r="E10" s="57">
        <v>80700</v>
      </c>
      <c r="F10" s="1127" t="s">
        <v>2433</v>
      </c>
      <c r="G10" s="1" t="s">
        <v>45</v>
      </c>
      <c r="H10" s="222"/>
      <c r="I10" s="222"/>
      <c r="J10" s="222"/>
      <c r="K10" s="222"/>
      <c r="L10" s="222"/>
      <c r="M10" s="211"/>
    </row>
    <row r="11" spans="1:13" ht="39">
      <c r="A11" s="223">
        <v>3</v>
      </c>
      <c r="B11" s="511" t="s">
        <v>2124</v>
      </c>
      <c r="C11" s="223" t="s">
        <v>2125</v>
      </c>
      <c r="D11" s="270">
        <v>15482</v>
      </c>
      <c r="E11" s="1105">
        <v>55000</v>
      </c>
      <c r="F11" s="1184" t="s">
        <v>3173</v>
      </c>
      <c r="G11" s="223" t="s">
        <v>45</v>
      </c>
      <c r="H11" s="553"/>
      <c r="I11" s="553"/>
      <c r="J11" s="553"/>
      <c r="K11" s="553"/>
      <c r="L11" s="553"/>
      <c r="M11" s="289" t="s">
        <v>3550</v>
      </c>
    </row>
    <row r="12" spans="1:13">
      <c r="A12" s="1">
        <v>4</v>
      </c>
      <c r="B12" s="2" t="s">
        <v>617</v>
      </c>
      <c r="C12" s="1" t="s">
        <v>620</v>
      </c>
      <c r="D12" s="4">
        <v>16948</v>
      </c>
      <c r="E12" s="57">
        <v>51400</v>
      </c>
      <c r="F12" s="1011" t="s">
        <v>1508</v>
      </c>
      <c r="G12" s="1"/>
      <c r="H12" s="1" t="s">
        <v>45</v>
      </c>
      <c r="I12" s="222"/>
      <c r="J12" s="222"/>
      <c r="K12" s="222"/>
      <c r="L12" s="222"/>
      <c r="M12" s="525" t="s">
        <v>2454</v>
      </c>
    </row>
    <row r="13" spans="1:13">
      <c r="A13" s="1">
        <v>5</v>
      </c>
      <c r="B13" s="473" t="s">
        <v>617</v>
      </c>
      <c r="C13" s="192" t="s">
        <v>621</v>
      </c>
      <c r="D13" s="228">
        <v>17084</v>
      </c>
      <c r="E13" s="56">
        <v>57000</v>
      </c>
      <c r="F13" s="1127" t="s">
        <v>2433</v>
      </c>
      <c r="G13" s="1" t="s">
        <v>45</v>
      </c>
      <c r="H13" s="226"/>
      <c r="I13" s="226"/>
      <c r="J13" s="226"/>
      <c r="K13" s="226"/>
      <c r="L13" s="226"/>
      <c r="M13" s="518"/>
    </row>
    <row r="14" spans="1:13" s="249" customFormat="1">
      <c r="A14" s="1">
        <v>6</v>
      </c>
      <c r="B14" s="2" t="s">
        <v>617</v>
      </c>
      <c r="C14" s="1" t="s">
        <v>3142</v>
      </c>
      <c r="D14" s="4">
        <v>17308</v>
      </c>
      <c r="E14" s="57">
        <v>46564.26</v>
      </c>
      <c r="F14" s="1127" t="s">
        <v>3143</v>
      </c>
      <c r="G14" s="513"/>
      <c r="H14" s="1" t="s">
        <v>45</v>
      </c>
      <c r="I14" s="1"/>
      <c r="J14" s="1"/>
      <c r="K14" s="1"/>
      <c r="L14" s="1"/>
      <c r="M14" s="525" t="s">
        <v>3454</v>
      </c>
    </row>
    <row r="15" spans="1:13">
      <c r="A15" s="1">
        <v>7</v>
      </c>
      <c r="B15" s="2" t="s">
        <v>622</v>
      </c>
      <c r="C15" s="1" t="s">
        <v>623</v>
      </c>
      <c r="D15" s="4">
        <v>17390</v>
      </c>
      <c r="E15" s="58">
        <v>39000</v>
      </c>
      <c r="F15" s="1127" t="s">
        <v>2433</v>
      </c>
      <c r="G15" s="1" t="s">
        <v>45</v>
      </c>
      <c r="H15" s="1"/>
      <c r="I15" s="1"/>
      <c r="J15" s="1"/>
      <c r="K15" s="1"/>
      <c r="L15" s="1"/>
      <c r="M15" s="211"/>
    </row>
    <row r="16" spans="1:13">
      <c r="A16" s="1">
        <v>8</v>
      </c>
      <c r="B16" s="2" t="s">
        <v>624</v>
      </c>
      <c r="C16" s="1" t="s">
        <v>625</v>
      </c>
      <c r="D16" s="4">
        <v>17390</v>
      </c>
      <c r="E16" s="58">
        <v>0</v>
      </c>
      <c r="F16" s="1127" t="s">
        <v>2433</v>
      </c>
      <c r="G16" s="1" t="s">
        <v>45</v>
      </c>
      <c r="H16" s="1"/>
      <c r="I16" s="1"/>
      <c r="J16" s="1"/>
      <c r="K16" s="1"/>
      <c r="L16" s="1"/>
      <c r="M16" s="211"/>
    </row>
    <row r="17" spans="1:13">
      <c r="A17" s="1">
        <v>9</v>
      </c>
      <c r="B17" s="2" t="s">
        <v>626</v>
      </c>
      <c r="C17" s="1" t="s">
        <v>2013</v>
      </c>
      <c r="D17" s="4">
        <v>17504</v>
      </c>
      <c r="E17" s="57">
        <v>8990</v>
      </c>
      <c r="F17" s="1127" t="s">
        <v>2433</v>
      </c>
      <c r="G17" s="1" t="s">
        <v>45</v>
      </c>
      <c r="H17" s="1"/>
      <c r="I17" s="1"/>
      <c r="J17" s="1"/>
      <c r="K17" s="1"/>
      <c r="L17" s="1"/>
      <c r="M17" s="211"/>
    </row>
    <row r="18" spans="1:13">
      <c r="A18" s="1">
        <v>10</v>
      </c>
      <c r="B18" s="2" t="s">
        <v>626</v>
      </c>
      <c r="C18" s="1" t="s">
        <v>627</v>
      </c>
      <c r="D18" s="4">
        <v>17732</v>
      </c>
      <c r="E18" s="57">
        <v>15900</v>
      </c>
      <c r="F18" s="1127" t="s">
        <v>2433</v>
      </c>
      <c r="G18" s="1" t="s">
        <v>45</v>
      </c>
      <c r="H18" s="1"/>
      <c r="I18" s="1"/>
      <c r="J18" s="1"/>
      <c r="K18" s="1"/>
      <c r="L18" s="1"/>
      <c r="M18" s="211"/>
    </row>
    <row r="19" spans="1:13">
      <c r="A19" s="1">
        <v>11</v>
      </c>
      <c r="B19" s="2" t="s">
        <v>628</v>
      </c>
      <c r="C19" s="1" t="s">
        <v>629</v>
      </c>
      <c r="D19" s="4">
        <v>17958</v>
      </c>
      <c r="E19" s="57">
        <v>1590</v>
      </c>
      <c r="F19" s="1127" t="s">
        <v>2433</v>
      </c>
      <c r="G19" s="1" t="s">
        <v>45</v>
      </c>
      <c r="H19" s="1"/>
      <c r="I19" s="1"/>
      <c r="J19" s="1"/>
      <c r="K19" s="1"/>
      <c r="L19" s="1"/>
      <c r="M19" s="211"/>
    </row>
    <row r="20" spans="1:13">
      <c r="A20" s="1">
        <v>12</v>
      </c>
      <c r="B20" s="2" t="s">
        <v>630</v>
      </c>
      <c r="C20" s="1" t="s">
        <v>2014</v>
      </c>
      <c r="D20" s="4">
        <v>17958</v>
      </c>
      <c r="E20" s="57">
        <v>17950</v>
      </c>
      <c r="F20" s="1127" t="s">
        <v>2433</v>
      </c>
      <c r="G20" s="1" t="s">
        <v>45</v>
      </c>
      <c r="H20" s="1"/>
      <c r="I20" s="1"/>
      <c r="J20" s="1"/>
      <c r="K20" s="1"/>
      <c r="L20" s="1"/>
      <c r="M20" s="211"/>
    </row>
    <row r="21" spans="1:13">
      <c r="A21" s="1">
        <v>13</v>
      </c>
      <c r="B21" s="2" t="s">
        <v>617</v>
      </c>
      <c r="C21" s="1" t="s">
        <v>631</v>
      </c>
      <c r="D21" s="4">
        <v>18086</v>
      </c>
      <c r="E21" s="57">
        <v>31420</v>
      </c>
      <c r="F21" s="1127" t="s">
        <v>2433</v>
      </c>
      <c r="G21" s="1" t="s">
        <v>45</v>
      </c>
      <c r="H21" s="1"/>
      <c r="I21" s="1"/>
      <c r="J21" s="1"/>
      <c r="K21" s="1"/>
      <c r="L21" s="1"/>
      <c r="M21" s="211"/>
    </row>
    <row r="22" spans="1:13">
      <c r="A22" s="1">
        <v>14</v>
      </c>
      <c r="B22" s="2" t="s">
        <v>617</v>
      </c>
      <c r="C22" s="1" t="s">
        <v>632</v>
      </c>
      <c r="D22" s="4">
        <v>18086</v>
      </c>
      <c r="E22" s="57">
        <v>31420</v>
      </c>
      <c r="F22" s="1129" t="s">
        <v>1265</v>
      </c>
      <c r="G22" s="1" t="s">
        <v>45</v>
      </c>
      <c r="H22" s="1"/>
      <c r="I22" s="1"/>
      <c r="J22" s="1"/>
      <c r="K22" s="1"/>
      <c r="L22" s="1"/>
      <c r="M22" s="211" t="s">
        <v>3477</v>
      </c>
    </row>
    <row r="23" spans="1:13">
      <c r="A23" s="1">
        <v>15</v>
      </c>
      <c r="B23" s="2" t="s">
        <v>654</v>
      </c>
      <c r="C23" s="1" t="s">
        <v>2113</v>
      </c>
      <c r="D23" s="4">
        <v>18086</v>
      </c>
      <c r="E23" s="57">
        <v>10120</v>
      </c>
      <c r="F23" s="1127" t="s">
        <v>2433</v>
      </c>
      <c r="G23" s="1" t="s">
        <v>45</v>
      </c>
      <c r="H23" s="1"/>
      <c r="I23" s="1"/>
      <c r="J23" s="1"/>
      <c r="K23" s="1"/>
      <c r="L23" s="1"/>
      <c r="M23" s="211"/>
    </row>
    <row r="24" spans="1:13">
      <c r="A24" s="1">
        <v>16</v>
      </c>
      <c r="B24" s="2" t="s">
        <v>660</v>
      </c>
      <c r="C24" s="1" t="s">
        <v>661</v>
      </c>
      <c r="D24" s="4">
        <v>18554</v>
      </c>
      <c r="E24" s="57">
        <v>25950</v>
      </c>
      <c r="F24" s="1127" t="s">
        <v>2433</v>
      </c>
      <c r="G24" s="1" t="s">
        <v>45</v>
      </c>
      <c r="H24" s="1"/>
      <c r="I24" s="1"/>
      <c r="J24" s="1"/>
      <c r="K24" s="1"/>
      <c r="L24" s="1"/>
      <c r="M24" s="211" t="s">
        <v>3478</v>
      </c>
    </row>
    <row r="25" spans="1:13">
      <c r="A25" s="1">
        <v>17</v>
      </c>
      <c r="B25" s="500" t="s">
        <v>1608</v>
      </c>
      <c r="C25" s="501" t="s">
        <v>1609</v>
      </c>
      <c r="D25" s="4">
        <v>18554</v>
      </c>
      <c r="E25" s="59">
        <v>5000</v>
      </c>
      <c r="F25" s="1129" t="s">
        <v>1572</v>
      </c>
      <c r="G25" s="1" t="s">
        <v>45</v>
      </c>
      <c r="H25" s="1"/>
      <c r="I25" s="1"/>
      <c r="J25" s="1"/>
      <c r="K25" s="1"/>
      <c r="L25" s="1"/>
      <c r="M25" s="211"/>
    </row>
    <row r="26" spans="1:13">
      <c r="A26" s="1">
        <v>18</v>
      </c>
      <c r="B26" s="500" t="s">
        <v>2116</v>
      </c>
      <c r="C26" s="501" t="s">
        <v>2115</v>
      </c>
      <c r="D26" s="4">
        <v>18554</v>
      </c>
      <c r="E26" s="59">
        <v>5000</v>
      </c>
      <c r="F26" s="1127" t="s">
        <v>2433</v>
      </c>
      <c r="G26" s="1" t="s">
        <v>45</v>
      </c>
      <c r="H26" s="1"/>
      <c r="I26" s="1"/>
      <c r="J26" s="1"/>
      <c r="K26" s="1"/>
      <c r="L26" s="1"/>
      <c r="M26" s="211" t="s">
        <v>3478</v>
      </c>
    </row>
    <row r="27" spans="1:13">
      <c r="A27" s="1">
        <v>19</v>
      </c>
      <c r="B27" s="500" t="s">
        <v>2116</v>
      </c>
      <c r="C27" s="501" t="s">
        <v>2120</v>
      </c>
      <c r="D27" s="4">
        <v>18554</v>
      </c>
      <c r="E27" s="59">
        <v>5000</v>
      </c>
      <c r="F27" s="1127" t="s">
        <v>2433</v>
      </c>
      <c r="G27" s="1" t="s">
        <v>45</v>
      </c>
      <c r="H27" s="1"/>
      <c r="I27" s="1"/>
      <c r="J27" s="1"/>
      <c r="K27" s="1"/>
      <c r="L27" s="1"/>
      <c r="M27" s="211"/>
    </row>
    <row r="28" spans="1:13">
      <c r="A28" s="1">
        <v>20</v>
      </c>
      <c r="B28" s="500" t="s">
        <v>2116</v>
      </c>
      <c r="C28" s="501" t="s">
        <v>2121</v>
      </c>
      <c r="D28" s="4">
        <v>18554</v>
      </c>
      <c r="E28" s="59">
        <v>5000</v>
      </c>
      <c r="F28" s="1127" t="s">
        <v>2433</v>
      </c>
      <c r="G28" s="1" t="s">
        <v>45</v>
      </c>
      <c r="H28" s="1"/>
      <c r="I28" s="1"/>
      <c r="J28" s="1"/>
      <c r="K28" s="1"/>
      <c r="L28" s="1"/>
      <c r="M28" s="211"/>
    </row>
    <row r="29" spans="1:13">
      <c r="A29" s="1">
        <v>21</v>
      </c>
      <c r="B29" s="2" t="s">
        <v>633</v>
      </c>
      <c r="C29" s="1" t="s">
        <v>634</v>
      </c>
      <c r="D29" s="4">
        <v>18632</v>
      </c>
      <c r="E29" s="57">
        <v>44833</v>
      </c>
      <c r="F29" s="1127" t="s">
        <v>2433</v>
      </c>
      <c r="G29" s="1" t="s">
        <v>45</v>
      </c>
      <c r="H29" s="1"/>
      <c r="I29" s="1"/>
      <c r="J29" s="1"/>
      <c r="K29" s="1"/>
      <c r="L29" s="1"/>
      <c r="M29" s="211"/>
    </row>
    <row r="30" spans="1:13">
      <c r="A30" s="1">
        <v>22</v>
      </c>
      <c r="B30" s="2" t="s">
        <v>5</v>
      </c>
      <c r="C30" s="1" t="s">
        <v>12</v>
      </c>
      <c r="D30" s="4">
        <v>18554</v>
      </c>
      <c r="E30" s="57">
        <v>25950</v>
      </c>
      <c r="F30" s="1132" t="s">
        <v>1633</v>
      </c>
      <c r="G30" s="1" t="s">
        <v>45</v>
      </c>
      <c r="H30" s="1"/>
      <c r="I30" s="1"/>
      <c r="J30" s="1"/>
      <c r="K30" s="1"/>
      <c r="L30" s="1"/>
      <c r="M30" s="211"/>
    </row>
    <row r="31" spans="1:13">
      <c r="A31" s="1">
        <v>23</v>
      </c>
      <c r="B31" s="2" t="s">
        <v>2428</v>
      </c>
      <c r="C31" s="1" t="s">
        <v>635</v>
      </c>
      <c r="D31" s="4">
        <v>55302</v>
      </c>
      <c r="E31" s="57">
        <v>23400</v>
      </c>
      <c r="F31" s="1127" t="s">
        <v>2433</v>
      </c>
      <c r="G31" s="1" t="s">
        <v>45</v>
      </c>
      <c r="H31" s="1"/>
      <c r="I31" s="1"/>
      <c r="J31" s="1"/>
      <c r="K31" s="1"/>
      <c r="L31" s="1"/>
      <c r="M31" s="211"/>
    </row>
    <row r="32" spans="1:13">
      <c r="A32" s="1">
        <v>24</v>
      </c>
      <c r="B32" s="502" t="s">
        <v>1614</v>
      </c>
      <c r="C32" s="503" t="s">
        <v>1618</v>
      </c>
      <c r="D32" s="4">
        <v>18747</v>
      </c>
      <c r="E32" s="60">
        <v>23400</v>
      </c>
      <c r="F32" s="1127" t="s">
        <v>2433</v>
      </c>
      <c r="G32" s="1" t="s">
        <v>45</v>
      </c>
      <c r="H32" s="1"/>
      <c r="I32" s="1"/>
      <c r="J32" s="1"/>
      <c r="K32" s="1"/>
      <c r="L32" s="1"/>
      <c r="M32" s="211"/>
    </row>
    <row r="33" spans="1:13">
      <c r="A33" s="1">
        <v>25</v>
      </c>
      <c r="B33" s="2" t="s">
        <v>1628</v>
      </c>
      <c r="C33" s="1" t="s">
        <v>1630</v>
      </c>
      <c r="D33" s="4">
        <v>18747</v>
      </c>
      <c r="E33" s="60">
        <v>23400</v>
      </c>
      <c r="F33" s="1129" t="s">
        <v>1572</v>
      </c>
      <c r="G33" s="1" t="s">
        <v>45</v>
      </c>
      <c r="H33" s="1"/>
      <c r="I33" s="1"/>
      <c r="J33" s="1"/>
      <c r="K33" s="1"/>
      <c r="L33" s="1"/>
      <c r="M33" s="211" t="s">
        <v>3502</v>
      </c>
    </row>
    <row r="34" spans="1:13">
      <c r="A34" s="1">
        <v>26</v>
      </c>
      <c r="B34" s="3" t="s">
        <v>1494</v>
      </c>
      <c r="C34" s="158" t="s">
        <v>1495</v>
      </c>
      <c r="D34" s="4">
        <v>18747</v>
      </c>
      <c r="E34" s="58">
        <v>23400</v>
      </c>
      <c r="F34" s="1129" t="s">
        <v>1265</v>
      </c>
      <c r="G34" s="1" t="s">
        <v>45</v>
      </c>
      <c r="H34" s="1"/>
      <c r="I34" s="1"/>
      <c r="J34" s="1"/>
      <c r="K34" s="1"/>
      <c r="L34" s="1"/>
      <c r="M34" s="211" t="s">
        <v>3178</v>
      </c>
    </row>
    <row r="35" spans="1:13">
      <c r="A35" s="1">
        <v>27</v>
      </c>
      <c r="B35" s="504" t="s">
        <v>1614</v>
      </c>
      <c r="C35" s="501" t="s">
        <v>1615</v>
      </c>
      <c r="D35" s="4">
        <v>18747</v>
      </c>
      <c r="E35" s="59">
        <v>23400</v>
      </c>
      <c r="F35" s="1129" t="s">
        <v>1572</v>
      </c>
      <c r="G35" s="1" t="s">
        <v>45</v>
      </c>
      <c r="H35" s="1"/>
      <c r="I35" s="1"/>
      <c r="J35" s="1"/>
      <c r="K35" s="1"/>
      <c r="L35" s="1"/>
      <c r="M35" s="211"/>
    </row>
    <row r="36" spans="1:13">
      <c r="A36" s="1">
        <v>28</v>
      </c>
      <c r="B36" s="502" t="s">
        <v>1620</v>
      </c>
      <c r="C36" s="503" t="s">
        <v>1621</v>
      </c>
      <c r="D36" s="4">
        <v>18777</v>
      </c>
      <c r="E36" s="60">
        <v>23400</v>
      </c>
      <c r="F36" s="1129" t="s">
        <v>1572</v>
      </c>
      <c r="G36" s="1" t="s">
        <v>45</v>
      </c>
      <c r="H36" s="1"/>
      <c r="I36" s="1"/>
      <c r="J36" s="1"/>
      <c r="K36" s="1"/>
      <c r="L36" s="1"/>
      <c r="M36" s="211" t="s">
        <v>3498</v>
      </c>
    </row>
    <row r="37" spans="1:13">
      <c r="A37" s="1">
        <v>29</v>
      </c>
      <c r="B37" s="2" t="s">
        <v>636</v>
      </c>
      <c r="C37" s="1" t="s">
        <v>637</v>
      </c>
      <c r="D37" s="4">
        <v>55302</v>
      </c>
      <c r="E37" s="57">
        <v>7000</v>
      </c>
      <c r="F37" s="1127" t="s">
        <v>2433</v>
      </c>
      <c r="G37" s="1" t="s">
        <v>45</v>
      </c>
      <c r="H37" s="1"/>
      <c r="I37" s="1"/>
      <c r="J37" s="1"/>
      <c r="K37" s="1"/>
      <c r="L37" s="1"/>
      <c r="M37" s="211" t="s">
        <v>3545</v>
      </c>
    </row>
    <row r="38" spans="1:13">
      <c r="A38" s="1">
        <v>30</v>
      </c>
      <c r="B38" s="2" t="s">
        <v>638</v>
      </c>
      <c r="C38" s="1" t="s">
        <v>639</v>
      </c>
      <c r="D38" s="4">
        <v>55302</v>
      </c>
      <c r="E38" s="57">
        <v>7000</v>
      </c>
      <c r="F38" s="1127" t="s">
        <v>2433</v>
      </c>
      <c r="G38" s="1" t="s">
        <v>45</v>
      </c>
      <c r="H38" s="1"/>
      <c r="I38" s="1"/>
      <c r="J38" s="1"/>
      <c r="K38" s="1"/>
      <c r="L38" s="1"/>
      <c r="M38" s="211" t="s">
        <v>3507</v>
      </c>
    </row>
    <row r="39" spans="1:13">
      <c r="A39" s="1">
        <v>31</v>
      </c>
      <c r="B39" s="2" t="s">
        <v>640</v>
      </c>
      <c r="C39" s="1" t="s">
        <v>641</v>
      </c>
      <c r="D39" s="4">
        <v>55302</v>
      </c>
      <c r="E39" s="57">
        <v>7000</v>
      </c>
      <c r="F39" s="1127" t="s">
        <v>2433</v>
      </c>
      <c r="G39" s="1" t="s">
        <v>45</v>
      </c>
      <c r="H39" s="1"/>
      <c r="I39" s="1"/>
      <c r="J39" s="1"/>
      <c r="K39" s="1"/>
      <c r="L39" s="1"/>
      <c r="M39" s="211"/>
    </row>
    <row r="40" spans="1:13">
      <c r="A40" s="1">
        <v>32</v>
      </c>
      <c r="B40" s="504" t="s">
        <v>1610</v>
      </c>
      <c r="C40" s="501" t="s">
        <v>1611</v>
      </c>
      <c r="D40" s="4">
        <v>18747</v>
      </c>
      <c r="E40" s="59">
        <v>7000</v>
      </c>
      <c r="F40" s="1129" t="s">
        <v>1572</v>
      </c>
      <c r="G40" s="1" t="s">
        <v>45</v>
      </c>
      <c r="H40" s="1"/>
      <c r="I40" s="1"/>
      <c r="J40" s="1"/>
      <c r="K40" s="1"/>
      <c r="L40" s="1"/>
      <c r="M40" s="211"/>
    </row>
    <row r="41" spans="1:13">
      <c r="A41" s="1">
        <v>33</v>
      </c>
      <c r="B41" s="504" t="s">
        <v>4</v>
      </c>
      <c r="C41" s="501" t="s">
        <v>1612</v>
      </c>
      <c r="D41" s="4">
        <v>18747</v>
      </c>
      <c r="E41" s="59">
        <v>7000</v>
      </c>
      <c r="F41" s="1129" t="s">
        <v>1572</v>
      </c>
      <c r="G41" s="1" t="s">
        <v>45</v>
      </c>
      <c r="H41" s="1"/>
      <c r="I41" s="1"/>
      <c r="J41" s="1"/>
      <c r="K41" s="1"/>
      <c r="L41" s="1"/>
      <c r="M41" s="211"/>
    </row>
    <row r="42" spans="1:13">
      <c r="A42" s="1">
        <v>34</v>
      </c>
      <c r="B42" s="504" t="s">
        <v>4</v>
      </c>
      <c r="C42" s="501" t="s">
        <v>1613</v>
      </c>
      <c r="D42" s="4">
        <v>18747</v>
      </c>
      <c r="E42" s="59">
        <v>7000</v>
      </c>
      <c r="F42" s="1129" t="s">
        <v>1572</v>
      </c>
      <c r="G42" s="1" t="s">
        <v>45</v>
      </c>
      <c r="H42" s="1"/>
      <c r="I42" s="1"/>
      <c r="J42" s="1"/>
      <c r="K42" s="1"/>
      <c r="L42" s="1"/>
      <c r="M42" s="211"/>
    </row>
    <row r="43" spans="1:13">
      <c r="A43" s="1">
        <v>35</v>
      </c>
      <c r="B43" s="502" t="s">
        <v>1624</v>
      </c>
      <c r="C43" s="503" t="s">
        <v>1625</v>
      </c>
      <c r="D43" s="4">
        <v>18747</v>
      </c>
      <c r="E43" s="61">
        <v>7000</v>
      </c>
      <c r="F43" s="1129" t="s">
        <v>1572</v>
      </c>
      <c r="G43" s="1" t="s">
        <v>45</v>
      </c>
      <c r="H43" s="1"/>
      <c r="I43" s="1"/>
      <c r="J43" s="1"/>
      <c r="K43" s="1"/>
      <c r="L43" s="1"/>
      <c r="M43" s="211"/>
    </row>
    <row r="44" spans="1:13">
      <c r="A44" s="1">
        <v>36</v>
      </c>
      <c r="B44" s="2" t="s">
        <v>1626</v>
      </c>
      <c r="C44" s="1" t="s">
        <v>1627</v>
      </c>
      <c r="D44" s="4">
        <v>18747</v>
      </c>
      <c r="E44" s="60">
        <v>6140</v>
      </c>
      <c r="F44" s="1129" t="s">
        <v>1572</v>
      </c>
      <c r="G44" s="1" t="s">
        <v>45</v>
      </c>
      <c r="H44" s="1"/>
      <c r="I44" s="1"/>
      <c r="J44" s="1"/>
      <c r="K44" s="1"/>
      <c r="L44" s="1"/>
      <c r="M44" s="211"/>
    </row>
    <row r="45" spans="1:13">
      <c r="A45" s="1">
        <v>37</v>
      </c>
      <c r="B45" s="2" t="s">
        <v>642</v>
      </c>
      <c r="C45" s="1" t="s">
        <v>643</v>
      </c>
      <c r="D45" s="4">
        <v>55302</v>
      </c>
      <c r="E45" s="57">
        <v>6140</v>
      </c>
      <c r="F45" s="1127" t="s">
        <v>2433</v>
      </c>
      <c r="G45" s="1" t="s">
        <v>45</v>
      </c>
      <c r="H45" s="1"/>
      <c r="I45" s="1"/>
      <c r="J45" s="1"/>
      <c r="K45" s="1"/>
      <c r="L45" s="1"/>
      <c r="M45" s="211"/>
    </row>
    <row r="46" spans="1:13">
      <c r="A46" s="1">
        <v>38</v>
      </c>
      <c r="B46" s="504" t="s">
        <v>1616</v>
      </c>
      <c r="C46" s="503" t="s">
        <v>1619</v>
      </c>
      <c r="D46" s="4">
        <v>18777</v>
      </c>
      <c r="E46" s="60">
        <v>11600</v>
      </c>
      <c r="F46" s="1129" t="s">
        <v>1572</v>
      </c>
      <c r="G46" s="1" t="s">
        <v>45</v>
      </c>
      <c r="H46" s="1"/>
      <c r="I46" s="1"/>
      <c r="J46" s="1"/>
      <c r="K46" s="1"/>
      <c r="L46" s="1"/>
      <c r="M46" s="211"/>
    </row>
    <row r="47" spans="1:13">
      <c r="A47" s="1">
        <v>39</v>
      </c>
      <c r="B47" s="504" t="s">
        <v>1616</v>
      </c>
      <c r="C47" s="501" t="s">
        <v>1617</v>
      </c>
      <c r="D47" s="4">
        <v>18777</v>
      </c>
      <c r="E47" s="59">
        <v>11600</v>
      </c>
      <c r="F47" s="1129" t="s">
        <v>1572</v>
      </c>
      <c r="G47" s="1" t="s">
        <v>45</v>
      </c>
      <c r="H47" s="1"/>
      <c r="I47" s="1"/>
      <c r="J47" s="1"/>
      <c r="K47" s="1"/>
      <c r="L47" s="1"/>
      <c r="M47" s="211" t="s">
        <v>3502</v>
      </c>
    </row>
    <row r="48" spans="1:13">
      <c r="A48" s="1">
        <v>40</v>
      </c>
      <c r="B48" s="502" t="s">
        <v>1622</v>
      </c>
      <c r="C48" s="503" t="s">
        <v>1623</v>
      </c>
      <c r="D48" s="4">
        <v>18777</v>
      </c>
      <c r="E48" s="61">
        <v>11600</v>
      </c>
      <c r="F48" s="1129" t="s">
        <v>1572</v>
      </c>
      <c r="G48" s="1" t="s">
        <v>45</v>
      </c>
      <c r="H48" s="1"/>
      <c r="I48" s="1"/>
      <c r="J48" s="1"/>
      <c r="K48" s="1"/>
      <c r="L48" s="1"/>
      <c r="M48" s="211" t="s">
        <v>3479</v>
      </c>
    </row>
    <row r="49" spans="1:13">
      <c r="A49" s="1">
        <v>41</v>
      </c>
      <c r="B49" s="3" t="s">
        <v>1492</v>
      </c>
      <c r="C49" s="158" t="s">
        <v>1493</v>
      </c>
      <c r="D49" s="4">
        <v>18777</v>
      </c>
      <c r="E49" s="58">
        <v>11600</v>
      </c>
      <c r="F49" s="1132" t="s">
        <v>3178</v>
      </c>
      <c r="G49" s="1" t="s">
        <v>45</v>
      </c>
      <c r="H49" s="1"/>
      <c r="I49" s="1"/>
      <c r="J49" s="1"/>
      <c r="K49" s="1"/>
      <c r="L49" s="1"/>
      <c r="M49" s="519" t="s">
        <v>3480</v>
      </c>
    </row>
    <row r="50" spans="1:13">
      <c r="A50" s="1">
        <v>42</v>
      </c>
      <c r="B50" s="3" t="s">
        <v>1206</v>
      </c>
      <c r="C50" s="158" t="s">
        <v>1207</v>
      </c>
      <c r="D50" s="228">
        <v>18777</v>
      </c>
      <c r="E50" s="187">
        <v>11600</v>
      </c>
      <c r="F50" s="1011" t="s">
        <v>999</v>
      </c>
      <c r="G50" s="1" t="s">
        <v>45</v>
      </c>
      <c r="H50" s="1"/>
      <c r="I50" s="1"/>
      <c r="J50" s="1"/>
      <c r="K50" s="1"/>
      <c r="L50" s="1"/>
      <c r="M50" s="211"/>
    </row>
    <row r="51" spans="1:13">
      <c r="A51" s="1">
        <v>43</v>
      </c>
      <c r="B51" s="3" t="s">
        <v>1208</v>
      </c>
      <c r="C51" s="158" t="s">
        <v>1209</v>
      </c>
      <c r="D51" s="228">
        <v>18747</v>
      </c>
      <c r="E51" s="187">
        <v>23400</v>
      </c>
      <c r="F51" s="1011" t="s">
        <v>999</v>
      </c>
      <c r="G51" s="1" t="s">
        <v>45</v>
      </c>
      <c r="H51" s="1"/>
      <c r="I51" s="1"/>
      <c r="J51" s="1"/>
      <c r="K51" s="1"/>
      <c r="L51" s="1"/>
      <c r="M51" s="211"/>
    </row>
    <row r="52" spans="1:13">
      <c r="A52" s="1">
        <v>44</v>
      </c>
      <c r="B52" s="2" t="s">
        <v>617</v>
      </c>
      <c r="C52" s="1" t="s">
        <v>644</v>
      </c>
      <c r="D52" s="4">
        <v>55376</v>
      </c>
      <c r="E52" s="57">
        <v>46000</v>
      </c>
      <c r="F52" s="1127" t="s">
        <v>2433</v>
      </c>
      <c r="G52" s="1" t="s">
        <v>45</v>
      </c>
      <c r="H52" s="1"/>
      <c r="I52" s="1"/>
      <c r="J52" s="1"/>
      <c r="K52" s="1"/>
      <c r="L52" s="1"/>
      <c r="M52" s="211"/>
    </row>
    <row r="53" spans="1:13">
      <c r="A53" s="1">
        <v>45</v>
      </c>
      <c r="B53" s="2" t="s">
        <v>2363</v>
      </c>
      <c r="C53" s="1" t="s">
        <v>14</v>
      </c>
      <c r="D53" s="4">
        <v>55701</v>
      </c>
      <c r="E53" s="253">
        <v>34600</v>
      </c>
      <c r="F53" s="1127" t="s">
        <v>2433</v>
      </c>
      <c r="G53" s="1" t="s">
        <v>45</v>
      </c>
      <c r="H53" s="1"/>
      <c r="I53" s="1"/>
      <c r="J53" s="1"/>
      <c r="K53" s="1"/>
      <c r="L53" s="1"/>
      <c r="M53" s="211" t="s">
        <v>3481</v>
      </c>
    </row>
    <row r="54" spans="1:13">
      <c r="A54" s="1">
        <v>46</v>
      </c>
      <c r="B54" s="2" t="s">
        <v>5</v>
      </c>
      <c r="C54" s="1" t="s">
        <v>11</v>
      </c>
      <c r="D54" s="4">
        <v>55701</v>
      </c>
      <c r="E54" s="253">
        <v>34600</v>
      </c>
      <c r="F54" s="1132" t="s">
        <v>1633</v>
      </c>
      <c r="H54" s="1" t="s">
        <v>45</v>
      </c>
      <c r="I54" s="1"/>
      <c r="J54" s="1"/>
      <c r="K54" s="1"/>
      <c r="L54" s="1"/>
      <c r="M54" s="211" t="s">
        <v>3461</v>
      </c>
    </row>
    <row r="55" spans="1:13">
      <c r="A55" s="1">
        <v>47</v>
      </c>
      <c r="B55" s="2" t="s">
        <v>15</v>
      </c>
      <c r="C55" s="1" t="s">
        <v>13</v>
      </c>
      <c r="D55" s="4">
        <v>238322</v>
      </c>
      <c r="E55" s="57">
        <v>5300</v>
      </c>
      <c r="F55" s="1132" t="s">
        <v>1633</v>
      </c>
      <c r="G55" s="1" t="s">
        <v>45</v>
      </c>
      <c r="H55" s="1"/>
      <c r="I55" s="1"/>
      <c r="J55" s="1"/>
      <c r="K55" s="1"/>
      <c r="L55" s="1"/>
      <c r="M55" s="211" t="s">
        <v>3482</v>
      </c>
    </row>
    <row r="56" spans="1:13" s="44" customFormat="1">
      <c r="A56" s="1">
        <v>48</v>
      </c>
      <c r="B56" s="2" t="s">
        <v>645</v>
      </c>
      <c r="C56" s="1" t="s">
        <v>646</v>
      </c>
      <c r="D56" s="4">
        <v>55701</v>
      </c>
      <c r="E56" s="57">
        <v>5300</v>
      </c>
      <c r="F56" s="1164" t="s">
        <v>2433</v>
      </c>
      <c r="G56" s="49"/>
      <c r="H56" s="1" t="s">
        <v>45</v>
      </c>
      <c r="I56" s="1"/>
      <c r="J56" s="1"/>
      <c r="K56" s="1"/>
      <c r="L56" s="1"/>
      <c r="M56" s="211" t="s">
        <v>3461</v>
      </c>
    </row>
    <row r="57" spans="1:13">
      <c r="A57" s="1">
        <v>49</v>
      </c>
      <c r="B57" s="2" t="s">
        <v>647</v>
      </c>
      <c r="C57" s="1" t="s">
        <v>648</v>
      </c>
      <c r="D57" s="4">
        <v>55701</v>
      </c>
      <c r="E57" s="57">
        <v>15400</v>
      </c>
      <c r="F57" s="1164" t="s">
        <v>2433</v>
      </c>
      <c r="G57" s="222"/>
      <c r="H57" s="1" t="s">
        <v>45</v>
      </c>
      <c r="I57" s="1"/>
      <c r="J57" s="1"/>
      <c r="K57" s="1"/>
      <c r="L57" s="1"/>
      <c r="M57" s="211" t="s">
        <v>3461</v>
      </c>
    </row>
    <row r="58" spans="1:13">
      <c r="A58" s="1">
        <v>50</v>
      </c>
      <c r="B58" s="2" t="s">
        <v>2134</v>
      </c>
      <c r="C58" s="1" t="s">
        <v>2135</v>
      </c>
      <c r="D58" s="4">
        <v>55701</v>
      </c>
      <c r="E58" s="1083">
        <v>15400</v>
      </c>
      <c r="F58" s="939" t="s">
        <v>1220</v>
      </c>
      <c r="G58" s="1"/>
      <c r="H58" s="1" t="s">
        <v>45</v>
      </c>
      <c r="I58" s="1"/>
      <c r="J58" s="1"/>
      <c r="K58" s="1"/>
      <c r="L58" s="1"/>
      <c r="M58" s="211" t="s">
        <v>3483</v>
      </c>
    </row>
    <row r="59" spans="1:13" ht="39">
      <c r="A59" s="223">
        <v>51</v>
      </c>
      <c r="B59" s="2" t="s">
        <v>2123</v>
      </c>
      <c r="C59" s="1" t="s">
        <v>2122</v>
      </c>
      <c r="D59" s="4">
        <v>238322</v>
      </c>
      <c r="E59" s="1083">
        <v>20000</v>
      </c>
      <c r="F59" s="939" t="s">
        <v>1220</v>
      </c>
      <c r="G59" s="1"/>
      <c r="H59" s="1" t="s">
        <v>45</v>
      </c>
      <c r="I59" s="1"/>
      <c r="J59" s="1"/>
      <c r="K59" s="1"/>
      <c r="L59" s="1"/>
      <c r="M59" s="289" t="s">
        <v>3484</v>
      </c>
    </row>
    <row r="60" spans="1:13" s="44" customFormat="1">
      <c r="A60" s="1">
        <v>52</v>
      </c>
      <c r="B60" s="2" t="s">
        <v>663</v>
      </c>
      <c r="C60" s="1" t="s">
        <v>664</v>
      </c>
      <c r="D60" s="4">
        <v>19405</v>
      </c>
      <c r="E60" s="57">
        <v>5490</v>
      </c>
      <c r="F60" s="1127" t="s">
        <v>2433</v>
      </c>
      <c r="G60" s="1" t="s">
        <v>45</v>
      </c>
      <c r="H60" s="1"/>
      <c r="I60" s="1"/>
      <c r="J60" s="1"/>
      <c r="K60" s="1"/>
      <c r="L60" s="1"/>
      <c r="M60" s="211"/>
    </row>
    <row r="61" spans="1:13">
      <c r="A61" s="1">
        <v>53</v>
      </c>
      <c r="B61" s="2" t="s">
        <v>665</v>
      </c>
      <c r="C61" s="1" t="s">
        <v>666</v>
      </c>
      <c r="D61" s="4">
        <v>19766</v>
      </c>
      <c r="E61" s="57">
        <v>7396</v>
      </c>
      <c r="F61" s="1127" t="s">
        <v>2433</v>
      </c>
      <c r="G61" s="1" t="s">
        <v>45</v>
      </c>
      <c r="H61" s="1"/>
      <c r="I61" s="1"/>
      <c r="J61" s="1"/>
      <c r="K61" s="1"/>
      <c r="L61" s="1"/>
      <c r="M61" s="211" t="s">
        <v>3545</v>
      </c>
    </row>
    <row r="62" spans="1:13">
      <c r="A62" s="1">
        <v>54</v>
      </c>
      <c r="B62" s="2" t="s">
        <v>665</v>
      </c>
      <c r="C62" s="1" t="s">
        <v>667</v>
      </c>
      <c r="D62" s="4">
        <v>19766</v>
      </c>
      <c r="E62" s="57">
        <v>7396</v>
      </c>
      <c r="F62" s="1127" t="s">
        <v>2433</v>
      </c>
      <c r="G62" s="1" t="s">
        <v>45</v>
      </c>
      <c r="H62" s="1"/>
      <c r="I62" s="1"/>
      <c r="J62" s="1"/>
      <c r="K62" s="1"/>
      <c r="L62" s="1"/>
      <c r="M62" s="211" t="s">
        <v>3546</v>
      </c>
    </row>
    <row r="63" spans="1:13">
      <c r="A63" s="1">
        <v>55</v>
      </c>
      <c r="B63" s="182" t="s">
        <v>1221</v>
      </c>
      <c r="C63" s="1" t="s">
        <v>668</v>
      </c>
      <c r="D63" s="4">
        <v>19917</v>
      </c>
      <c r="E63" s="1083">
        <v>3570</v>
      </c>
      <c r="F63" s="939" t="s">
        <v>1220</v>
      </c>
      <c r="G63" s="1" t="s">
        <v>45</v>
      </c>
      <c r="H63" s="3"/>
      <c r="I63" s="3"/>
      <c r="J63" s="3"/>
      <c r="K63" s="3"/>
      <c r="L63" s="3"/>
      <c r="M63" s="211" t="s">
        <v>3485</v>
      </c>
    </row>
    <row r="64" spans="1:13">
      <c r="A64" s="1">
        <v>56</v>
      </c>
      <c r="B64" s="182" t="s">
        <v>1222</v>
      </c>
      <c r="C64" s="1" t="s">
        <v>669</v>
      </c>
      <c r="D64" s="4">
        <v>19917</v>
      </c>
      <c r="E64" s="1083">
        <v>28130</v>
      </c>
      <c r="F64" s="939" t="s">
        <v>1220</v>
      </c>
      <c r="G64" s="1" t="s">
        <v>45</v>
      </c>
      <c r="H64" s="3"/>
      <c r="I64" s="3"/>
      <c r="J64" s="3"/>
      <c r="K64" s="3"/>
      <c r="L64" s="3"/>
      <c r="M64" s="211" t="s">
        <v>3485</v>
      </c>
    </row>
    <row r="65" spans="1:15">
      <c r="A65" s="1">
        <v>57</v>
      </c>
      <c r="B65" s="2" t="s">
        <v>670</v>
      </c>
      <c r="C65" s="1" t="s">
        <v>671</v>
      </c>
      <c r="D65" s="4">
        <v>20115</v>
      </c>
      <c r="E65" s="57">
        <v>2650</v>
      </c>
      <c r="F65" s="1127" t="s">
        <v>2433</v>
      </c>
      <c r="G65" s="1" t="s">
        <v>45</v>
      </c>
      <c r="H65" s="1"/>
      <c r="I65" s="1"/>
      <c r="J65" s="1"/>
      <c r="K65" s="1"/>
      <c r="L65" s="1"/>
      <c r="M65" s="211"/>
    </row>
    <row r="66" spans="1:15">
      <c r="A66" s="1">
        <v>58</v>
      </c>
      <c r="B66" s="2" t="s">
        <v>1982</v>
      </c>
      <c r="C66" s="1" t="s">
        <v>672</v>
      </c>
      <c r="D66" s="4">
        <v>20311</v>
      </c>
      <c r="E66" s="57">
        <v>3800</v>
      </c>
      <c r="F66" s="1127" t="s">
        <v>2433</v>
      </c>
      <c r="G66" s="1" t="s">
        <v>45</v>
      </c>
      <c r="H66" s="1"/>
      <c r="I66" s="1"/>
      <c r="J66" s="1"/>
      <c r="K66" s="1"/>
      <c r="L66" s="1"/>
      <c r="M66" s="211" t="s">
        <v>3545</v>
      </c>
    </row>
    <row r="67" spans="1:15">
      <c r="A67" s="1">
        <v>59</v>
      </c>
      <c r="B67" s="2" t="s">
        <v>1984</v>
      </c>
      <c r="C67" s="1" t="s">
        <v>674</v>
      </c>
      <c r="D67" s="4">
        <v>20311</v>
      </c>
      <c r="E67" s="57">
        <v>21900</v>
      </c>
      <c r="F67" s="1011" t="s">
        <v>1508</v>
      </c>
      <c r="G67" s="1"/>
      <c r="H67" s="1" t="s">
        <v>45</v>
      </c>
      <c r="I67" s="1"/>
      <c r="J67" s="1"/>
      <c r="K67" s="1"/>
      <c r="L67" s="1"/>
      <c r="M67" s="211"/>
    </row>
    <row r="68" spans="1:15">
      <c r="A68" s="1">
        <v>60</v>
      </c>
      <c r="B68" s="2" t="s">
        <v>1984</v>
      </c>
      <c r="C68" s="1" t="s">
        <v>649</v>
      </c>
      <c r="D68" s="4">
        <v>20311</v>
      </c>
      <c r="E68" s="57">
        <v>21900</v>
      </c>
      <c r="F68" s="1127" t="s">
        <v>2433</v>
      </c>
      <c r="G68" s="1" t="s">
        <v>45</v>
      </c>
      <c r="H68" s="1"/>
      <c r="I68" s="1"/>
      <c r="J68" s="1"/>
      <c r="K68" s="1"/>
      <c r="L68" s="1"/>
      <c r="M68" s="211" t="s">
        <v>3545</v>
      </c>
    </row>
    <row r="69" spans="1:15">
      <c r="A69" s="1">
        <v>61</v>
      </c>
      <c r="B69" s="2" t="s">
        <v>650</v>
      </c>
      <c r="C69" s="1" t="s">
        <v>651</v>
      </c>
      <c r="D69" s="4">
        <v>56836</v>
      </c>
      <c r="E69" s="57">
        <v>4730</v>
      </c>
      <c r="F69" s="1127" t="s">
        <v>2433</v>
      </c>
      <c r="G69" s="1" t="s">
        <v>45</v>
      </c>
      <c r="H69" s="1"/>
      <c r="I69" s="1"/>
      <c r="J69" s="1"/>
      <c r="K69" s="1"/>
      <c r="L69" s="1"/>
      <c r="M69" s="211"/>
    </row>
    <row r="70" spans="1:15">
      <c r="A70" s="1">
        <v>62</v>
      </c>
      <c r="B70" s="2" t="s">
        <v>1554</v>
      </c>
      <c r="C70" s="1" t="s">
        <v>2129</v>
      </c>
      <c r="D70" s="4">
        <v>239533</v>
      </c>
      <c r="E70" s="187">
        <v>8500</v>
      </c>
      <c r="F70" s="1011" t="s">
        <v>1508</v>
      </c>
      <c r="G70" s="1"/>
      <c r="H70" s="1" t="s">
        <v>45</v>
      </c>
      <c r="I70" s="1"/>
      <c r="J70" s="1"/>
      <c r="K70" s="1"/>
      <c r="L70" s="1"/>
      <c r="M70" s="211"/>
    </row>
    <row r="71" spans="1:15" s="88" customFormat="1">
      <c r="A71" s="1">
        <v>63</v>
      </c>
      <c r="B71" s="2" t="s">
        <v>1554</v>
      </c>
      <c r="C71" s="1" t="s">
        <v>1555</v>
      </c>
      <c r="D71" s="4">
        <v>239533</v>
      </c>
      <c r="E71" s="187">
        <v>8500</v>
      </c>
      <c r="F71" s="1011" t="s">
        <v>1508</v>
      </c>
      <c r="G71" s="1"/>
      <c r="H71" s="1" t="s">
        <v>45</v>
      </c>
      <c r="I71" s="1"/>
      <c r="J71" s="1"/>
      <c r="K71" s="1"/>
      <c r="L71" s="1"/>
      <c r="M71" s="211"/>
    </row>
    <row r="72" spans="1:15" s="46" customFormat="1">
      <c r="A72" s="1">
        <v>64</v>
      </c>
      <c r="B72" s="2" t="s">
        <v>2126</v>
      </c>
      <c r="C72" s="1" t="s">
        <v>2127</v>
      </c>
      <c r="D72" s="4">
        <v>239533</v>
      </c>
      <c r="E72" s="187">
        <v>27375</v>
      </c>
      <c r="F72" s="1011" t="s">
        <v>1508</v>
      </c>
      <c r="G72" s="1" t="s">
        <v>45</v>
      </c>
      <c r="H72" s="1"/>
      <c r="I72" s="1"/>
      <c r="J72" s="1"/>
      <c r="K72" s="1"/>
      <c r="L72" s="1"/>
      <c r="M72" s="211"/>
    </row>
    <row r="73" spans="1:15" s="46" customFormat="1">
      <c r="A73" s="1">
        <v>65</v>
      </c>
      <c r="B73" s="2" t="s">
        <v>2126</v>
      </c>
      <c r="C73" s="1" t="s">
        <v>2128</v>
      </c>
      <c r="D73" s="4">
        <v>239533</v>
      </c>
      <c r="E73" s="187">
        <v>27375</v>
      </c>
      <c r="F73" s="1011" t="s">
        <v>1508</v>
      </c>
      <c r="G73" s="1"/>
      <c r="H73" s="1" t="s">
        <v>45</v>
      </c>
      <c r="I73" s="1"/>
      <c r="J73" s="1"/>
      <c r="K73" s="1"/>
      <c r="L73" s="1"/>
      <c r="M73" s="211"/>
    </row>
    <row r="74" spans="1:15" s="46" customFormat="1">
      <c r="A74" s="1">
        <v>66</v>
      </c>
      <c r="B74" s="2" t="s">
        <v>4</v>
      </c>
      <c r="C74" s="1" t="s">
        <v>1980</v>
      </c>
      <c r="D74" s="4">
        <v>239533</v>
      </c>
      <c r="E74" s="187">
        <v>6545.33</v>
      </c>
      <c r="F74" s="1011" t="s">
        <v>1508</v>
      </c>
      <c r="G74" s="1" t="s">
        <v>45</v>
      </c>
      <c r="H74" s="3"/>
      <c r="I74" s="3"/>
      <c r="J74" s="3"/>
      <c r="K74" s="3"/>
      <c r="L74" s="3"/>
      <c r="M74" s="211"/>
    </row>
    <row r="75" spans="1:15" s="46" customFormat="1">
      <c r="A75" s="1">
        <v>67</v>
      </c>
      <c r="B75" s="2" t="s">
        <v>1557</v>
      </c>
      <c r="C75" s="1" t="s">
        <v>1983</v>
      </c>
      <c r="D75" s="4">
        <v>239533</v>
      </c>
      <c r="E75" s="187">
        <v>6550</v>
      </c>
      <c r="F75" s="1011" t="s">
        <v>1508</v>
      </c>
      <c r="H75" s="1" t="s">
        <v>45</v>
      </c>
      <c r="I75" s="3"/>
      <c r="J75" s="3"/>
      <c r="K75" s="3"/>
      <c r="L75" s="3"/>
      <c r="M75" s="211"/>
    </row>
    <row r="76" spans="1:15" s="46" customFormat="1">
      <c r="A76" s="1">
        <v>68</v>
      </c>
      <c r="B76" s="2" t="s">
        <v>673</v>
      </c>
      <c r="C76" s="1" t="s">
        <v>1985</v>
      </c>
      <c r="D76" s="4">
        <v>20387</v>
      </c>
      <c r="E76" s="57">
        <v>6550</v>
      </c>
      <c r="F76" s="1011" t="s">
        <v>1508</v>
      </c>
      <c r="G76" s="1"/>
      <c r="H76" s="1" t="s">
        <v>45</v>
      </c>
      <c r="I76" s="3"/>
      <c r="J76" s="3"/>
      <c r="K76" s="3"/>
      <c r="L76" s="3"/>
      <c r="M76" s="211"/>
    </row>
    <row r="77" spans="1:15" s="46" customFormat="1">
      <c r="A77" s="1">
        <v>69</v>
      </c>
      <c r="B77" s="2" t="s">
        <v>675</v>
      </c>
      <c r="C77" s="1" t="s">
        <v>676</v>
      </c>
      <c r="D77" s="4">
        <v>20666</v>
      </c>
      <c r="E77" s="57">
        <v>20000</v>
      </c>
      <c r="F77" s="1132" t="s">
        <v>1633</v>
      </c>
      <c r="G77" s="1" t="s">
        <v>45</v>
      </c>
      <c r="H77" s="1"/>
      <c r="I77" s="1"/>
      <c r="J77" s="1"/>
      <c r="K77" s="1"/>
      <c r="L77" s="1"/>
      <c r="M77" s="211"/>
    </row>
    <row r="78" spans="1:15">
      <c r="A78" s="1">
        <v>70</v>
      </c>
      <c r="B78" s="2" t="s">
        <v>677</v>
      </c>
      <c r="C78" s="1" t="s">
        <v>678</v>
      </c>
      <c r="D78" s="4">
        <v>20903</v>
      </c>
      <c r="E78" s="57">
        <v>44000</v>
      </c>
      <c r="F78" s="1127" t="s">
        <v>2433</v>
      </c>
      <c r="G78" s="1" t="s">
        <v>45</v>
      </c>
      <c r="H78" s="1"/>
      <c r="I78" s="1"/>
      <c r="J78" s="1"/>
      <c r="K78" s="1"/>
      <c r="L78" s="1"/>
      <c r="M78" s="211"/>
      <c r="N78" s="249"/>
      <c r="O78" s="249"/>
    </row>
    <row r="79" spans="1:15" s="249" customFormat="1">
      <c r="A79" s="1">
        <v>71</v>
      </c>
      <c r="B79" s="2" t="s">
        <v>2118</v>
      </c>
      <c r="C79" s="1" t="s">
        <v>2119</v>
      </c>
      <c r="D79" s="4">
        <v>21344</v>
      </c>
      <c r="E79" s="57">
        <v>60000</v>
      </c>
      <c r="F79" s="1132" t="s">
        <v>1633</v>
      </c>
      <c r="G79" s="1" t="s">
        <v>45</v>
      </c>
      <c r="H79" s="1"/>
      <c r="I79" s="1"/>
      <c r="J79" s="1"/>
      <c r="K79" s="1"/>
      <c r="L79" s="1"/>
      <c r="M79" s="211" t="s">
        <v>3446</v>
      </c>
    </row>
    <row r="80" spans="1:15" s="249" customFormat="1">
      <c r="A80" s="1">
        <v>72</v>
      </c>
      <c r="B80" s="2" t="s">
        <v>652</v>
      </c>
      <c r="C80" s="1" t="s">
        <v>653</v>
      </c>
      <c r="D80" s="4">
        <v>58037</v>
      </c>
      <c r="E80" s="57">
        <v>3200</v>
      </c>
      <c r="F80" s="1127" t="s">
        <v>2433</v>
      </c>
      <c r="G80" s="1" t="s">
        <v>45</v>
      </c>
      <c r="H80" s="1"/>
      <c r="I80" s="1"/>
      <c r="J80" s="1"/>
      <c r="K80" s="1"/>
      <c r="L80" s="1"/>
      <c r="M80" s="211"/>
      <c r="N80" s="36"/>
      <c r="O80" s="36"/>
    </row>
    <row r="81" spans="1:15">
      <c r="A81" s="1">
        <v>73</v>
      </c>
      <c r="B81" s="2" t="s">
        <v>654</v>
      </c>
      <c r="C81" s="1" t="s">
        <v>655</v>
      </c>
      <c r="D81" s="4">
        <v>58037</v>
      </c>
      <c r="E81" s="57">
        <v>2990</v>
      </c>
      <c r="F81" s="1127" t="s">
        <v>2433</v>
      </c>
      <c r="G81" s="1" t="s">
        <v>45</v>
      </c>
      <c r="H81" s="1"/>
      <c r="I81" s="1"/>
      <c r="J81" s="1"/>
      <c r="K81" s="1"/>
      <c r="L81" s="1"/>
      <c r="M81" s="211"/>
      <c r="N81" s="249"/>
      <c r="O81" s="249"/>
    </row>
    <row r="82" spans="1:15" s="249" customFormat="1">
      <c r="A82" s="1">
        <v>74</v>
      </c>
      <c r="B82" s="2" t="s">
        <v>4</v>
      </c>
      <c r="C82" s="1" t="s">
        <v>20</v>
      </c>
      <c r="D82" s="4">
        <v>21664</v>
      </c>
      <c r="E82" s="57">
        <v>2990</v>
      </c>
      <c r="F82" s="1132" t="s">
        <v>1633</v>
      </c>
      <c r="G82" s="1" t="s">
        <v>45</v>
      </c>
      <c r="H82" s="1"/>
      <c r="I82" s="1"/>
      <c r="J82" s="1"/>
      <c r="K82" s="1"/>
      <c r="L82" s="1"/>
      <c r="M82" s="211" t="s">
        <v>3459</v>
      </c>
      <c r="N82" s="36"/>
      <c r="O82" s="36"/>
    </row>
    <row r="83" spans="1:15">
      <c r="A83" s="1">
        <v>75</v>
      </c>
      <c r="B83" s="2" t="s">
        <v>4</v>
      </c>
      <c r="C83" s="1" t="s">
        <v>21</v>
      </c>
      <c r="D83" s="4">
        <v>21664</v>
      </c>
      <c r="E83" s="57">
        <v>2990</v>
      </c>
      <c r="F83" s="1132" t="s">
        <v>1633</v>
      </c>
      <c r="G83" s="1" t="s">
        <v>45</v>
      </c>
      <c r="H83" s="1"/>
      <c r="I83" s="1"/>
      <c r="J83" s="1"/>
      <c r="K83" s="1"/>
      <c r="L83" s="1"/>
      <c r="M83" s="211" t="s">
        <v>3461</v>
      </c>
    </row>
    <row r="84" spans="1:15">
      <c r="A84" s="1">
        <v>76</v>
      </c>
      <c r="B84" s="2" t="s">
        <v>22</v>
      </c>
      <c r="C84" s="1" t="s">
        <v>23</v>
      </c>
      <c r="D84" s="4">
        <v>21648</v>
      </c>
      <c r="E84" s="57">
        <v>11800</v>
      </c>
      <c r="F84" s="1132" t="s">
        <v>1633</v>
      </c>
      <c r="G84" s="1" t="s">
        <v>45</v>
      </c>
      <c r="H84" s="1"/>
      <c r="I84" s="1"/>
      <c r="J84" s="1"/>
      <c r="K84" s="1"/>
      <c r="L84" s="1"/>
      <c r="M84" s="211" t="s">
        <v>3459</v>
      </c>
    </row>
    <row r="85" spans="1:15">
      <c r="A85" s="1">
        <v>77</v>
      </c>
      <c r="B85" s="2" t="s">
        <v>656</v>
      </c>
      <c r="C85" s="1" t="s">
        <v>657</v>
      </c>
      <c r="D85" s="4">
        <v>58173</v>
      </c>
      <c r="E85" s="57">
        <v>11800</v>
      </c>
      <c r="F85" s="1127" t="s">
        <v>2433</v>
      </c>
      <c r="G85" s="1" t="s">
        <v>45</v>
      </c>
      <c r="H85" s="1"/>
      <c r="I85" s="1"/>
      <c r="J85" s="1"/>
      <c r="K85" s="1"/>
      <c r="L85" s="1"/>
      <c r="M85" s="211" t="s">
        <v>3507</v>
      </c>
    </row>
    <row r="86" spans="1:15">
      <c r="A86" s="1">
        <v>78</v>
      </c>
      <c r="B86" s="182" t="s">
        <v>1256</v>
      </c>
      <c r="C86" s="1" t="s">
        <v>1257</v>
      </c>
      <c r="D86" s="4">
        <v>58173</v>
      </c>
      <c r="E86" s="1094">
        <v>10900</v>
      </c>
      <c r="F86" s="939" t="s">
        <v>1220</v>
      </c>
      <c r="G86" s="1" t="s">
        <v>45</v>
      </c>
      <c r="H86" s="1"/>
      <c r="I86" s="1"/>
      <c r="J86" s="1"/>
      <c r="K86" s="1"/>
      <c r="L86" s="1"/>
      <c r="M86" s="211" t="s">
        <v>3474</v>
      </c>
    </row>
    <row r="87" spans="1:15">
      <c r="A87" s="1">
        <v>79</v>
      </c>
      <c r="B87" s="182" t="s">
        <v>1258</v>
      </c>
      <c r="C87" s="1" t="s">
        <v>1259</v>
      </c>
      <c r="D87" s="4">
        <v>58173</v>
      </c>
      <c r="E87" s="1083">
        <v>5000</v>
      </c>
      <c r="F87" s="939" t="s">
        <v>1220</v>
      </c>
      <c r="G87" s="1" t="s">
        <v>45</v>
      </c>
      <c r="H87" s="1"/>
      <c r="I87" s="1"/>
      <c r="J87" s="1"/>
      <c r="K87" s="1"/>
      <c r="L87" s="1"/>
      <c r="M87" s="211" t="s">
        <v>3474</v>
      </c>
    </row>
    <row r="88" spans="1:15">
      <c r="A88" s="1">
        <v>80</v>
      </c>
      <c r="B88" s="182" t="s">
        <v>4</v>
      </c>
      <c r="C88" s="1" t="s">
        <v>1260</v>
      </c>
      <c r="D88" s="4">
        <v>58173</v>
      </c>
      <c r="E88" s="1083">
        <v>2990</v>
      </c>
      <c r="F88" s="939" t="s">
        <v>1220</v>
      </c>
      <c r="G88" s="1"/>
      <c r="H88" s="1" t="s">
        <v>45</v>
      </c>
      <c r="I88" s="1"/>
      <c r="J88" s="1"/>
      <c r="K88" s="1"/>
      <c r="L88" s="1"/>
      <c r="M88" s="211" t="s">
        <v>3486</v>
      </c>
    </row>
    <row r="89" spans="1:15">
      <c r="A89" s="1">
        <v>81</v>
      </c>
      <c r="B89" s="2" t="s">
        <v>1634</v>
      </c>
      <c r="C89" s="1" t="s">
        <v>658</v>
      </c>
      <c r="D89" s="4">
        <v>58173</v>
      </c>
      <c r="E89" s="57">
        <v>15900</v>
      </c>
      <c r="F89" s="1127" t="s">
        <v>2433</v>
      </c>
      <c r="G89" s="1" t="s">
        <v>45</v>
      </c>
      <c r="H89" s="1"/>
      <c r="I89" s="1"/>
      <c r="J89" s="1"/>
      <c r="K89" s="1"/>
      <c r="L89" s="1"/>
      <c r="M89" s="211"/>
    </row>
    <row r="90" spans="1:15">
      <c r="A90" s="1">
        <v>82</v>
      </c>
      <c r="B90" s="83" t="s">
        <v>1634</v>
      </c>
      <c r="C90" s="82" t="s">
        <v>659</v>
      </c>
      <c r="D90" s="84">
        <v>58173</v>
      </c>
      <c r="E90" s="85">
        <v>15900</v>
      </c>
      <c r="F90" s="1165" t="s">
        <v>2433</v>
      </c>
      <c r="G90" s="249"/>
      <c r="H90" s="82" t="s">
        <v>45</v>
      </c>
      <c r="I90" s="82"/>
      <c r="J90" s="82"/>
      <c r="K90" s="82"/>
      <c r="L90" s="82"/>
      <c r="M90" s="214"/>
    </row>
    <row r="91" spans="1:15" ht="39">
      <c r="A91" s="223">
        <v>83</v>
      </c>
      <c r="B91" s="511" t="s">
        <v>1628</v>
      </c>
      <c r="C91" s="223" t="s">
        <v>1629</v>
      </c>
      <c r="D91" s="270">
        <v>58173</v>
      </c>
      <c r="E91" s="577">
        <v>15900</v>
      </c>
      <c r="F91" s="1134" t="s">
        <v>1572</v>
      </c>
      <c r="G91" s="223" t="s">
        <v>45</v>
      </c>
      <c r="H91" s="223"/>
      <c r="I91" s="223"/>
      <c r="J91" s="223"/>
      <c r="K91" s="223"/>
      <c r="L91" s="223"/>
      <c r="M91" s="289" t="s">
        <v>3554</v>
      </c>
    </row>
    <row r="92" spans="1:15">
      <c r="A92" s="1">
        <v>84</v>
      </c>
      <c r="B92" s="2" t="s">
        <v>5</v>
      </c>
      <c r="C92" s="1" t="s">
        <v>18</v>
      </c>
      <c r="D92" s="4">
        <v>21648</v>
      </c>
      <c r="E92" s="57">
        <v>16000</v>
      </c>
      <c r="F92" s="1132" t="s">
        <v>1633</v>
      </c>
      <c r="G92" s="1" t="s">
        <v>45</v>
      </c>
      <c r="H92" s="1"/>
      <c r="I92" s="1"/>
      <c r="J92" s="1"/>
      <c r="K92" s="1"/>
      <c r="L92" s="1"/>
      <c r="M92" s="211" t="s">
        <v>3461</v>
      </c>
    </row>
    <row r="93" spans="1:15">
      <c r="A93" s="1">
        <v>85</v>
      </c>
      <c r="B93" s="2" t="s">
        <v>15</v>
      </c>
      <c r="C93" s="1" t="s">
        <v>19</v>
      </c>
      <c r="D93" s="4">
        <v>21648</v>
      </c>
      <c r="E93" s="57">
        <v>5900</v>
      </c>
      <c r="F93" s="1132" t="s">
        <v>1633</v>
      </c>
      <c r="G93" s="1" t="s">
        <v>45</v>
      </c>
      <c r="H93" s="1"/>
      <c r="I93" s="1"/>
      <c r="J93" s="1"/>
      <c r="K93" s="1"/>
      <c r="L93" s="1"/>
      <c r="M93" s="211" t="s">
        <v>3461</v>
      </c>
    </row>
    <row r="94" spans="1:15">
      <c r="A94" s="1">
        <v>86</v>
      </c>
      <c r="B94" s="2" t="s">
        <v>5</v>
      </c>
      <c r="C94" s="1" t="s">
        <v>16</v>
      </c>
      <c r="D94" s="4">
        <v>21648</v>
      </c>
      <c r="E94" s="57">
        <v>16000</v>
      </c>
      <c r="F94" s="1132" t="s">
        <v>1633</v>
      </c>
      <c r="G94" s="1" t="s">
        <v>45</v>
      </c>
      <c r="H94" s="1"/>
      <c r="I94" s="1"/>
      <c r="J94" s="1"/>
      <c r="K94" s="1"/>
      <c r="L94" s="1"/>
      <c r="M94" s="211" t="s">
        <v>3459</v>
      </c>
      <c r="N94" s="249"/>
      <c r="O94" s="249"/>
    </row>
    <row r="95" spans="1:15" s="249" customFormat="1">
      <c r="A95" s="1">
        <v>87</v>
      </c>
      <c r="B95" s="2" t="s">
        <v>2361</v>
      </c>
      <c r="C95" s="1" t="s">
        <v>17</v>
      </c>
      <c r="D95" s="4">
        <v>21648</v>
      </c>
      <c r="E95" s="57">
        <v>5900</v>
      </c>
      <c r="F95" s="1127" t="s">
        <v>2433</v>
      </c>
      <c r="G95" s="1" t="s">
        <v>45</v>
      </c>
      <c r="H95" s="1"/>
      <c r="I95" s="1"/>
      <c r="J95" s="1"/>
      <c r="K95" s="1"/>
      <c r="L95" s="1"/>
      <c r="M95" s="211" t="s">
        <v>3481</v>
      </c>
      <c r="N95" s="36"/>
      <c r="O95" s="36"/>
    </row>
    <row r="96" spans="1:15">
      <c r="A96" s="1">
        <v>88</v>
      </c>
      <c r="B96" s="2" t="s">
        <v>2130</v>
      </c>
      <c r="C96" s="1" t="s">
        <v>2131</v>
      </c>
      <c r="D96" s="4">
        <v>21978</v>
      </c>
      <c r="E96" s="57">
        <v>690</v>
      </c>
      <c r="F96" s="1132" t="s">
        <v>1633</v>
      </c>
      <c r="G96" s="1" t="s">
        <v>45</v>
      </c>
      <c r="H96" s="1"/>
      <c r="I96" s="1"/>
      <c r="J96" s="1"/>
      <c r="K96" s="1"/>
      <c r="L96" s="1"/>
      <c r="M96" s="211" t="s">
        <v>3461</v>
      </c>
    </row>
    <row r="97" spans="1:15">
      <c r="A97" s="1">
        <v>89</v>
      </c>
      <c r="B97" s="2" t="s">
        <v>2130</v>
      </c>
      <c r="C97" s="1" t="s">
        <v>2132</v>
      </c>
      <c r="D97" s="4">
        <v>21978</v>
      </c>
      <c r="E97" s="57">
        <v>690</v>
      </c>
      <c r="F97" s="1132" t="s">
        <v>1633</v>
      </c>
      <c r="G97" s="1" t="s">
        <v>45</v>
      </c>
      <c r="H97" s="1"/>
      <c r="I97" s="1"/>
      <c r="J97" s="1"/>
      <c r="K97" s="1"/>
      <c r="L97" s="1"/>
      <c r="M97" s="211" t="s">
        <v>3461</v>
      </c>
    </row>
    <row r="98" spans="1:15">
      <c r="A98" s="1">
        <v>90</v>
      </c>
      <c r="B98" s="2" t="s">
        <v>2130</v>
      </c>
      <c r="C98" s="1" t="s">
        <v>2133</v>
      </c>
      <c r="D98" s="4">
        <v>21978</v>
      </c>
      <c r="E98" s="57">
        <v>690</v>
      </c>
      <c r="F98" s="1132" t="s">
        <v>1633</v>
      </c>
      <c r="G98" s="1" t="s">
        <v>45</v>
      </c>
      <c r="H98" s="1"/>
      <c r="I98" s="1"/>
      <c r="J98" s="1"/>
      <c r="K98" s="1"/>
      <c r="L98" s="1"/>
      <c r="M98" s="211" t="s">
        <v>3461</v>
      </c>
    </row>
    <row r="99" spans="1:15">
      <c r="A99" s="1">
        <v>91</v>
      </c>
      <c r="B99" s="2" t="s">
        <v>679</v>
      </c>
      <c r="C99" s="1" t="s">
        <v>680</v>
      </c>
      <c r="D99" s="4">
        <v>21995</v>
      </c>
      <c r="E99" s="57">
        <v>90000</v>
      </c>
      <c r="F99" s="1127" t="s">
        <v>2433</v>
      </c>
      <c r="G99" s="1" t="s">
        <v>45</v>
      </c>
      <c r="H99" s="1"/>
      <c r="I99" s="1"/>
      <c r="J99" s="1"/>
      <c r="K99" s="1"/>
      <c r="L99" s="1"/>
      <c r="M99" s="211"/>
    </row>
    <row r="100" spans="1:15">
      <c r="A100" s="1">
        <v>92</v>
      </c>
      <c r="B100" s="2" t="s">
        <v>681</v>
      </c>
      <c r="C100" s="1" t="s">
        <v>682</v>
      </c>
      <c r="D100" s="4">
        <v>21996</v>
      </c>
      <c r="E100" s="57">
        <v>36800</v>
      </c>
      <c r="F100" s="1132" t="s">
        <v>1633</v>
      </c>
      <c r="G100" s="1" t="s">
        <v>45</v>
      </c>
      <c r="H100" s="223"/>
      <c r="I100" s="223"/>
      <c r="J100" s="223"/>
      <c r="K100" s="223"/>
      <c r="L100" s="223"/>
      <c r="M100" s="211" t="s">
        <v>3501</v>
      </c>
    </row>
    <row r="101" spans="1:15">
      <c r="A101" s="1">
        <v>93</v>
      </c>
      <c r="B101" s="2" t="s">
        <v>683</v>
      </c>
      <c r="C101" s="1" t="s">
        <v>684</v>
      </c>
      <c r="D101" s="4">
        <v>22067</v>
      </c>
      <c r="E101" s="57">
        <v>3290</v>
      </c>
      <c r="F101" s="1127" t="s">
        <v>2433</v>
      </c>
      <c r="G101" s="1" t="s">
        <v>45</v>
      </c>
      <c r="H101" s="1"/>
      <c r="I101" s="1"/>
      <c r="J101" s="1"/>
      <c r="K101" s="1"/>
      <c r="L101" s="1"/>
      <c r="M101" s="211"/>
    </row>
    <row r="102" spans="1:15">
      <c r="A102" s="1">
        <v>94</v>
      </c>
      <c r="B102" s="2" t="s">
        <v>683</v>
      </c>
      <c r="C102" s="1" t="s">
        <v>685</v>
      </c>
      <c r="D102" s="4">
        <v>22067</v>
      </c>
      <c r="E102" s="57">
        <v>3290</v>
      </c>
      <c r="F102" s="1127" t="s">
        <v>2433</v>
      </c>
      <c r="G102" s="1" t="s">
        <v>45</v>
      </c>
      <c r="H102" s="1"/>
      <c r="I102" s="1"/>
      <c r="J102" s="1"/>
      <c r="K102" s="1"/>
      <c r="L102" s="1"/>
      <c r="M102" s="211" t="s">
        <v>3478</v>
      </c>
    </row>
    <row r="103" spans="1:15" ht="39">
      <c r="A103" s="223">
        <v>95</v>
      </c>
      <c r="B103" s="2" t="s">
        <v>683</v>
      </c>
      <c r="C103" s="1" t="s">
        <v>686</v>
      </c>
      <c r="D103" s="4">
        <v>22067</v>
      </c>
      <c r="E103" s="1083">
        <v>3290</v>
      </c>
      <c r="F103" s="160" t="s">
        <v>4036</v>
      </c>
      <c r="G103" s="1" t="s">
        <v>45</v>
      </c>
      <c r="H103" s="1"/>
      <c r="I103" s="1"/>
      <c r="J103" s="1"/>
      <c r="K103" s="1"/>
      <c r="L103" s="1"/>
      <c r="M103" s="289" t="s">
        <v>3550</v>
      </c>
    </row>
    <row r="104" spans="1:15">
      <c r="A104" s="1">
        <v>96</v>
      </c>
      <c r="B104" s="2" t="s">
        <v>656</v>
      </c>
      <c r="C104" s="1" t="s">
        <v>2114</v>
      </c>
      <c r="D104" s="4">
        <v>22478</v>
      </c>
      <c r="E104" s="1083">
        <v>4300</v>
      </c>
      <c r="F104" s="1" t="s">
        <v>2117</v>
      </c>
      <c r="G104" s="1" t="s">
        <v>45</v>
      </c>
      <c r="H104" s="1"/>
      <c r="I104" s="1"/>
      <c r="J104" s="1"/>
      <c r="K104" s="1"/>
      <c r="L104" s="1"/>
      <c r="M104" s="211" t="s">
        <v>3485</v>
      </c>
    </row>
    <row r="105" spans="1:15">
      <c r="A105" s="1">
        <v>97</v>
      </c>
      <c r="B105" s="2" t="s">
        <v>24</v>
      </c>
      <c r="C105" s="1" t="s">
        <v>25</v>
      </c>
      <c r="D105" s="4">
        <v>22478</v>
      </c>
      <c r="E105" s="57">
        <v>4990</v>
      </c>
      <c r="F105" s="1132" t="s">
        <v>1633</v>
      </c>
      <c r="G105" s="1" t="s">
        <v>45</v>
      </c>
      <c r="H105" s="1"/>
      <c r="I105" s="1"/>
      <c r="J105" s="1"/>
      <c r="K105" s="1"/>
      <c r="L105" s="1"/>
      <c r="M105" s="211" t="s">
        <v>3461</v>
      </c>
    </row>
    <row r="106" spans="1:15">
      <c r="A106" s="1">
        <v>98</v>
      </c>
      <c r="B106" s="2" t="s">
        <v>2362</v>
      </c>
      <c r="C106" s="1" t="s">
        <v>692</v>
      </c>
      <c r="D106" s="4">
        <v>22740</v>
      </c>
      <c r="E106" s="57">
        <v>3000</v>
      </c>
      <c r="F106" s="1127" t="s">
        <v>2433</v>
      </c>
      <c r="G106" s="1" t="s">
        <v>45</v>
      </c>
      <c r="H106" s="1"/>
      <c r="I106" s="1"/>
      <c r="J106" s="1"/>
      <c r="K106" s="1"/>
      <c r="L106" s="1"/>
      <c r="M106" s="211" t="s">
        <v>3481</v>
      </c>
    </row>
    <row r="107" spans="1:15" ht="21">
      <c r="A107" s="1">
        <v>99</v>
      </c>
      <c r="B107" s="225" t="s">
        <v>662</v>
      </c>
      <c r="C107" s="1" t="s">
        <v>687</v>
      </c>
      <c r="D107" s="4">
        <v>22741</v>
      </c>
      <c r="E107" s="57">
        <v>5000</v>
      </c>
      <c r="F107" s="1129" t="s">
        <v>1572</v>
      </c>
      <c r="G107" s="1" t="s">
        <v>45</v>
      </c>
      <c r="H107" s="1"/>
      <c r="I107" s="1"/>
      <c r="J107" s="1"/>
      <c r="K107" s="1"/>
      <c r="L107" s="1"/>
      <c r="M107" s="211" t="s">
        <v>3468</v>
      </c>
      <c r="N107" s="505"/>
      <c r="O107" s="505"/>
    </row>
    <row r="108" spans="1:15" ht="21">
      <c r="A108" s="1">
        <v>100</v>
      </c>
      <c r="B108" s="225" t="s">
        <v>1620</v>
      </c>
      <c r="C108" s="1" t="s">
        <v>688</v>
      </c>
      <c r="D108" s="4">
        <v>22741</v>
      </c>
      <c r="E108" s="57">
        <v>10900</v>
      </c>
      <c r="F108" s="1129" t="s">
        <v>1572</v>
      </c>
      <c r="G108" s="1" t="s">
        <v>45</v>
      </c>
      <c r="H108" s="1"/>
      <c r="I108" s="1"/>
      <c r="J108" s="1"/>
      <c r="K108" s="1"/>
      <c r="L108" s="1"/>
      <c r="M108" s="211" t="s">
        <v>3468</v>
      </c>
    </row>
    <row r="109" spans="1:15" s="505" customFormat="1" ht="21">
      <c r="A109" s="1">
        <v>101</v>
      </c>
      <c r="B109" s="225" t="s">
        <v>1631</v>
      </c>
      <c r="C109" s="1" t="s">
        <v>689</v>
      </c>
      <c r="D109" s="4">
        <v>22741</v>
      </c>
      <c r="E109" s="57">
        <v>5800</v>
      </c>
      <c r="F109" s="1129" t="s">
        <v>1572</v>
      </c>
      <c r="G109" s="1" t="s">
        <v>45</v>
      </c>
      <c r="H109" s="1"/>
      <c r="I109" s="1"/>
      <c r="J109" s="1"/>
      <c r="K109" s="1"/>
      <c r="L109" s="1"/>
      <c r="M109" s="211" t="s">
        <v>3468</v>
      </c>
      <c r="N109" s="36"/>
      <c r="O109" s="36"/>
    </row>
    <row r="110" spans="1:15" ht="21">
      <c r="A110" s="1">
        <v>102</v>
      </c>
      <c r="B110" s="225" t="s">
        <v>1632</v>
      </c>
      <c r="C110" s="1" t="s">
        <v>690</v>
      </c>
      <c r="D110" s="4">
        <v>22741</v>
      </c>
      <c r="E110" s="57">
        <v>9000</v>
      </c>
      <c r="F110" s="1129" t="s">
        <v>1572</v>
      </c>
      <c r="G110" s="1" t="s">
        <v>45</v>
      </c>
      <c r="H110" s="1"/>
      <c r="I110" s="1"/>
      <c r="J110" s="1"/>
      <c r="K110" s="1"/>
      <c r="L110" s="1"/>
      <c r="M110" s="211" t="s">
        <v>3468</v>
      </c>
    </row>
    <row r="111" spans="1:15" ht="21">
      <c r="A111" s="1">
        <v>103</v>
      </c>
      <c r="B111" s="298" t="s">
        <v>1496</v>
      </c>
      <c r="C111" s="1" t="s">
        <v>691</v>
      </c>
      <c r="D111" s="228">
        <v>22787</v>
      </c>
      <c r="E111" s="57">
        <v>5800</v>
      </c>
      <c r="F111" s="1129" t="s">
        <v>1265</v>
      </c>
      <c r="G111" s="1" t="s">
        <v>45</v>
      </c>
      <c r="H111" s="1"/>
      <c r="I111" s="1"/>
      <c r="J111" s="1"/>
      <c r="K111" s="1"/>
      <c r="L111" s="1"/>
      <c r="M111" s="211" t="s">
        <v>3487</v>
      </c>
    </row>
    <row r="112" spans="1:15">
      <c r="A112" s="1">
        <v>104</v>
      </c>
      <c r="B112" s="227" t="s">
        <v>1210</v>
      </c>
      <c r="C112" s="1" t="s">
        <v>1211</v>
      </c>
      <c r="D112" s="228">
        <v>22787</v>
      </c>
      <c r="E112" s="187">
        <v>12400</v>
      </c>
      <c r="F112" s="1011" t="s">
        <v>999</v>
      </c>
      <c r="G112" s="1" t="s">
        <v>45</v>
      </c>
      <c r="H112" s="163"/>
      <c r="I112" s="163"/>
      <c r="J112" s="163"/>
      <c r="K112" s="163"/>
      <c r="L112" s="163"/>
      <c r="M112" s="211"/>
    </row>
    <row r="113" spans="1:15">
      <c r="A113" s="1">
        <v>105</v>
      </c>
      <c r="B113" s="506" t="s">
        <v>1212</v>
      </c>
      <c r="C113" s="192" t="s">
        <v>1213</v>
      </c>
      <c r="D113" s="228">
        <v>22787</v>
      </c>
      <c r="E113" s="229">
        <v>3500</v>
      </c>
      <c r="F113" s="1166" t="s">
        <v>999</v>
      </c>
      <c r="G113" s="192" t="s">
        <v>45</v>
      </c>
      <c r="H113" s="163"/>
      <c r="I113" s="163"/>
      <c r="J113" s="163"/>
      <c r="K113" s="163"/>
      <c r="L113" s="163"/>
      <c r="M113" s="518"/>
    </row>
    <row r="114" spans="1:15">
      <c r="A114" s="1"/>
      <c r="B114" s="507" t="s">
        <v>1214</v>
      </c>
      <c r="C114" s="35"/>
      <c r="D114" s="508"/>
      <c r="E114" s="282"/>
      <c r="F114" s="35"/>
      <c r="G114" s="35"/>
      <c r="H114" s="167"/>
      <c r="I114" s="167"/>
      <c r="J114" s="167"/>
      <c r="K114" s="167"/>
      <c r="L114" s="167"/>
      <c r="M114" s="517"/>
    </row>
    <row r="115" spans="1:15">
      <c r="A115" s="1">
        <v>106</v>
      </c>
      <c r="B115" s="3" t="s">
        <v>681</v>
      </c>
      <c r="C115" s="1" t="s">
        <v>1215</v>
      </c>
      <c r="D115" s="4">
        <v>22787</v>
      </c>
      <c r="E115" s="187">
        <v>5800</v>
      </c>
      <c r="F115" s="1011" t="s">
        <v>999</v>
      </c>
      <c r="G115" s="1" t="s">
        <v>45</v>
      </c>
      <c r="H115" s="1"/>
      <c r="I115" s="1"/>
      <c r="J115" s="1"/>
      <c r="K115" s="1"/>
      <c r="L115" s="1"/>
      <c r="M115" s="211"/>
    </row>
    <row r="116" spans="1:15" ht="21">
      <c r="A116" s="1">
        <v>107</v>
      </c>
      <c r="B116" s="509" t="s">
        <v>693</v>
      </c>
      <c r="C116" s="192" t="s">
        <v>694</v>
      </c>
      <c r="D116" s="228">
        <v>22893</v>
      </c>
      <c r="E116" s="56">
        <v>60000</v>
      </c>
      <c r="F116" s="1132" t="s">
        <v>1633</v>
      </c>
      <c r="H116" s="1" t="s">
        <v>45</v>
      </c>
      <c r="I116" s="1"/>
      <c r="J116" s="1"/>
      <c r="K116" s="1"/>
      <c r="L116" s="1"/>
      <c r="M116" s="211" t="s">
        <v>3461</v>
      </c>
    </row>
    <row r="117" spans="1:15" ht="21">
      <c r="A117" s="1">
        <v>108</v>
      </c>
      <c r="B117" s="509" t="s">
        <v>2434</v>
      </c>
      <c r="C117" s="192" t="s">
        <v>2436</v>
      </c>
      <c r="D117" s="228">
        <v>23187</v>
      </c>
      <c r="E117" s="56">
        <v>8600</v>
      </c>
      <c r="F117" s="1129" t="s">
        <v>1265</v>
      </c>
      <c r="G117" s="1" t="s">
        <v>45</v>
      </c>
      <c r="H117" s="1"/>
      <c r="I117" s="1"/>
      <c r="J117" s="1"/>
      <c r="K117" s="1"/>
      <c r="L117" s="1"/>
      <c r="M117" s="211" t="s">
        <v>3487</v>
      </c>
    </row>
    <row r="118" spans="1:15" ht="21">
      <c r="A118" s="1">
        <v>109</v>
      </c>
      <c r="B118" s="509" t="s">
        <v>2435</v>
      </c>
      <c r="C118" s="192" t="s">
        <v>2437</v>
      </c>
      <c r="D118" s="228">
        <v>23187</v>
      </c>
      <c r="E118" s="56">
        <v>2200</v>
      </c>
      <c r="F118" s="1129" t="s">
        <v>1265</v>
      </c>
      <c r="G118" s="1" t="s">
        <v>45</v>
      </c>
      <c r="H118" s="1"/>
      <c r="I118" s="1"/>
      <c r="J118" s="1"/>
      <c r="K118" s="1"/>
      <c r="L118" s="1"/>
      <c r="M118" s="211" t="s">
        <v>3487</v>
      </c>
    </row>
    <row r="119" spans="1:15">
      <c r="A119" s="1">
        <v>110</v>
      </c>
      <c r="B119" s="3" t="s">
        <v>1256</v>
      </c>
      <c r="C119" s="192" t="s">
        <v>2431</v>
      </c>
      <c r="D119" s="228">
        <v>23187</v>
      </c>
      <c r="E119" s="1119">
        <v>11700</v>
      </c>
      <c r="F119" s="1185" t="s">
        <v>2117</v>
      </c>
      <c r="G119" s="1" t="s">
        <v>45</v>
      </c>
      <c r="H119" s="1"/>
      <c r="I119" s="1"/>
      <c r="J119" s="1"/>
      <c r="K119" s="1"/>
      <c r="L119" s="1"/>
      <c r="M119" s="211" t="s">
        <v>3486</v>
      </c>
    </row>
    <row r="120" spans="1:15">
      <c r="A120" s="1">
        <v>111</v>
      </c>
      <c r="B120" s="3" t="s">
        <v>15</v>
      </c>
      <c r="C120" s="192" t="s">
        <v>2430</v>
      </c>
      <c r="D120" s="228">
        <v>23187</v>
      </c>
      <c r="E120" s="1119">
        <v>2200</v>
      </c>
      <c r="F120" s="1185" t="s">
        <v>2117</v>
      </c>
      <c r="G120" s="1" t="s">
        <v>45</v>
      </c>
      <c r="H120" s="1"/>
      <c r="I120" s="1"/>
      <c r="J120" s="1"/>
      <c r="K120" s="1"/>
      <c r="L120" s="1"/>
      <c r="M120" s="211" t="s">
        <v>3486</v>
      </c>
    </row>
    <row r="121" spans="1:15" ht="21">
      <c r="A121" s="1">
        <v>112</v>
      </c>
      <c r="B121" s="509" t="s">
        <v>4</v>
      </c>
      <c r="C121" s="192" t="s">
        <v>2432</v>
      </c>
      <c r="D121" s="228">
        <v>23187</v>
      </c>
      <c r="E121" s="1093">
        <v>2050</v>
      </c>
      <c r="F121" s="1185" t="s">
        <v>2117</v>
      </c>
      <c r="G121" s="1" t="s">
        <v>45</v>
      </c>
      <c r="H121" s="1"/>
      <c r="I121" s="1"/>
      <c r="J121" s="1"/>
      <c r="K121" s="1"/>
      <c r="L121" s="1"/>
      <c r="M121" s="211" t="s">
        <v>3485</v>
      </c>
    </row>
    <row r="122" spans="1:15">
      <c r="A122" s="1">
        <v>113</v>
      </c>
      <c r="B122" s="2" t="s">
        <v>2988</v>
      </c>
      <c r="C122" s="192" t="s">
        <v>2989</v>
      </c>
      <c r="D122" s="228">
        <v>238322</v>
      </c>
      <c r="E122" s="1093">
        <v>3800</v>
      </c>
      <c r="F122" s="939" t="s">
        <v>2957</v>
      </c>
      <c r="G122" s="1" t="s">
        <v>45</v>
      </c>
      <c r="H122" s="1"/>
      <c r="I122" s="1"/>
      <c r="J122" s="1"/>
      <c r="K122" s="1"/>
      <c r="L122" s="1"/>
      <c r="M122" s="211" t="s">
        <v>3469</v>
      </c>
    </row>
    <row r="123" spans="1:15">
      <c r="A123" s="1">
        <v>114</v>
      </c>
      <c r="B123" s="2" t="s">
        <v>1984</v>
      </c>
      <c r="C123" s="192" t="s">
        <v>2990</v>
      </c>
      <c r="D123" s="228">
        <v>239457</v>
      </c>
      <c r="E123" s="1093">
        <v>21900</v>
      </c>
      <c r="F123" s="939" t="s">
        <v>2957</v>
      </c>
      <c r="G123" s="1" t="s">
        <v>45</v>
      </c>
      <c r="H123" s="1"/>
      <c r="I123" s="1"/>
      <c r="J123" s="1"/>
      <c r="K123" s="1"/>
      <c r="L123" s="1"/>
      <c r="M123" s="211" t="s">
        <v>3469</v>
      </c>
    </row>
    <row r="124" spans="1:15">
      <c r="A124" s="1">
        <v>115</v>
      </c>
      <c r="B124" s="2" t="s">
        <v>2991</v>
      </c>
      <c r="C124" s="192" t="s">
        <v>2992</v>
      </c>
      <c r="D124" s="228">
        <v>241108</v>
      </c>
      <c r="E124" s="1093">
        <v>15900</v>
      </c>
      <c r="F124" s="939" t="s">
        <v>2957</v>
      </c>
      <c r="G124" s="1" t="s">
        <v>45</v>
      </c>
      <c r="H124" s="1"/>
      <c r="I124" s="1"/>
      <c r="J124" s="1"/>
      <c r="K124" s="1"/>
      <c r="L124" s="1"/>
      <c r="M124" s="211" t="s">
        <v>3488</v>
      </c>
      <c r="N124" s="249"/>
      <c r="O124" s="249"/>
    </row>
    <row r="125" spans="1:15" ht="21">
      <c r="A125" s="1">
        <v>116</v>
      </c>
      <c r="B125" s="2" t="s">
        <v>2993</v>
      </c>
      <c r="C125" s="192" t="s">
        <v>2994</v>
      </c>
      <c r="D125" s="228">
        <v>242073</v>
      </c>
      <c r="E125" s="1121">
        <v>2100</v>
      </c>
      <c r="F125" s="939" t="s">
        <v>2957</v>
      </c>
      <c r="G125" s="1" t="s">
        <v>45</v>
      </c>
      <c r="H125" s="1"/>
      <c r="I125" s="1"/>
      <c r="J125" s="1"/>
      <c r="K125" s="1"/>
      <c r="L125" s="1"/>
      <c r="M125" s="211" t="s">
        <v>3489</v>
      </c>
      <c r="O125" s="249"/>
    </row>
    <row r="126" spans="1:15">
      <c r="A126" s="1">
        <v>117</v>
      </c>
      <c r="B126" s="2" t="s">
        <v>2996</v>
      </c>
      <c r="C126" s="192" t="s">
        <v>2997</v>
      </c>
      <c r="D126" s="228">
        <v>242333</v>
      </c>
      <c r="E126" s="1093">
        <v>8600</v>
      </c>
      <c r="F126" s="939" t="s">
        <v>2957</v>
      </c>
      <c r="G126" s="1" t="s">
        <v>45</v>
      </c>
      <c r="H126" s="1"/>
      <c r="I126" s="1"/>
      <c r="J126" s="1"/>
      <c r="K126" s="1"/>
      <c r="L126" s="1"/>
      <c r="M126" s="211" t="s">
        <v>3194</v>
      </c>
    </row>
    <row r="127" spans="1:15">
      <c r="A127" s="1">
        <v>118</v>
      </c>
      <c r="B127" s="2" t="s">
        <v>2998</v>
      </c>
      <c r="C127" s="192" t="s">
        <v>2999</v>
      </c>
      <c r="D127" s="228">
        <v>242333</v>
      </c>
      <c r="E127" s="1093">
        <v>2200</v>
      </c>
      <c r="F127" s="939" t="s">
        <v>2957</v>
      </c>
      <c r="G127" s="1" t="s">
        <v>45</v>
      </c>
      <c r="H127" s="1"/>
      <c r="I127" s="1"/>
      <c r="J127" s="1"/>
      <c r="K127" s="1"/>
      <c r="L127" s="1"/>
      <c r="M127" s="211" t="s">
        <v>3194</v>
      </c>
      <c r="N127" s="249"/>
    </row>
    <row r="128" spans="1:15" s="249" customFormat="1">
      <c r="A128" s="1">
        <v>119</v>
      </c>
      <c r="B128" s="2" t="s">
        <v>3000</v>
      </c>
      <c r="C128" s="192" t="s">
        <v>3001</v>
      </c>
      <c r="D128" s="228">
        <v>242333</v>
      </c>
      <c r="E128" s="1093">
        <v>3800</v>
      </c>
      <c r="F128" s="939" t="s">
        <v>2957</v>
      </c>
      <c r="G128" s="1" t="s">
        <v>45</v>
      </c>
      <c r="H128" s="1"/>
      <c r="I128" s="1"/>
      <c r="J128" s="1"/>
      <c r="K128" s="1"/>
      <c r="L128" s="1"/>
      <c r="M128" s="211" t="s">
        <v>3476</v>
      </c>
      <c r="N128" s="36"/>
      <c r="O128" s="36"/>
    </row>
    <row r="129" spans="1:15" s="249" customFormat="1">
      <c r="A129" s="1">
        <v>120</v>
      </c>
      <c r="B129" s="2" t="s">
        <v>2995</v>
      </c>
      <c r="C129" s="192" t="s">
        <v>3002</v>
      </c>
      <c r="D129" s="228">
        <v>242333</v>
      </c>
      <c r="E129" s="1093">
        <v>2050</v>
      </c>
      <c r="F129" s="939" t="s">
        <v>2957</v>
      </c>
      <c r="G129" s="1" t="s">
        <v>45</v>
      </c>
      <c r="H129" s="1"/>
      <c r="I129" s="1"/>
      <c r="J129" s="1"/>
      <c r="K129" s="1"/>
      <c r="L129" s="1"/>
      <c r="M129" s="211" t="s">
        <v>3476</v>
      </c>
    </row>
    <row r="130" spans="1:15">
      <c r="A130" s="1">
        <v>121</v>
      </c>
      <c r="B130" s="2" t="s">
        <v>1979</v>
      </c>
      <c r="C130" s="192" t="s">
        <v>3005</v>
      </c>
      <c r="D130" s="228">
        <v>243045</v>
      </c>
      <c r="E130" s="56">
        <v>12710</v>
      </c>
      <c r="F130" s="1129" t="s">
        <v>2770</v>
      </c>
      <c r="G130" s="1" t="s">
        <v>45</v>
      </c>
      <c r="H130" s="1"/>
      <c r="I130" s="1"/>
      <c r="J130" s="1"/>
      <c r="K130" s="1"/>
      <c r="L130" s="1"/>
      <c r="M130" s="211"/>
    </row>
    <row r="131" spans="1:15">
      <c r="A131" s="1">
        <v>122</v>
      </c>
      <c r="B131" s="2" t="s">
        <v>15</v>
      </c>
      <c r="C131" s="192" t="s">
        <v>3006</v>
      </c>
      <c r="D131" s="228">
        <v>243045</v>
      </c>
      <c r="E131" s="56">
        <v>3790</v>
      </c>
      <c r="F131" s="1129" t="s">
        <v>2770</v>
      </c>
      <c r="G131" s="1" t="s">
        <v>45</v>
      </c>
      <c r="H131" s="1"/>
      <c r="I131" s="1"/>
      <c r="J131" s="1"/>
      <c r="K131" s="1"/>
      <c r="L131" s="1"/>
      <c r="M131" s="211" t="s">
        <v>3490</v>
      </c>
      <c r="O131" s="249"/>
    </row>
    <row r="132" spans="1:15">
      <c r="A132" s="1">
        <v>123</v>
      </c>
      <c r="B132" s="2" t="s">
        <v>1979</v>
      </c>
      <c r="C132" s="192" t="s">
        <v>3007</v>
      </c>
      <c r="D132" s="228">
        <v>243045</v>
      </c>
      <c r="E132" s="56">
        <v>12710</v>
      </c>
      <c r="F132" s="1129" t="s">
        <v>2770</v>
      </c>
      <c r="G132" s="1" t="s">
        <v>45</v>
      </c>
      <c r="H132" s="1"/>
      <c r="I132" s="1"/>
      <c r="J132" s="1"/>
      <c r="K132" s="1"/>
      <c r="L132" s="1"/>
      <c r="M132" s="211" t="s">
        <v>3547</v>
      </c>
    </row>
    <row r="133" spans="1:15" s="249" customFormat="1">
      <c r="A133" s="1">
        <v>124</v>
      </c>
      <c r="B133" s="2" t="s">
        <v>15</v>
      </c>
      <c r="C133" s="192" t="s">
        <v>3008</v>
      </c>
      <c r="D133" s="228">
        <v>243045</v>
      </c>
      <c r="E133" s="56">
        <v>3790</v>
      </c>
      <c r="F133" s="1129" t="s">
        <v>2770</v>
      </c>
      <c r="G133" s="1" t="s">
        <v>45</v>
      </c>
      <c r="H133" s="1"/>
      <c r="I133" s="1"/>
      <c r="J133" s="1"/>
      <c r="K133" s="1"/>
      <c r="L133" s="1"/>
      <c r="M133" s="211" t="s">
        <v>3547</v>
      </c>
      <c r="N133" s="36"/>
      <c r="O133" s="36"/>
    </row>
    <row r="134" spans="1:15">
      <c r="A134" s="1">
        <v>125</v>
      </c>
      <c r="B134" s="2" t="s">
        <v>3009</v>
      </c>
      <c r="C134" s="192" t="s">
        <v>3010</v>
      </c>
      <c r="D134" s="228">
        <v>243045</v>
      </c>
      <c r="E134" s="56">
        <v>4000</v>
      </c>
      <c r="F134" s="1129" t="s">
        <v>2770</v>
      </c>
      <c r="G134" s="1" t="s">
        <v>45</v>
      </c>
      <c r="H134" s="1"/>
      <c r="I134" s="1"/>
      <c r="J134" s="1"/>
      <c r="K134" s="1"/>
      <c r="L134" s="1"/>
      <c r="M134" s="211" t="s">
        <v>3547</v>
      </c>
    </row>
    <row r="135" spans="1:15" s="249" customFormat="1">
      <c r="A135" s="1">
        <v>126</v>
      </c>
      <c r="B135" s="2" t="s">
        <v>3009</v>
      </c>
      <c r="C135" s="192" t="s">
        <v>3011</v>
      </c>
      <c r="D135" s="228">
        <v>243045</v>
      </c>
      <c r="E135" s="56">
        <v>4000</v>
      </c>
      <c r="F135" s="1129" t="s">
        <v>2770</v>
      </c>
      <c r="G135" s="1" t="s">
        <v>45</v>
      </c>
      <c r="H135" s="1"/>
      <c r="I135" s="1"/>
      <c r="J135" s="1"/>
      <c r="K135" s="1"/>
      <c r="L135" s="1"/>
      <c r="M135" s="211"/>
      <c r="N135" s="36"/>
      <c r="O135" s="36"/>
    </row>
    <row r="136" spans="1:15">
      <c r="A136" s="1">
        <v>127</v>
      </c>
      <c r="B136" s="2" t="s">
        <v>3073</v>
      </c>
      <c r="C136" s="192" t="s">
        <v>3012</v>
      </c>
      <c r="D136" s="228">
        <v>243045</v>
      </c>
      <c r="E136" s="56">
        <v>4500</v>
      </c>
      <c r="F136" s="1129" t="s">
        <v>2770</v>
      </c>
      <c r="G136" s="1" t="s">
        <v>45</v>
      </c>
      <c r="H136" s="1"/>
      <c r="I136" s="1"/>
      <c r="J136" s="1"/>
      <c r="K136" s="1"/>
      <c r="L136" s="1"/>
      <c r="M136" s="211" t="s">
        <v>3446</v>
      </c>
    </row>
    <row r="137" spans="1:15">
      <c r="A137" s="1">
        <v>128</v>
      </c>
      <c r="B137" s="2" t="s">
        <v>1979</v>
      </c>
      <c r="C137" s="192" t="s">
        <v>3013</v>
      </c>
      <c r="D137" s="228">
        <v>243045</v>
      </c>
      <c r="E137" s="56">
        <v>12710</v>
      </c>
      <c r="F137" s="1129" t="s">
        <v>2769</v>
      </c>
      <c r="G137" s="1" t="s">
        <v>45</v>
      </c>
      <c r="H137" s="1"/>
      <c r="I137" s="1"/>
      <c r="J137" s="1"/>
      <c r="K137" s="1"/>
      <c r="L137" s="1"/>
      <c r="M137" s="211" t="s">
        <v>3501</v>
      </c>
    </row>
    <row r="138" spans="1:15">
      <c r="A138" s="1">
        <v>129</v>
      </c>
      <c r="B138" s="2" t="s">
        <v>15</v>
      </c>
      <c r="C138" s="192" t="s">
        <v>3014</v>
      </c>
      <c r="D138" s="228">
        <v>243045</v>
      </c>
      <c r="E138" s="56">
        <v>3790</v>
      </c>
      <c r="F138" s="1129" t="s">
        <v>2769</v>
      </c>
      <c r="G138" s="1" t="s">
        <v>45</v>
      </c>
      <c r="H138" s="1"/>
      <c r="I138" s="1"/>
      <c r="J138" s="1"/>
      <c r="K138" s="1"/>
      <c r="L138" s="1"/>
      <c r="M138" s="211" t="s">
        <v>3501</v>
      </c>
    </row>
    <row r="139" spans="1:15">
      <c r="A139" s="1">
        <v>130</v>
      </c>
      <c r="B139" s="2" t="s">
        <v>3009</v>
      </c>
      <c r="C139" s="192" t="s">
        <v>3015</v>
      </c>
      <c r="D139" s="228">
        <v>243045</v>
      </c>
      <c r="E139" s="56">
        <v>4500</v>
      </c>
      <c r="F139" s="1129" t="s">
        <v>2769</v>
      </c>
      <c r="G139" s="1" t="s">
        <v>45</v>
      </c>
      <c r="H139" s="1"/>
      <c r="I139" s="1"/>
      <c r="J139" s="1"/>
      <c r="K139" s="1"/>
      <c r="L139" s="1"/>
      <c r="M139" s="211" t="s">
        <v>3478</v>
      </c>
    </row>
    <row r="140" spans="1:15">
      <c r="A140" s="1">
        <v>131</v>
      </c>
      <c r="B140" s="2" t="s">
        <v>1979</v>
      </c>
      <c r="C140" s="192" t="s">
        <v>3016</v>
      </c>
      <c r="D140" s="228">
        <v>243045</v>
      </c>
      <c r="E140" s="56">
        <v>17710</v>
      </c>
      <c r="F140" s="1164" t="s">
        <v>2895</v>
      </c>
      <c r="G140" s="1" t="s">
        <v>45</v>
      </c>
      <c r="H140" s="1"/>
      <c r="I140" s="1"/>
      <c r="J140" s="1"/>
      <c r="K140" s="1"/>
      <c r="L140" s="1"/>
      <c r="M140" s="211" t="s">
        <v>3480</v>
      </c>
    </row>
    <row r="141" spans="1:15">
      <c r="A141" s="1">
        <v>132</v>
      </c>
      <c r="B141" s="2" t="s">
        <v>15</v>
      </c>
      <c r="C141" s="192" t="s">
        <v>3017</v>
      </c>
      <c r="D141" s="228">
        <v>243045</v>
      </c>
      <c r="E141" s="56">
        <v>3790</v>
      </c>
      <c r="F141" s="1164" t="s">
        <v>2895</v>
      </c>
      <c r="G141" s="1" t="s">
        <v>45</v>
      </c>
      <c r="H141" s="1"/>
      <c r="I141" s="1"/>
      <c r="J141" s="1"/>
      <c r="K141" s="1"/>
      <c r="L141" s="1"/>
      <c r="M141" s="211" t="s">
        <v>3480</v>
      </c>
    </row>
    <row r="142" spans="1:15">
      <c r="A142" s="1">
        <v>133</v>
      </c>
      <c r="B142" s="2" t="s">
        <v>3009</v>
      </c>
      <c r="C142" s="192" t="s">
        <v>3018</v>
      </c>
      <c r="D142" s="228">
        <v>243045</v>
      </c>
      <c r="E142" s="56">
        <v>4500</v>
      </c>
      <c r="F142" s="1164" t="s">
        <v>2895</v>
      </c>
      <c r="G142" s="1" t="s">
        <v>45</v>
      </c>
      <c r="H142" s="1"/>
      <c r="I142" s="1"/>
      <c r="J142" s="1"/>
      <c r="K142" s="1"/>
      <c r="L142" s="1"/>
      <c r="M142" s="211" t="s">
        <v>3480</v>
      </c>
    </row>
    <row r="143" spans="1:15">
      <c r="A143" s="1">
        <v>134</v>
      </c>
      <c r="B143" s="2" t="s">
        <v>3019</v>
      </c>
      <c r="C143" s="192" t="s">
        <v>3020</v>
      </c>
      <c r="D143" s="228">
        <v>243045</v>
      </c>
      <c r="E143" s="56">
        <v>3000</v>
      </c>
      <c r="F143" s="1164" t="s">
        <v>2895</v>
      </c>
      <c r="G143" s="1" t="s">
        <v>45</v>
      </c>
      <c r="H143" s="1"/>
      <c r="I143" s="1"/>
      <c r="J143" s="1"/>
      <c r="K143" s="1"/>
      <c r="L143" s="1"/>
      <c r="M143" s="211" t="s">
        <v>3480</v>
      </c>
    </row>
    <row r="144" spans="1:15">
      <c r="A144" s="1">
        <v>135</v>
      </c>
      <c r="B144" s="2" t="s">
        <v>3019</v>
      </c>
      <c r="C144" s="192" t="s">
        <v>3021</v>
      </c>
      <c r="D144" s="228">
        <v>243045</v>
      </c>
      <c r="E144" s="56">
        <v>3000</v>
      </c>
      <c r="F144" s="1164" t="s">
        <v>2895</v>
      </c>
      <c r="G144" s="1" t="s">
        <v>45</v>
      </c>
      <c r="H144" s="1"/>
      <c r="I144" s="1"/>
      <c r="J144" s="1"/>
      <c r="K144" s="1"/>
      <c r="L144" s="1"/>
      <c r="M144" s="211" t="s">
        <v>3477</v>
      </c>
    </row>
    <row r="145" spans="1:13" ht="39">
      <c r="A145" s="1">
        <v>136</v>
      </c>
      <c r="B145" s="2" t="s">
        <v>1979</v>
      </c>
      <c r="C145" s="192" t="s">
        <v>3022</v>
      </c>
      <c r="D145" s="228">
        <v>243045</v>
      </c>
      <c r="E145" s="1093">
        <v>17710</v>
      </c>
      <c r="F145" s="939" t="s">
        <v>1649</v>
      </c>
      <c r="G145" s="1" t="s">
        <v>45</v>
      </c>
      <c r="H145" s="1"/>
      <c r="I145" s="1"/>
      <c r="J145" s="1"/>
      <c r="K145" s="1"/>
      <c r="L145" s="1"/>
      <c r="M145" s="289" t="s">
        <v>3555</v>
      </c>
    </row>
    <row r="146" spans="1:13" ht="39">
      <c r="A146" s="1">
        <v>137</v>
      </c>
      <c r="B146" s="2" t="s">
        <v>15</v>
      </c>
      <c r="C146" s="192" t="s">
        <v>3023</v>
      </c>
      <c r="D146" s="228">
        <v>243045</v>
      </c>
      <c r="E146" s="1093">
        <v>3790</v>
      </c>
      <c r="F146" s="939" t="s">
        <v>1649</v>
      </c>
      <c r="G146" s="1" t="s">
        <v>45</v>
      </c>
      <c r="H146" s="1"/>
      <c r="I146" s="1"/>
      <c r="J146" s="1"/>
      <c r="K146" s="1"/>
      <c r="L146" s="1"/>
      <c r="M146" s="289" t="s">
        <v>3555</v>
      </c>
    </row>
    <row r="147" spans="1:13" ht="39">
      <c r="A147" s="1">
        <v>138</v>
      </c>
      <c r="B147" s="2" t="s">
        <v>3019</v>
      </c>
      <c r="C147" s="192" t="s">
        <v>3024</v>
      </c>
      <c r="D147" s="228">
        <v>243045</v>
      </c>
      <c r="E147" s="1093">
        <v>1500</v>
      </c>
      <c r="F147" s="939" t="s">
        <v>1649</v>
      </c>
      <c r="G147" s="1" t="s">
        <v>45</v>
      </c>
      <c r="H147" s="1"/>
      <c r="I147" s="1"/>
      <c r="J147" s="1"/>
      <c r="K147" s="1"/>
      <c r="L147" s="1"/>
      <c r="M147" s="289" t="s">
        <v>3555</v>
      </c>
    </row>
    <row r="148" spans="1:13" ht="39">
      <c r="A148" s="1">
        <v>139</v>
      </c>
      <c r="B148" s="2" t="s">
        <v>3019</v>
      </c>
      <c r="C148" s="192" t="s">
        <v>3025</v>
      </c>
      <c r="D148" s="228">
        <v>243045</v>
      </c>
      <c r="E148" s="1093">
        <v>1500</v>
      </c>
      <c r="F148" s="939" t="s">
        <v>1649</v>
      </c>
      <c r="G148" s="1" t="s">
        <v>45</v>
      </c>
      <c r="H148" s="1"/>
      <c r="I148" s="1"/>
      <c r="J148" s="1"/>
      <c r="K148" s="1"/>
      <c r="L148" s="1"/>
      <c r="M148" s="289" t="s">
        <v>3555</v>
      </c>
    </row>
    <row r="149" spans="1:13" ht="39">
      <c r="A149" s="1">
        <v>140</v>
      </c>
      <c r="B149" s="2" t="s">
        <v>3019</v>
      </c>
      <c r="C149" s="192" t="s">
        <v>3026</v>
      </c>
      <c r="D149" s="228">
        <v>243045</v>
      </c>
      <c r="E149" s="1093">
        <v>1500</v>
      </c>
      <c r="F149" s="939" t="s">
        <v>1649</v>
      </c>
      <c r="G149" s="1" t="s">
        <v>45</v>
      </c>
      <c r="H149" s="1"/>
      <c r="I149" s="1"/>
      <c r="J149" s="1"/>
      <c r="K149" s="1"/>
      <c r="L149" s="1"/>
      <c r="M149" s="289" t="s">
        <v>3555</v>
      </c>
    </row>
    <row r="150" spans="1:13">
      <c r="A150" s="1">
        <v>141</v>
      </c>
      <c r="B150" s="2" t="s">
        <v>1979</v>
      </c>
      <c r="C150" s="192" t="s">
        <v>3027</v>
      </c>
      <c r="D150" s="228">
        <v>243045</v>
      </c>
      <c r="E150" s="1093">
        <v>17710</v>
      </c>
      <c r="F150" s="939" t="s">
        <v>1508</v>
      </c>
      <c r="G150" s="1" t="s">
        <v>45</v>
      </c>
      <c r="H150" s="222"/>
      <c r="I150" s="1"/>
      <c r="J150" s="1"/>
      <c r="K150" s="1"/>
      <c r="L150" s="1"/>
      <c r="M150" s="211" t="s">
        <v>3511</v>
      </c>
    </row>
    <row r="151" spans="1:13">
      <c r="A151" s="1">
        <v>142</v>
      </c>
      <c r="B151" s="2" t="s">
        <v>15</v>
      </c>
      <c r="C151" s="192" t="s">
        <v>3028</v>
      </c>
      <c r="D151" s="228">
        <v>243045</v>
      </c>
      <c r="E151" s="1093">
        <v>3790</v>
      </c>
      <c r="F151" s="939" t="s">
        <v>1508</v>
      </c>
      <c r="G151" s="1" t="s">
        <v>45</v>
      </c>
      <c r="H151" s="222"/>
      <c r="I151" s="1"/>
      <c r="J151" s="1"/>
      <c r="K151" s="1"/>
      <c r="L151" s="1"/>
      <c r="M151" s="211" t="s">
        <v>3511</v>
      </c>
    </row>
    <row r="152" spans="1:13">
      <c r="A152" s="1">
        <v>143</v>
      </c>
      <c r="B152" s="2" t="s">
        <v>1979</v>
      </c>
      <c r="C152" s="192" t="s">
        <v>3029</v>
      </c>
      <c r="D152" s="228">
        <v>243045</v>
      </c>
      <c r="E152" s="1093">
        <v>17710</v>
      </c>
      <c r="F152" s="939" t="s">
        <v>1508</v>
      </c>
      <c r="G152" s="1" t="s">
        <v>45</v>
      </c>
      <c r="H152" s="222"/>
      <c r="I152" s="1"/>
      <c r="J152" s="1"/>
      <c r="K152" s="1"/>
      <c r="L152" s="1"/>
      <c r="M152" s="211" t="s">
        <v>3548</v>
      </c>
    </row>
    <row r="153" spans="1:13">
      <c r="A153" s="1">
        <v>144</v>
      </c>
      <c r="B153" s="2" t="s">
        <v>15</v>
      </c>
      <c r="C153" s="192" t="s">
        <v>3030</v>
      </c>
      <c r="D153" s="228">
        <v>243045</v>
      </c>
      <c r="E153" s="1093">
        <v>3790</v>
      </c>
      <c r="F153" s="939" t="s">
        <v>1508</v>
      </c>
      <c r="G153" s="1" t="s">
        <v>45</v>
      </c>
      <c r="H153" s="222"/>
      <c r="I153" s="1"/>
      <c r="J153" s="1"/>
      <c r="K153" s="1"/>
      <c r="L153" s="1"/>
      <c r="M153" s="211" t="s">
        <v>3548</v>
      </c>
    </row>
    <row r="154" spans="1:13">
      <c r="A154" s="1">
        <v>145</v>
      </c>
      <c r="B154" s="2" t="s">
        <v>3019</v>
      </c>
      <c r="C154" s="192" t="s">
        <v>3031</v>
      </c>
      <c r="D154" s="228">
        <v>243045</v>
      </c>
      <c r="E154" s="1093">
        <v>1500</v>
      </c>
      <c r="F154" s="939" t="s">
        <v>1508</v>
      </c>
      <c r="G154" s="1" t="s">
        <v>45</v>
      </c>
      <c r="H154" s="222"/>
      <c r="I154" s="1"/>
      <c r="J154" s="1"/>
      <c r="K154" s="1"/>
      <c r="L154" s="1"/>
      <c r="M154" s="211" t="s">
        <v>3511</v>
      </c>
    </row>
    <row r="155" spans="1:13">
      <c r="A155" s="1">
        <v>146</v>
      </c>
      <c r="B155" s="2" t="s">
        <v>3019</v>
      </c>
      <c r="C155" s="192" t="s">
        <v>3032</v>
      </c>
      <c r="D155" s="228">
        <v>243045</v>
      </c>
      <c r="E155" s="1093">
        <v>1500</v>
      </c>
      <c r="F155" s="939" t="s">
        <v>1508</v>
      </c>
      <c r="G155" s="1" t="s">
        <v>45</v>
      </c>
      <c r="H155" s="222"/>
      <c r="I155" s="1"/>
      <c r="J155" s="1"/>
      <c r="K155" s="1"/>
      <c r="L155" s="1"/>
      <c r="M155" s="211" t="s">
        <v>3548</v>
      </c>
    </row>
    <row r="156" spans="1:13">
      <c r="A156" s="1">
        <v>147</v>
      </c>
      <c r="B156" s="2" t="s">
        <v>3009</v>
      </c>
      <c r="C156" s="192" t="s">
        <v>3033</v>
      </c>
      <c r="D156" s="228">
        <v>243045</v>
      </c>
      <c r="E156" s="1093">
        <v>5000</v>
      </c>
      <c r="F156" s="939" t="s">
        <v>1508</v>
      </c>
      <c r="G156" s="1" t="s">
        <v>45</v>
      </c>
      <c r="H156" s="222"/>
      <c r="I156" s="1"/>
      <c r="J156" s="1"/>
      <c r="K156" s="1"/>
      <c r="L156" s="1"/>
      <c r="M156" s="211" t="s">
        <v>3511</v>
      </c>
    </row>
    <row r="157" spans="1:13">
      <c r="A157" s="1">
        <v>148</v>
      </c>
      <c r="B157" s="2" t="s">
        <v>1979</v>
      </c>
      <c r="C157" s="192" t="s">
        <v>3034</v>
      </c>
      <c r="D157" s="228">
        <v>243045</v>
      </c>
      <c r="E157" s="56">
        <v>17710</v>
      </c>
      <c r="F157" s="1011" t="s">
        <v>1649</v>
      </c>
      <c r="G157" s="1" t="s">
        <v>45</v>
      </c>
      <c r="H157" s="1"/>
      <c r="I157" s="1"/>
      <c r="J157" s="1"/>
      <c r="K157" s="1"/>
      <c r="L157" s="1"/>
      <c r="M157" s="211" t="s">
        <v>3177</v>
      </c>
    </row>
    <row r="158" spans="1:13">
      <c r="A158" s="1">
        <v>149</v>
      </c>
      <c r="B158" s="2" t="s">
        <v>15</v>
      </c>
      <c r="C158" s="192" t="s">
        <v>3035</v>
      </c>
      <c r="D158" s="228">
        <v>243045</v>
      </c>
      <c r="E158" s="56">
        <v>3790</v>
      </c>
      <c r="F158" s="1011" t="s">
        <v>1649</v>
      </c>
      <c r="G158" s="1" t="s">
        <v>45</v>
      </c>
      <c r="H158" s="1"/>
      <c r="I158" s="1"/>
      <c r="J158" s="1"/>
      <c r="K158" s="1"/>
      <c r="L158" s="1"/>
      <c r="M158" s="211" t="s">
        <v>3177</v>
      </c>
    </row>
    <row r="159" spans="1:13">
      <c r="A159" s="1">
        <v>150</v>
      </c>
      <c r="B159" s="2" t="s">
        <v>2654</v>
      </c>
      <c r="C159" s="192" t="s">
        <v>3036</v>
      </c>
      <c r="D159" s="228">
        <v>243045</v>
      </c>
      <c r="E159" s="56">
        <v>7000</v>
      </c>
      <c r="F159" s="1011" t="s">
        <v>1649</v>
      </c>
      <c r="G159" s="1" t="s">
        <v>45</v>
      </c>
      <c r="H159" s="1"/>
      <c r="I159" s="1"/>
      <c r="J159" s="1"/>
      <c r="K159" s="1"/>
      <c r="L159" s="1"/>
      <c r="M159" s="211" t="s">
        <v>3177</v>
      </c>
    </row>
    <row r="160" spans="1:13">
      <c r="A160" s="1">
        <v>151</v>
      </c>
      <c r="B160" s="2" t="s">
        <v>3019</v>
      </c>
      <c r="C160" s="192" t="s">
        <v>3037</v>
      </c>
      <c r="D160" s="228">
        <v>243045</v>
      </c>
      <c r="E160" s="56">
        <v>1500</v>
      </c>
      <c r="F160" s="1011" t="s">
        <v>1649</v>
      </c>
      <c r="G160" s="1" t="s">
        <v>45</v>
      </c>
      <c r="H160" s="1"/>
      <c r="I160" s="1"/>
      <c r="J160" s="1"/>
      <c r="K160" s="1"/>
      <c r="L160" s="1"/>
      <c r="M160" s="211" t="s">
        <v>3177</v>
      </c>
    </row>
    <row r="161" spans="1:13" ht="39">
      <c r="A161" s="1">
        <v>152</v>
      </c>
      <c r="B161" s="2" t="s">
        <v>3038</v>
      </c>
      <c r="C161" s="192" t="s">
        <v>3039</v>
      </c>
      <c r="D161" s="228">
        <v>243045</v>
      </c>
      <c r="E161" s="56">
        <v>20000</v>
      </c>
      <c r="F161" s="1129" t="s">
        <v>1572</v>
      </c>
      <c r="G161" s="1" t="s">
        <v>45</v>
      </c>
      <c r="H161" s="1"/>
      <c r="I161" s="1"/>
      <c r="J161" s="1"/>
      <c r="K161" s="1"/>
      <c r="L161" s="1"/>
      <c r="M161" s="289" t="s">
        <v>3556</v>
      </c>
    </row>
    <row r="162" spans="1:13">
      <c r="A162" s="1">
        <v>153</v>
      </c>
      <c r="B162" s="2" t="s">
        <v>3038</v>
      </c>
      <c r="C162" s="192" t="s">
        <v>3040</v>
      </c>
      <c r="D162" s="228">
        <v>243045</v>
      </c>
      <c r="E162" s="56">
        <v>20000</v>
      </c>
      <c r="F162" s="1129" t="s">
        <v>1572</v>
      </c>
      <c r="G162" s="1" t="s">
        <v>45</v>
      </c>
      <c r="H162" s="1"/>
      <c r="I162" s="1"/>
      <c r="J162" s="1"/>
      <c r="K162" s="1"/>
      <c r="L162" s="1"/>
      <c r="M162" s="211" t="s">
        <v>3500</v>
      </c>
    </row>
    <row r="163" spans="1:13">
      <c r="A163" s="1">
        <v>154</v>
      </c>
      <c r="B163" s="2" t="s">
        <v>3038</v>
      </c>
      <c r="C163" s="192" t="s">
        <v>3041</v>
      </c>
      <c r="D163" s="228">
        <v>243045</v>
      </c>
      <c r="E163" s="56">
        <v>20000</v>
      </c>
      <c r="F163" s="1129" t="s">
        <v>1572</v>
      </c>
      <c r="G163" s="1" t="s">
        <v>45</v>
      </c>
      <c r="H163" s="1"/>
      <c r="I163" s="1"/>
      <c r="J163" s="1"/>
      <c r="K163" s="1"/>
      <c r="L163" s="1"/>
      <c r="M163" s="211" t="s">
        <v>3203</v>
      </c>
    </row>
    <row r="164" spans="1:13">
      <c r="A164" s="1">
        <v>155</v>
      </c>
      <c r="B164" s="2" t="s">
        <v>3038</v>
      </c>
      <c r="C164" s="192" t="s">
        <v>3042</v>
      </c>
      <c r="D164" s="228">
        <v>243045</v>
      </c>
      <c r="E164" s="56">
        <v>20000</v>
      </c>
      <c r="F164" s="1129" t="s">
        <v>1572</v>
      </c>
      <c r="G164" s="1" t="s">
        <v>45</v>
      </c>
      <c r="H164" s="1"/>
      <c r="I164" s="1"/>
      <c r="J164" s="1"/>
      <c r="K164" s="1"/>
      <c r="L164" s="1"/>
      <c r="M164" s="211" t="s">
        <v>3496</v>
      </c>
    </row>
    <row r="165" spans="1:13">
      <c r="A165" s="1">
        <v>156</v>
      </c>
      <c r="B165" s="2" t="s">
        <v>3038</v>
      </c>
      <c r="C165" s="192" t="s">
        <v>3043</v>
      </c>
      <c r="D165" s="228">
        <v>243045</v>
      </c>
      <c r="E165" s="56">
        <v>20000</v>
      </c>
      <c r="F165" s="1129" t="s">
        <v>1572</v>
      </c>
      <c r="G165" s="1" t="s">
        <v>45</v>
      </c>
      <c r="H165" s="1"/>
      <c r="I165" s="1"/>
      <c r="J165" s="1"/>
      <c r="K165" s="1"/>
      <c r="L165" s="1"/>
      <c r="M165" s="211" t="s">
        <v>3479</v>
      </c>
    </row>
    <row r="166" spans="1:13">
      <c r="A166" s="1">
        <v>157</v>
      </c>
      <c r="B166" s="2" t="s">
        <v>3038</v>
      </c>
      <c r="C166" s="192" t="s">
        <v>3044</v>
      </c>
      <c r="D166" s="228">
        <v>243045</v>
      </c>
      <c r="E166" s="56">
        <v>20000</v>
      </c>
      <c r="F166" s="1129" t="s">
        <v>1572</v>
      </c>
      <c r="G166" s="1" t="s">
        <v>45</v>
      </c>
      <c r="H166" s="1"/>
      <c r="I166" s="1"/>
      <c r="J166" s="1"/>
      <c r="K166" s="1"/>
      <c r="L166" s="1"/>
      <c r="M166" s="211" t="s">
        <v>3446</v>
      </c>
    </row>
    <row r="167" spans="1:13">
      <c r="A167" s="1">
        <v>158</v>
      </c>
      <c r="B167" s="2" t="s">
        <v>3038</v>
      </c>
      <c r="C167" s="192" t="s">
        <v>3045</v>
      </c>
      <c r="D167" s="228">
        <v>243045</v>
      </c>
      <c r="E167" s="56">
        <v>20000</v>
      </c>
      <c r="F167" s="1129" t="s">
        <v>1572</v>
      </c>
      <c r="G167" s="1" t="s">
        <v>45</v>
      </c>
      <c r="H167" s="1"/>
      <c r="I167" s="1"/>
      <c r="J167" s="1"/>
      <c r="K167" s="1"/>
      <c r="L167" s="1"/>
      <c r="M167" s="211" t="s">
        <v>2770</v>
      </c>
    </row>
    <row r="168" spans="1:13">
      <c r="A168" s="1">
        <v>159</v>
      </c>
      <c r="B168" s="2" t="s">
        <v>3038</v>
      </c>
      <c r="C168" s="192" t="s">
        <v>3046</v>
      </c>
      <c r="D168" s="228">
        <v>243045</v>
      </c>
      <c r="E168" s="56">
        <v>20000</v>
      </c>
      <c r="F168" s="1129" t="s">
        <v>1572</v>
      </c>
      <c r="G168" s="1" t="s">
        <v>45</v>
      </c>
      <c r="H168" s="1"/>
      <c r="I168" s="1"/>
      <c r="J168" s="1"/>
      <c r="K168" s="1"/>
      <c r="L168" s="1"/>
      <c r="M168" s="214" t="s">
        <v>3204</v>
      </c>
    </row>
    <row r="169" spans="1:13">
      <c r="A169" s="1">
        <v>160</v>
      </c>
      <c r="B169" s="2" t="s">
        <v>3009</v>
      </c>
      <c r="C169" s="192" t="s">
        <v>3047</v>
      </c>
      <c r="D169" s="228">
        <v>243045</v>
      </c>
      <c r="E169" s="56">
        <v>4000</v>
      </c>
      <c r="F169" s="1129" t="s">
        <v>1572</v>
      </c>
      <c r="G169" s="1" t="s">
        <v>45</v>
      </c>
      <c r="H169" s="1"/>
      <c r="I169" s="1"/>
      <c r="J169" s="1"/>
      <c r="K169" s="1"/>
      <c r="L169" s="1"/>
      <c r="M169" s="211" t="s">
        <v>3496</v>
      </c>
    </row>
    <row r="170" spans="1:13">
      <c r="A170" s="1">
        <v>161</v>
      </c>
      <c r="B170" s="2" t="s">
        <v>3009</v>
      </c>
      <c r="C170" s="192" t="s">
        <v>3048</v>
      </c>
      <c r="D170" s="228">
        <v>243045</v>
      </c>
      <c r="E170" s="56">
        <v>4000</v>
      </c>
      <c r="F170" s="1129" t="s">
        <v>1572</v>
      </c>
      <c r="G170" s="1" t="s">
        <v>45</v>
      </c>
      <c r="H170" s="1"/>
      <c r="I170" s="1"/>
      <c r="J170" s="1"/>
      <c r="K170" s="1"/>
      <c r="L170" s="1"/>
      <c r="M170" s="211" t="s">
        <v>3479</v>
      </c>
    </row>
    <row r="171" spans="1:13">
      <c r="A171" s="1">
        <v>162</v>
      </c>
      <c r="B171" s="2" t="s">
        <v>3009</v>
      </c>
      <c r="C171" s="192" t="s">
        <v>3049</v>
      </c>
      <c r="D171" s="228">
        <v>243045</v>
      </c>
      <c r="E171" s="56">
        <v>4000</v>
      </c>
      <c r="F171" s="1129" t="s">
        <v>1572</v>
      </c>
      <c r="G171" s="1" t="s">
        <v>45</v>
      </c>
      <c r="H171" s="1"/>
      <c r="I171" s="1"/>
      <c r="J171" s="1"/>
      <c r="K171" s="1"/>
      <c r="L171" s="1"/>
      <c r="M171" s="211" t="s">
        <v>3500</v>
      </c>
    </row>
    <row r="172" spans="1:13">
      <c r="A172" s="1">
        <v>163</v>
      </c>
      <c r="B172" s="2" t="s">
        <v>3009</v>
      </c>
      <c r="C172" s="192" t="s">
        <v>3050</v>
      </c>
      <c r="D172" s="228">
        <v>243045</v>
      </c>
      <c r="E172" s="56">
        <v>4500</v>
      </c>
      <c r="F172" s="1129" t="s">
        <v>1572</v>
      </c>
      <c r="G172" s="1" t="s">
        <v>45</v>
      </c>
      <c r="H172" s="1"/>
      <c r="I172" s="1"/>
      <c r="J172" s="1"/>
      <c r="K172" s="1"/>
      <c r="L172" s="1"/>
      <c r="M172" s="211" t="s">
        <v>3502</v>
      </c>
    </row>
    <row r="173" spans="1:13">
      <c r="A173" s="1">
        <v>164</v>
      </c>
      <c r="B173" s="2" t="s">
        <v>2654</v>
      </c>
      <c r="C173" s="192" t="s">
        <v>3051</v>
      </c>
      <c r="D173" s="228">
        <v>243045</v>
      </c>
      <c r="E173" s="56">
        <v>7000</v>
      </c>
      <c r="F173" s="1129" t="s">
        <v>1572</v>
      </c>
      <c r="G173" s="1" t="s">
        <v>45</v>
      </c>
      <c r="H173" s="1"/>
      <c r="I173" s="1"/>
      <c r="J173" s="1"/>
      <c r="K173" s="1"/>
      <c r="L173" s="1"/>
      <c r="M173" s="211"/>
    </row>
    <row r="174" spans="1:13">
      <c r="A174" s="1">
        <v>165</v>
      </c>
      <c r="B174" s="2" t="s">
        <v>3074</v>
      </c>
      <c r="C174" s="192" t="s">
        <v>3052</v>
      </c>
      <c r="D174" s="228">
        <v>243045</v>
      </c>
      <c r="E174" s="56">
        <v>20000</v>
      </c>
      <c r="F174" s="1129" t="s">
        <v>3053</v>
      </c>
      <c r="G174" s="1" t="s">
        <v>45</v>
      </c>
      <c r="H174" s="1"/>
      <c r="I174" s="1"/>
      <c r="J174" s="1"/>
      <c r="K174" s="1"/>
      <c r="L174" s="1"/>
      <c r="M174" s="211"/>
    </row>
    <row r="175" spans="1:13">
      <c r="A175" s="1">
        <v>166</v>
      </c>
      <c r="B175" s="2" t="s">
        <v>3075</v>
      </c>
      <c r="C175" s="192" t="s">
        <v>3054</v>
      </c>
      <c r="D175" s="228">
        <v>243045</v>
      </c>
      <c r="E175" s="56">
        <v>20000</v>
      </c>
      <c r="F175" s="1129" t="s">
        <v>3053</v>
      </c>
      <c r="G175" s="1" t="s">
        <v>45</v>
      </c>
      <c r="H175" s="1"/>
      <c r="I175" s="1"/>
      <c r="J175" s="1"/>
      <c r="K175" s="1"/>
      <c r="L175" s="1"/>
      <c r="M175" s="211"/>
    </row>
    <row r="176" spans="1:13">
      <c r="A176" s="1">
        <v>167</v>
      </c>
      <c r="B176" s="2" t="s">
        <v>3055</v>
      </c>
      <c r="C176" s="192" t="s">
        <v>3056</v>
      </c>
      <c r="D176" s="228">
        <v>243045</v>
      </c>
      <c r="E176" s="1093">
        <v>12710</v>
      </c>
      <c r="F176" s="939" t="s">
        <v>3057</v>
      </c>
      <c r="G176" s="1" t="s">
        <v>45</v>
      </c>
      <c r="H176" s="1"/>
      <c r="I176" s="1"/>
      <c r="J176" s="1"/>
      <c r="K176" s="1"/>
      <c r="L176" s="1"/>
      <c r="M176" s="211" t="s">
        <v>3476</v>
      </c>
    </row>
    <row r="177" spans="1:13">
      <c r="A177" s="1">
        <v>168</v>
      </c>
      <c r="B177" s="2" t="s">
        <v>15</v>
      </c>
      <c r="C177" s="192" t="s">
        <v>3058</v>
      </c>
      <c r="D177" s="228">
        <v>243045</v>
      </c>
      <c r="E177" s="1093">
        <v>3790</v>
      </c>
      <c r="F177" s="939" t="s">
        <v>3057</v>
      </c>
      <c r="G177" s="1" t="s">
        <v>45</v>
      </c>
      <c r="H177" s="1"/>
      <c r="I177" s="1"/>
      <c r="J177" s="1"/>
      <c r="K177" s="1"/>
      <c r="L177" s="1"/>
      <c r="M177" s="211" t="s">
        <v>3476</v>
      </c>
    </row>
    <row r="178" spans="1:13">
      <c r="A178" s="1">
        <v>169</v>
      </c>
      <c r="B178" s="2" t="s">
        <v>3019</v>
      </c>
      <c r="C178" s="192" t="s">
        <v>3059</v>
      </c>
      <c r="D178" s="228">
        <v>243045</v>
      </c>
      <c r="E178" s="1093">
        <v>3000</v>
      </c>
      <c r="F178" s="939" t="s">
        <v>3057</v>
      </c>
      <c r="G178" s="1" t="s">
        <v>45</v>
      </c>
      <c r="H178" s="1"/>
      <c r="I178" s="1"/>
      <c r="J178" s="1"/>
      <c r="K178" s="1"/>
      <c r="L178" s="1"/>
      <c r="M178" s="211" t="s">
        <v>3469</v>
      </c>
    </row>
    <row r="179" spans="1:13">
      <c r="A179" s="1">
        <v>170</v>
      </c>
      <c r="B179" s="2" t="s">
        <v>3009</v>
      </c>
      <c r="C179" s="192" t="s">
        <v>3060</v>
      </c>
      <c r="D179" s="228">
        <v>243045</v>
      </c>
      <c r="E179" s="56">
        <v>4500</v>
      </c>
      <c r="F179" s="1011" t="s">
        <v>3061</v>
      </c>
      <c r="G179" s="1" t="s">
        <v>45</v>
      </c>
      <c r="H179" s="1"/>
      <c r="I179" s="1"/>
      <c r="J179" s="1"/>
      <c r="K179" s="1"/>
      <c r="L179" s="1"/>
      <c r="M179" s="211"/>
    </row>
    <row r="180" spans="1:13">
      <c r="A180" s="1">
        <v>171</v>
      </c>
      <c r="B180" s="2" t="s">
        <v>3062</v>
      </c>
      <c r="C180" s="192" t="s">
        <v>3063</v>
      </c>
      <c r="D180" s="228">
        <v>243045</v>
      </c>
      <c r="E180" s="1093">
        <v>15800</v>
      </c>
      <c r="F180" s="939" t="s">
        <v>2117</v>
      </c>
      <c r="G180" s="1" t="s">
        <v>45</v>
      </c>
      <c r="H180" s="1"/>
      <c r="I180" s="1"/>
      <c r="J180" s="1"/>
      <c r="K180" s="1"/>
      <c r="L180" s="1"/>
      <c r="M180" s="211"/>
    </row>
    <row r="181" spans="1:13">
      <c r="A181" s="1">
        <v>172</v>
      </c>
      <c r="B181" s="2" t="s">
        <v>3055</v>
      </c>
      <c r="C181" s="192" t="s">
        <v>3064</v>
      </c>
      <c r="D181" s="228">
        <v>243045</v>
      </c>
      <c r="E181" s="1093">
        <v>12710</v>
      </c>
      <c r="F181" s="939" t="s">
        <v>2957</v>
      </c>
      <c r="G181" s="1" t="s">
        <v>45</v>
      </c>
      <c r="H181" s="1"/>
      <c r="I181" s="1"/>
      <c r="J181" s="1"/>
      <c r="K181" s="1"/>
      <c r="L181" s="1"/>
      <c r="M181" s="211" t="s">
        <v>3489</v>
      </c>
    </row>
    <row r="182" spans="1:13">
      <c r="A182" s="1">
        <v>173</v>
      </c>
      <c r="B182" s="2" t="s">
        <v>15</v>
      </c>
      <c r="C182" s="192" t="s">
        <v>3065</v>
      </c>
      <c r="D182" s="228">
        <v>243045</v>
      </c>
      <c r="E182" s="1093">
        <v>3790</v>
      </c>
      <c r="F182" s="939" t="s">
        <v>2957</v>
      </c>
      <c r="G182" s="1" t="s">
        <v>45</v>
      </c>
      <c r="H182" s="1"/>
      <c r="I182" s="1"/>
      <c r="J182" s="1"/>
      <c r="K182" s="1"/>
      <c r="L182" s="1"/>
      <c r="M182" s="211" t="s">
        <v>3489</v>
      </c>
    </row>
    <row r="183" spans="1:13">
      <c r="A183" s="1">
        <v>174</v>
      </c>
      <c r="B183" s="2" t="s">
        <v>3019</v>
      </c>
      <c r="C183" s="192" t="s">
        <v>3066</v>
      </c>
      <c r="D183" s="228">
        <v>243045</v>
      </c>
      <c r="E183" s="1093">
        <v>3000</v>
      </c>
      <c r="F183" s="939" t="s">
        <v>2957</v>
      </c>
      <c r="G183" s="1" t="s">
        <v>45</v>
      </c>
      <c r="H183" s="1"/>
      <c r="I183" s="1"/>
      <c r="J183" s="1"/>
      <c r="K183" s="1"/>
      <c r="L183" s="1"/>
      <c r="M183" s="211" t="s">
        <v>3489</v>
      </c>
    </row>
    <row r="184" spans="1:13">
      <c r="A184" s="1">
        <v>175</v>
      </c>
      <c r="B184" s="2" t="s">
        <v>3067</v>
      </c>
      <c r="C184" s="192" t="s">
        <v>3068</v>
      </c>
      <c r="D184" s="228">
        <v>243045</v>
      </c>
      <c r="E184" s="1093">
        <v>20000</v>
      </c>
      <c r="F184" s="939" t="s">
        <v>2957</v>
      </c>
      <c r="G184" s="1" t="s">
        <v>45</v>
      </c>
      <c r="H184" s="1"/>
      <c r="I184" s="1"/>
      <c r="J184" s="1"/>
      <c r="K184" s="1"/>
      <c r="L184" s="1"/>
      <c r="M184" s="211" t="s">
        <v>3469</v>
      </c>
    </row>
    <row r="185" spans="1:13">
      <c r="A185" s="1">
        <v>176</v>
      </c>
      <c r="B185" s="2" t="s">
        <v>3069</v>
      </c>
      <c r="C185" s="192" t="s">
        <v>3070</v>
      </c>
      <c r="D185" s="228">
        <v>243045</v>
      </c>
      <c r="E185" s="1093">
        <v>4000</v>
      </c>
      <c r="F185" s="939" t="s">
        <v>2957</v>
      </c>
      <c r="G185" s="1" t="s">
        <v>45</v>
      </c>
      <c r="H185" s="1"/>
      <c r="I185" s="1"/>
      <c r="J185" s="1"/>
      <c r="K185" s="1"/>
      <c r="L185" s="1"/>
      <c r="M185" s="211" t="s">
        <v>3469</v>
      </c>
    </row>
    <row r="186" spans="1:13">
      <c r="A186" s="1">
        <v>177</v>
      </c>
      <c r="B186" s="2" t="s">
        <v>3067</v>
      </c>
      <c r="C186" s="192" t="s">
        <v>3071</v>
      </c>
      <c r="D186" s="228">
        <v>243045</v>
      </c>
      <c r="E186" s="1093">
        <v>20000</v>
      </c>
      <c r="F186" s="939" t="s">
        <v>2957</v>
      </c>
      <c r="G186" s="1" t="s">
        <v>45</v>
      </c>
      <c r="H186" s="1"/>
      <c r="I186" s="1"/>
      <c r="J186" s="1"/>
      <c r="K186" s="1"/>
      <c r="L186" s="1"/>
      <c r="M186" s="211" t="s">
        <v>3506</v>
      </c>
    </row>
    <row r="187" spans="1:13">
      <c r="A187" s="1">
        <v>178</v>
      </c>
      <c r="B187" s="2" t="s">
        <v>1566</v>
      </c>
      <c r="C187" s="192" t="s">
        <v>3072</v>
      </c>
      <c r="D187" s="228">
        <v>243045</v>
      </c>
      <c r="E187" s="56">
        <v>3700</v>
      </c>
      <c r="F187" s="1127" t="s">
        <v>1633</v>
      </c>
      <c r="G187" s="1" t="s">
        <v>45</v>
      </c>
      <c r="H187" s="1"/>
      <c r="I187" s="1"/>
      <c r="J187" s="1"/>
      <c r="K187" s="1"/>
      <c r="L187" s="1"/>
      <c r="M187" s="211" t="s">
        <v>3459</v>
      </c>
    </row>
    <row r="188" spans="1:13">
      <c r="A188" s="1">
        <v>179</v>
      </c>
      <c r="B188" s="2" t="s">
        <v>3296</v>
      </c>
      <c r="C188" s="192" t="s">
        <v>3297</v>
      </c>
      <c r="D188" s="228" t="s">
        <v>3298</v>
      </c>
      <c r="E188" s="56">
        <v>21000</v>
      </c>
      <c r="F188" s="1127" t="s">
        <v>2770</v>
      </c>
      <c r="G188" s="1" t="s">
        <v>45</v>
      </c>
      <c r="H188" s="1"/>
      <c r="I188" s="1"/>
      <c r="J188" s="1"/>
      <c r="K188" s="1"/>
      <c r="L188" s="1"/>
      <c r="M188" s="211" t="s">
        <v>3545</v>
      </c>
    </row>
    <row r="189" spans="1:13">
      <c r="A189" s="1">
        <v>180</v>
      </c>
      <c r="B189" s="2" t="s">
        <v>3299</v>
      </c>
      <c r="C189" s="192" t="s">
        <v>3300</v>
      </c>
      <c r="D189" s="228" t="s">
        <v>3301</v>
      </c>
      <c r="E189" s="56">
        <v>28800</v>
      </c>
      <c r="F189" s="1149" t="s">
        <v>3302</v>
      </c>
      <c r="G189" s="1" t="s">
        <v>45</v>
      </c>
      <c r="H189" s="1"/>
      <c r="I189" s="1"/>
      <c r="J189" s="1"/>
      <c r="K189" s="1"/>
      <c r="L189" s="1"/>
      <c r="M189" s="211" t="s">
        <v>3469</v>
      </c>
    </row>
    <row r="190" spans="1:13">
      <c r="A190" s="1">
        <v>181</v>
      </c>
      <c r="B190" s="2" t="s">
        <v>3303</v>
      </c>
      <c r="C190" s="192" t="s">
        <v>3304</v>
      </c>
      <c r="D190" s="228" t="s">
        <v>3301</v>
      </c>
      <c r="E190" s="56">
        <v>3200</v>
      </c>
      <c r="F190" s="1149" t="s">
        <v>3302</v>
      </c>
      <c r="G190" s="1" t="s">
        <v>45</v>
      </c>
      <c r="H190" s="1"/>
      <c r="I190" s="1"/>
      <c r="J190" s="1"/>
      <c r="K190" s="1"/>
      <c r="L190" s="1"/>
      <c r="M190" s="211" t="s">
        <v>3469</v>
      </c>
    </row>
    <row r="191" spans="1:13">
      <c r="A191" s="1">
        <v>182</v>
      </c>
      <c r="B191" s="2" t="s">
        <v>3305</v>
      </c>
      <c r="C191" s="192" t="s">
        <v>3306</v>
      </c>
      <c r="D191" s="228" t="s">
        <v>3301</v>
      </c>
      <c r="E191" s="56">
        <v>4100</v>
      </c>
      <c r="F191" s="1149" t="s">
        <v>3302</v>
      </c>
      <c r="G191" s="1" t="s">
        <v>45</v>
      </c>
      <c r="H191" s="1"/>
      <c r="I191" s="1"/>
      <c r="J191" s="1"/>
      <c r="K191" s="1"/>
      <c r="L191" s="1"/>
      <c r="M191" s="211" t="s">
        <v>3469</v>
      </c>
    </row>
    <row r="192" spans="1:13">
      <c r="A192" s="1">
        <v>183</v>
      </c>
      <c r="B192" s="2" t="s">
        <v>3307</v>
      </c>
      <c r="C192" s="192" t="s">
        <v>3308</v>
      </c>
      <c r="D192" s="228" t="s">
        <v>3309</v>
      </c>
      <c r="E192" s="56">
        <v>3290</v>
      </c>
      <c r="F192" s="1149" t="s">
        <v>3310</v>
      </c>
      <c r="G192" s="1" t="s">
        <v>45</v>
      </c>
      <c r="H192" s="1"/>
      <c r="I192" s="1"/>
      <c r="J192" s="1"/>
      <c r="K192" s="1"/>
      <c r="L192" s="1"/>
      <c r="M192" s="211"/>
    </row>
    <row r="193" spans="1:13">
      <c r="A193" s="1">
        <v>184</v>
      </c>
      <c r="B193" s="2" t="s">
        <v>3299</v>
      </c>
      <c r="C193" s="192" t="s">
        <v>3312</v>
      </c>
      <c r="D193" s="228" t="s">
        <v>3301</v>
      </c>
      <c r="E193" s="56">
        <v>28800</v>
      </c>
      <c r="F193" s="1149" t="s">
        <v>3319</v>
      </c>
      <c r="G193" s="1" t="s">
        <v>45</v>
      </c>
      <c r="H193" s="1"/>
      <c r="I193" s="1"/>
      <c r="J193" s="1"/>
      <c r="K193" s="1"/>
      <c r="L193" s="1"/>
      <c r="M193" s="211"/>
    </row>
    <row r="194" spans="1:13">
      <c r="A194" s="1">
        <v>185</v>
      </c>
      <c r="B194" s="2" t="s">
        <v>3299</v>
      </c>
      <c r="C194" s="192" t="s">
        <v>3313</v>
      </c>
      <c r="D194" s="228" t="s">
        <v>3301</v>
      </c>
      <c r="E194" s="56">
        <v>28800</v>
      </c>
      <c r="F194" s="1149" t="s">
        <v>3319</v>
      </c>
      <c r="G194" s="1" t="s">
        <v>45</v>
      </c>
      <c r="H194" s="1"/>
      <c r="I194" s="1"/>
      <c r="J194" s="1"/>
      <c r="K194" s="1"/>
      <c r="L194" s="1"/>
      <c r="M194" s="211" t="s">
        <v>3453</v>
      </c>
    </row>
    <row r="195" spans="1:13">
      <c r="A195" s="1">
        <v>186</v>
      </c>
      <c r="B195" s="2" t="s">
        <v>3303</v>
      </c>
      <c r="C195" s="192" t="s">
        <v>3314</v>
      </c>
      <c r="D195" s="228" t="s">
        <v>3301</v>
      </c>
      <c r="E195" s="56">
        <v>3200</v>
      </c>
      <c r="F195" s="1149" t="s">
        <v>3319</v>
      </c>
      <c r="G195" s="1" t="s">
        <v>45</v>
      </c>
      <c r="H195" s="1"/>
      <c r="I195" s="1"/>
      <c r="J195" s="1"/>
      <c r="K195" s="1"/>
      <c r="L195" s="1"/>
      <c r="M195" s="211"/>
    </row>
    <row r="196" spans="1:13">
      <c r="A196" s="1">
        <v>187</v>
      </c>
      <c r="B196" s="2" t="s">
        <v>3303</v>
      </c>
      <c r="C196" s="192" t="s">
        <v>3315</v>
      </c>
      <c r="D196" s="228" t="s">
        <v>3301</v>
      </c>
      <c r="E196" s="56">
        <v>3200</v>
      </c>
      <c r="F196" s="1149" t="s">
        <v>3319</v>
      </c>
      <c r="G196" s="1" t="s">
        <v>45</v>
      </c>
      <c r="H196" s="1"/>
      <c r="I196" s="1"/>
      <c r="J196" s="1"/>
      <c r="K196" s="1"/>
      <c r="L196" s="1"/>
      <c r="M196" s="211" t="s">
        <v>3453</v>
      </c>
    </row>
    <row r="197" spans="1:13">
      <c r="A197" s="1">
        <v>188</v>
      </c>
      <c r="B197" s="2" t="s">
        <v>3311</v>
      </c>
      <c r="C197" s="192" t="s">
        <v>3316</v>
      </c>
      <c r="D197" s="228" t="s">
        <v>3301</v>
      </c>
      <c r="E197" s="1093">
        <v>7990</v>
      </c>
      <c r="F197" s="1177" t="s">
        <v>1220</v>
      </c>
      <c r="G197" s="1" t="s">
        <v>45</v>
      </c>
      <c r="H197" s="1"/>
      <c r="I197" s="1"/>
      <c r="J197" s="1"/>
      <c r="K197" s="1"/>
      <c r="L197" s="1"/>
      <c r="M197" s="211" t="s">
        <v>3453</v>
      </c>
    </row>
    <row r="198" spans="1:13">
      <c r="A198" s="1">
        <v>189</v>
      </c>
      <c r="B198" s="2" t="s">
        <v>3305</v>
      </c>
      <c r="C198" s="192" t="s">
        <v>3317</v>
      </c>
      <c r="D198" s="228" t="s">
        <v>3301</v>
      </c>
      <c r="E198" s="56">
        <v>4100</v>
      </c>
      <c r="F198" s="1149" t="s">
        <v>3319</v>
      </c>
      <c r="G198" s="1" t="s">
        <v>45</v>
      </c>
      <c r="H198" s="1"/>
      <c r="I198" s="1"/>
      <c r="J198" s="1"/>
      <c r="K198" s="1"/>
      <c r="L198" s="1"/>
      <c r="M198" s="211"/>
    </row>
    <row r="199" spans="1:13">
      <c r="A199" s="1">
        <v>190</v>
      </c>
      <c r="B199" s="2" t="s">
        <v>3305</v>
      </c>
      <c r="C199" s="192" t="s">
        <v>3318</v>
      </c>
      <c r="D199" s="228" t="s">
        <v>3301</v>
      </c>
      <c r="E199" s="56">
        <v>4100</v>
      </c>
      <c r="F199" s="1149" t="s">
        <v>3319</v>
      </c>
      <c r="G199" s="1" t="s">
        <v>45</v>
      </c>
      <c r="H199" s="1"/>
      <c r="I199" s="1"/>
      <c r="J199" s="1"/>
      <c r="K199" s="1"/>
      <c r="L199" s="1"/>
      <c r="M199" s="211" t="s">
        <v>3453</v>
      </c>
    </row>
    <row r="200" spans="1:13">
      <c r="A200" s="1">
        <v>191</v>
      </c>
      <c r="B200" s="2" t="s">
        <v>3299</v>
      </c>
      <c r="C200" s="192" t="s">
        <v>3321</v>
      </c>
      <c r="D200" s="228"/>
      <c r="E200" s="56">
        <v>28690</v>
      </c>
      <c r="F200" s="1127" t="s">
        <v>3330</v>
      </c>
      <c r="G200" s="1" t="s">
        <v>45</v>
      </c>
      <c r="H200" s="1"/>
      <c r="I200" s="1"/>
      <c r="J200" s="1"/>
      <c r="K200" s="1"/>
      <c r="L200" s="1"/>
      <c r="M200" s="211" t="s">
        <v>3499</v>
      </c>
    </row>
    <row r="201" spans="1:13">
      <c r="A201" s="1">
        <v>192</v>
      </c>
      <c r="B201" s="2" t="s">
        <v>3299</v>
      </c>
      <c r="C201" s="192" t="s">
        <v>3322</v>
      </c>
      <c r="D201" s="228"/>
      <c r="E201" s="56">
        <v>28690</v>
      </c>
      <c r="F201" s="1127" t="s">
        <v>3330</v>
      </c>
      <c r="G201" s="1" t="s">
        <v>45</v>
      </c>
      <c r="H201" s="1"/>
      <c r="I201" s="1"/>
      <c r="J201" s="1"/>
      <c r="K201" s="1"/>
      <c r="L201" s="1"/>
      <c r="M201" s="211" t="s">
        <v>3493</v>
      </c>
    </row>
    <row r="202" spans="1:13">
      <c r="A202" s="1">
        <v>193</v>
      </c>
      <c r="B202" s="2" t="s">
        <v>3299</v>
      </c>
      <c r="C202" s="192" t="s">
        <v>3323</v>
      </c>
      <c r="D202" s="228"/>
      <c r="E202" s="56">
        <v>28690</v>
      </c>
      <c r="F202" s="1127" t="s">
        <v>3330</v>
      </c>
      <c r="G202" s="1" t="s">
        <v>45</v>
      </c>
      <c r="H202" s="1"/>
      <c r="I202" s="1"/>
      <c r="J202" s="1"/>
      <c r="K202" s="1"/>
      <c r="L202" s="1"/>
      <c r="M202" s="211" t="s">
        <v>3549</v>
      </c>
    </row>
    <row r="203" spans="1:13">
      <c r="A203" s="1">
        <v>194</v>
      </c>
      <c r="B203" s="2" t="s">
        <v>3303</v>
      </c>
      <c r="C203" s="192" t="s">
        <v>3324</v>
      </c>
      <c r="D203" s="228"/>
      <c r="E203" s="56">
        <v>3200</v>
      </c>
      <c r="F203" s="1127" t="s">
        <v>3330</v>
      </c>
      <c r="G203" s="1" t="s">
        <v>45</v>
      </c>
      <c r="H203" s="1"/>
      <c r="I203" s="1"/>
      <c r="J203" s="1"/>
      <c r="K203" s="1"/>
      <c r="L203" s="1"/>
      <c r="M203" s="211" t="s">
        <v>3499</v>
      </c>
    </row>
    <row r="204" spans="1:13">
      <c r="A204" s="1">
        <v>195</v>
      </c>
      <c r="B204" s="2" t="s">
        <v>3303</v>
      </c>
      <c r="C204" s="192" t="s">
        <v>3325</v>
      </c>
      <c r="D204" s="228"/>
      <c r="E204" s="56">
        <v>3200</v>
      </c>
      <c r="F204" s="1127" t="s">
        <v>3330</v>
      </c>
      <c r="G204" s="1" t="s">
        <v>45</v>
      </c>
      <c r="H204" s="1"/>
      <c r="I204" s="1"/>
      <c r="J204" s="1"/>
      <c r="K204" s="1"/>
      <c r="L204" s="1"/>
      <c r="M204" s="211" t="s">
        <v>3493</v>
      </c>
    </row>
    <row r="205" spans="1:13">
      <c r="A205" s="1">
        <v>196</v>
      </c>
      <c r="B205" s="2" t="s">
        <v>3303</v>
      </c>
      <c r="C205" s="192" t="s">
        <v>3326</v>
      </c>
      <c r="D205" s="228"/>
      <c r="E205" s="56">
        <v>3200</v>
      </c>
      <c r="F205" s="1127" t="s">
        <v>3330</v>
      </c>
      <c r="G205" s="1" t="s">
        <v>45</v>
      </c>
      <c r="H205" s="1"/>
      <c r="I205" s="1"/>
      <c r="J205" s="1"/>
      <c r="K205" s="1"/>
      <c r="L205" s="1"/>
      <c r="M205" s="211" t="s">
        <v>3549</v>
      </c>
    </row>
    <row r="206" spans="1:13">
      <c r="A206" s="1">
        <v>197</v>
      </c>
      <c r="B206" s="2" t="s">
        <v>3320</v>
      </c>
      <c r="C206" s="192" t="s">
        <v>3327</v>
      </c>
      <c r="D206" s="228"/>
      <c r="E206" s="56">
        <v>2390</v>
      </c>
      <c r="F206" s="1127" t="s">
        <v>3330</v>
      </c>
      <c r="G206" s="1" t="s">
        <v>45</v>
      </c>
      <c r="H206" s="1"/>
      <c r="I206" s="1"/>
      <c r="J206" s="1"/>
      <c r="K206" s="1"/>
      <c r="L206" s="1"/>
      <c r="M206" s="211" t="s">
        <v>3498</v>
      </c>
    </row>
    <row r="207" spans="1:13">
      <c r="A207" s="1">
        <v>198</v>
      </c>
      <c r="B207" s="2" t="s">
        <v>3320</v>
      </c>
      <c r="C207" s="192" t="s">
        <v>3328</v>
      </c>
      <c r="D207" s="228"/>
      <c r="E207" s="56">
        <v>2390</v>
      </c>
      <c r="F207" s="1127" t="s">
        <v>3330</v>
      </c>
      <c r="G207" s="1" t="s">
        <v>45</v>
      </c>
      <c r="H207" s="1"/>
      <c r="I207" s="1"/>
      <c r="J207" s="1"/>
      <c r="K207" s="1"/>
      <c r="L207" s="1"/>
      <c r="M207" s="211" t="s">
        <v>3493</v>
      </c>
    </row>
    <row r="208" spans="1:13">
      <c r="A208" s="1">
        <v>199</v>
      </c>
      <c r="B208" s="2" t="s">
        <v>3320</v>
      </c>
      <c r="C208" s="192" t="s">
        <v>3329</v>
      </c>
      <c r="D208" s="228"/>
      <c r="E208" s="56">
        <v>2390</v>
      </c>
      <c r="F208" s="1127" t="s">
        <v>3330</v>
      </c>
      <c r="G208" s="1" t="s">
        <v>45</v>
      </c>
      <c r="H208" s="1"/>
      <c r="I208" s="1"/>
      <c r="J208" s="1"/>
      <c r="K208" s="1"/>
      <c r="L208" s="1"/>
      <c r="M208" s="211" t="s">
        <v>3549</v>
      </c>
    </row>
    <row r="209" spans="1:13" ht="58.5">
      <c r="A209" s="223">
        <v>200</v>
      </c>
      <c r="B209" s="511" t="s">
        <v>3394</v>
      </c>
      <c r="C209" s="163" t="s">
        <v>3395</v>
      </c>
      <c r="D209" s="558" t="s">
        <v>3393</v>
      </c>
      <c r="E209" s="94">
        <v>165000</v>
      </c>
      <c r="F209" s="1167" t="s">
        <v>3363</v>
      </c>
      <c r="G209" s="223" t="s">
        <v>45</v>
      </c>
      <c r="H209" s="223"/>
      <c r="I209" s="223"/>
      <c r="J209" s="223"/>
      <c r="K209" s="223"/>
      <c r="L209" s="223"/>
      <c r="M209" s="289" t="s">
        <v>3557</v>
      </c>
    </row>
    <row r="210" spans="1:13">
      <c r="A210" s="163">
        <v>201</v>
      </c>
      <c r="B210" s="1210" t="s">
        <v>3912</v>
      </c>
      <c r="C210" s="1211" t="s">
        <v>3911</v>
      </c>
      <c r="D210" s="1212">
        <v>243572</v>
      </c>
      <c r="E210" s="1213">
        <v>18500</v>
      </c>
      <c r="F210" s="1168"/>
      <c r="G210" s="223" t="s">
        <v>45</v>
      </c>
      <c r="H210" s="223"/>
      <c r="I210" s="223"/>
      <c r="J210" s="223"/>
      <c r="K210" s="223"/>
      <c r="L210" s="223"/>
      <c r="M210" s="289"/>
    </row>
    <row r="211" spans="1:13">
      <c r="A211" s="163">
        <v>202</v>
      </c>
      <c r="B211" s="1210" t="s">
        <v>3912</v>
      </c>
      <c r="C211" s="1211" t="s">
        <v>3915</v>
      </c>
      <c r="D211" s="1212">
        <v>243572</v>
      </c>
      <c r="E211" s="1213">
        <v>18500</v>
      </c>
      <c r="F211" s="1168"/>
      <c r="G211" s="223" t="s">
        <v>45</v>
      </c>
      <c r="H211" s="223"/>
      <c r="I211" s="223"/>
      <c r="J211" s="223"/>
      <c r="K211" s="223"/>
      <c r="L211" s="223"/>
      <c r="M211" s="289"/>
    </row>
    <row r="212" spans="1:13">
      <c r="A212" s="163">
        <v>203</v>
      </c>
      <c r="B212" s="1210" t="s">
        <v>3912</v>
      </c>
      <c r="C212" s="1211" t="s">
        <v>3917</v>
      </c>
      <c r="D212" s="1212">
        <v>243572</v>
      </c>
      <c r="E212" s="1213">
        <v>22500</v>
      </c>
      <c r="F212" s="1168"/>
      <c r="G212" s="223" t="s">
        <v>45</v>
      </c>
      <c r="H212" s="223"/>
      <c r="I212" s="223"/>
      <c r="J212" s="223"/>
      <c r="K212" s="223"/>
      <c r="L212" s="223"/>
      <c r="M212" s="289"/>
    </row>
    <row r="213" spans="1:13">
      <c r="A213" s="163">
        <v>204</v>
      </c>
      <c r="B213" s="1210" t="s">
        <v>3912</v>
      </c>
      <c r="C213" s="1211" t="s">
        <v>3919</v>
      </c>
      <c r="D213" s="1212">
        <v>243572</v>
      </c>
      <c r="E213" s="1213">
        <v>18500</v>
      </c>
      <c r="F213" s="1168"/>
      <c r="G213" s="223" t="s">
        <v>45</v>
      </c>
      <c r="H213" s="223"/>
      <c r="I213" s="223"/>
      <c r="J213" s="223"/>
      <c r="K213" s="223"/>
      <c r="L213" s="223"/>
      <c r="M213" s="289"/>
    </row>
    <row r="214" spans="1:13">
      <c r="A214" s="163">
        <v>205</v>
      </c>
      <c r="B214" s="1210" t="s">
        <v>3912</v>
      </c>
      <c r="C214" s="1211" t="s">
        <v>3921</v>
      </c>
      <c r="D214" s="1212">
        <v>243572</v>
      </c>
      <c r="E214" s="1213">
        <v>19000</v>
      </c>
      <c r="F214" s="1168"/>
      <c r="G214" s="223" t="s">
        <v>45</v>
      </c>
      <c r="H214" s="223"/>
      <c r="I214" s="223"/>
      <c r="J214" s="223"/>
      <c r="K214" s="223"/>
      <c r="L214" s="223"/>
      <c r="M214" s="289"/>
    </row>
    <row r="215" spans="1:13">
      <c r="A215" s="163">
        <v>206</v>
      </c>
      <c r="B215" s="1210" t="s">
        <v>3912</v>
      </c>
      <c r="C215" s="1211" t="s">
        <v>3923</v>
      </c>
      <c r="D215" s="1212">
        <v>243572</v>
      </c>
      <c r="E215" s="1213">
        <v>19000</v>
      </c>
      <c r="F215" s="1169"/>
      <c r="G215" s="223" t="s">
        <v>45</v>
      </c>
      <c r="H215" s="223"/>
      <c r="I215" s="223"/>
      <c r="J215" s="223"/>
      <c r="K215" s="223"/>
      <c r="L215" s="223"/>
      <c r="M215" s="289"/>
    </row>
    <row r="216" spans="1:13">
      <c r="A216" s="163">
        <v>207</v>
      </c>
      <c r="B216" s="1210" t="s">
        <v>3912</v>
      </c>
      <c r="C216" s="1211" t="s">
        <v>3925</v>
      </c>
      <c r="D216" s="1212">
        <v>243572</v>
      </c>
      <c r="E216" s="1213">
        <v>22500</v>
      </c>
      <c r="F216" s="1169"/>
      <c r="G216" s="223" t="s">
        <v>45</v>
      </c>
      <c r="H216" s="223"/>
      <c r="I216" s="223"/>
      <c r="J216" s="223"/>
      <c r="K216" s="223"/>
      <c r="L216" s="223"/>
      <c r="M216" s="289"/>
    </row>
    <row r="217" spans="1:13">
      <c r="A217" s="163">
        <v>208</v>
      </c>
      <c r="B217" s="1210" t="s">
        <v>3908</v>
      </c>
      <c r="C217" s="1211" t="s">
        <v>3907</v>
      </c>
      <c r="D217" s="1212">
        <v>243572</v>
      </c>
      <c r="E217" s="1213">
        <v>22800</v>
      </c>
      <c r="F217" s="1168"/>
      <c r="G217" s="223" t="s">
        <v>45</v>
      </c>
      <c r="H217" s="223"/>
      <c r="I217" s="223"/>
      <c r="J217" s="223"/>
      <c r="K217" s="223"/>
      <c r="L217" s="223"/>
      <c r="M217" s="289"/>
    </row>
    <row r="218" spans="1:13">
      <c r="A218" s="163">
        <v>209</v>
      </c>
      <c r="B218" s="1214" t="s">
        <v>4019</v>
      </c>
      <c r="C218" s="1215" t="s">
        <v>3928</v>
      </c>
      <c r="D218" s="1212">
        <v>243824</v>
      </c>
      <c r="E218" s="1216">
        <v>490000</v>
      </c>
      <c r="F218" s="1168"/>
      <c r="G218" s="223" t="s">
        <v>45</v>
      </c>
      <c r="H218" s="223"/>
      <c r="I218" s="223"/>
      <c r="J218" s="223"/>
      <c r="K218" s="223"/>
      <c r="L218" s="223"/>
      <c r="M218" s="289"/>
    </row>
    <row r="219" spans="1:13" ht="39">
      <c r="A219" s="163">
        <v>210</v>
      </c>
      <c r="B219" s="1217" t="s">
        <v>3903</v>
      </c>
      <c r="C219" s="1215" t="s">
        <v>3902</v>
      </c>
      <c r="D219" s="1212">
        <v>243800</v>
      </c>
      <c r="E219" s="1218">
        <v>16000</v>
      </c>
      <c r="F219" s="1168"/>
      <c r="G219" s="223" t="s">
        <v>45</v>
      </c>
      <c r="H219" s="223"/>
      <c r="I219" s="223"/>
      <c r="J219" s="223"/>
      <c r="K219" s="223"/>
      <c r="L219" s="223"/>
      <c r="M219" s="289"/>
    </row>
    <row r="220" spans="1:13">
      <c r="A220" s="163"/>
      <c r="B220" s="1219"/>
      <c r="C220" s="1220"/>
      <c r="D220" s="1221"/>
      <c r="E220" s="1222"/>
      <c r="F220" s="559"/>
      <c r="G220" s="223"/>
      <c r="H220" s="223"/>
      <c r="I220" s="223"/>
      <c r="J220" s="223"/>
      <c r="K220" s="223"/>
      <c r="L220" s="223"/>
      <c r="M220" s="289"/>
    </row>
    <row r="221" spans="1:13">
      <c r="A221" s="163"/>
      <c r="B221" s="511"/>
      <c r="C221" s="163"/>
      <c r="D221" s="558"/>
      <c r="E221" s="94"/>
      <c r="F221" s="559"/>
      <c r="G221" s="223"/>
      <c r="H221" s="223"/>
      <c r="I221" s="223"/>
      <c r="J221" s="223"/>
      <c r="K221" s="223"/>
      <c r="L221" s="223"/>
      <c r="M221" s="289"/>
    </row>
    <row r="222" spans="1:13" s="914" customFormat="1" ht="20.25" thickBot="1">
      <c r="A222" s="958">
        <v>210</v>
      </c>
      <c r="B222" s="918"/>
      <c r="C222" s="909"/>
      <c r="D222" s="910" t="s">
        <v>64</v>
      </c>
      <c r="E222" s="911">
        <f>SUM(E9:E219)</f>
        <v>3540734.59</v>
      </c>
      <c r="F222" s="909"/>
      <c r="G222" s="909"/>
      <c r="H222" s="909"/>
      <c r="I222" s="909"/>
      <c r="J222" s="909"/>
      <c r="K222" s="909"/>
      <c r="L222" s="909"/>
      <c r="M222" s="913"/>
    </row>
    <row r="223" spans="1:13" ht="20.25" thickTop="1">
      <c r="A223" s="1"/>
      <c r="B223" s="48"/>
      <c r="C223" s="1"/>
      <c r="D223" s="47"/>
      <c r="E223" s="219"/>
      <c r="F223" s="1"/>
      <c r="G223" s="1"/>
      <c r="H223" s="1"/>
      <c r="I223" s="1"/>
      <c r="J223" s="1"/>
      <c r="K223" s="1"/>
      <c r="L223" s="1"/>
      <c r="M223" s="211"/>
    </row>
    <row r="224" spans="1:13" s="1002" customFormat="1" ht="20.25" thickBot="1">
      <c r="A224" s="997"/>
      <c r="B224" s="998"/>
      <c r="C224" s="997"/>
      <c r="D224" s="999" t="s">
        <v>1723</v>
      </c>
      <c r="E224" s="1057">
        <f>SUM(E222)</f>
        <v>3540734.59</v>
      </c>
      <c r="F224" s="997"/>
      <c r="G224" s="997"/>
      <c r="H224" s="997"/>
      <c r="I224" s="997"/>
      <c r="J224" s="997"/>
      <c r="K224" s="997"/>
      <c r="L224" s="997"/>
      <c r="M224" s="1058"/>
    </row>
    <row r="225" ht="20.25" thickTop="1"/>
  </sheetData>
  <autoFilter ref="F1:F225" xr:uid="{E3E66306-09FB-4E51-A363-7A0937B94C49}"/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60" type="noConversion"/>
  <dataValidations count="1">
    <dataValidation type="decimal" operator="greaterThanOrEqual" allowBlank="1" showInputMessage="1" showErrorMessage="1" error="กรุณาระบุเฉพาะตัวเลขเท่านั้น" sqref="E125" xr:uid="{00000000-0002-0000-0F00-000000000000}">
      <formula1>0</formula1>
    </dataValidation>
  </dataValidations>
  <printOptions horizontalCentered="1"/>
  <pageMargins left="0.15748031496062992" right="0.15748031496062992" top="0.47244094488188981" bottom="0.59055118110236227" header="0.31496062992125984" footer="0.31496062992125984"/>
  <pageSetup paperSize="9" scale="96" orientation="landscape" horizontalDpi="4294967294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266"/>
  <sheetViews>
    <sheetView view="pageBreakPreview" topLeftCell="A172" zoomScaleSheetLayoutView="100" workbookViewId="0">
      <selection activeCell="F248" activeCellId="1" sqref="F246 F248"/>
    </sheetView>
  </sheetViews>
  <sheetFormatPr defaultColWidth="8.625" defaultRowHeight="14.25"/>
  <cols>
    <col min="1" max="1" width="5.25" customWidth="1"/>
    <col min="2" max="2" width="32.125" customWidth="1"/>
    <col min="3" max="3" width="13" style="36" customWidth="1"/>
    <col min="4" max="4" width="10.25" customWidth="1"/>
    <col min="5" max="5" width="12.625" style="201" customWidth="1"/>
    <col min="6" max="6" width="12.25" customWidth="1"/>
    <col min="7" max="7" width="6.25" customWidth="1"/>
    <col min="8" max="8" width="5.625" customWidth="1"/>
    <col min="9" max="11" width="6.25" customWidth="1"/>
    <col min="12" max="12" width="7.625" customWidth="1"/>
    <col min="13" max="13" width="12.625" style="215" customWidth="1"/>
  </cols>
  <sheetData>
    <row r="1" spans="1:13" ht="19.5">
      <c r="A1" s="1269" t="s">
        <v>1216</v>
      </c>
      <c r="B1" s="1269"/>
      <c r="C1" s="1269"/>
      <c r="D1" s="1269"/>
      <c r="E1" s="1269"/>
      <c r="F1" s="1269"/>
      <c r="G1" s="1269"/>
      <c r="H1" s="1269"/>
      <c r="I1" s="1269"/>
      <c r="J1" s="1269"/>
      <c r="K1" s="1269"/>
      <c r="L1" s="1269"/>
      <c r="M1" s="1269"/>
    </row>
    <row r="2" spans="1:13" ht="19.5">
      <c r="A2" s="1269" t="s">
        <v>4028</v>
      </c>
      <c r="B2" s="1269"/>
      <c r="C2" s="1269"/>
      <c r="D2" s="1269"/>
      <c r="E2" s="1269"/>
      <c r="F2" s="1269"/>
      <c r="G2" s="1269"/>
      <c r="H2" s="1269"/>
      <c r="I2" s="1269"/>
      <c r="J2" s="1269"/>
      <c r="K2" s="1269"/>
      <c r="L2" s="1269"/>
      <c r="M2" s="1269"/>
    </row>
    <row r="3" spans="1:13" ht="19.5">
      <c r="A3" s="144"/>
      <c r="B3" s="144"/>
      <c r="C3" s="37"/>
      <c r="D3" s="144"/>
      <c r="E3" s="145"/>
      <c r="F3" s="144"/>
      <c r="G3" s="144"/>
      <c r="H3" s="144"/>
      <c r="I3" s="144"/>
      <c r="J3" s="144"/>
      <c r="K3" s="144"/>
      <c r="L3" s="144"/>
      <c r="M3" s="202"/>
    </row>
    <row r="4" spans="1:13" ht="19.5">
      <c r="A4" s="146" t="s">
        <v>144</v>
      </c>
      <c r="B4" s="1270" t="s">
        <v>0</v>
      </c>
      <c r="C4" s="1229" t="s">
        <v>1</v>
      </c>
      <c r="D4" s="147" t="s">
        <v>28</v>
      </c>
      <c r="E4" s="1273" t="s">
        <v>2</v>
      </c>
      <c r="F4" s="1276" t="s">
        <v>27</v>
      </c>
      <c r="G4" s="1277"/>
      <c r="H4" s="1277"/>
      <c r="I4" s="1277"/>
      <c r="J4" s="1277"/>
      <c r="K4" s="1277"/>
      <c r="L4" s="1277"/>
      <c r="M4" s="1278"/>
    </row>
    <row r="5" spans="1:13" ht="19.5">
      <c r="A5" s="148" t="s">
        <v>145</v>
      </c>
      <c r="B5" s="1271"/>
      <c r="C5" s="1232"/>
      <c r="D5" s="149" t="s">
        <v>37</v>
      </c>
      <c r="E5" s="1274"/>
      <c r="F5" s="1270" t="s">
        <v>29</v>
      </c>
      <c r="G5" s="1270" t="s">
        <v>30</v>
      </c>
      <c r="H5" s="1270" t="s">
        <v>31</v>
      </c>
      <c r="I5" s="146" t="s">
        <v>32</v>
      </c>
      <c r="J5" s="1270" t="s">
        <v>33</v>
      </c>
      <c r="K5" s="146" t="s">
        <v>34</v>
      </c>
      <c r="L5" s="146" t="s">
        <v>35</v>
      </c>
      <c r="M5" s="1267" t="s">
        <v>36</v>
      </c>
    </row>
    <row r="6" spans="1:13" ht="19.5">
      <c r="A6" s="150"/>
      <c r="B6" s="1272"/>
      <c r="C6" s="1233"/>
      <c r="D6" s="151"/>
      <c r="E6" s="1275"/>
      <c r="F6" s="1279"/>
      <c r="G6" s="1279"/>
      <c r="H6" s="1279"/>
      <c r="I6" s="150" t="s">
        <v>38</v>
      </c>
      <c r="J6" s="1279"/>
      <c r="K6" s="150" t="s">
        <v>39</v>
      </c>
      <c r="L6" s="150" t="s">
        <v>40</v>
      </c>
      <c r="M6" s="1268"/>
    </row>
    <row r="7" spans="1:13" ht="19.5">
      <c r="A7" s="150"/>
      <c r="B7" s="152" t="s">
        <v>1739</v>
      </c>
      <c r="C7" s="42"/>
      <c r="D7" s="151"/>
      <c r="E7" s="153"/>
      <c r="F7" s="154"/>
      <c r="G7" s="154"/>
      <c r="H7" s="154"/>
      <c r="I7" s="150"/>
      <c r="J7" s="154"/>
      <c r="K7" s="150"/>
      <c r="L7" s="150"/>
      <c r="M7" s="203"/>
    </row>
    <row r="8" spans="1:13" s="205" customFormat="1" ht="19.5">
      <c r="A8" s="155"/>
      <c r="B8" s="156" t="s">
        <v>65</v>
      </c>
      <c r="C8" s="1"/>
      <c r="D8" s="155"/>
      <c r="E8" s="157"/>
      <c r="F8" s="155"/>
      <c r="G8" s="155"/>
      <c r="H8" s="175"/>
      <c r="I8" s="175"/>
      <c r="J8" s="175"/>
      <c r="K8" s="175"/>
      <c r="L8" s="175"/>
      <c r="M8" s="204"/>
    </row>
    <row r="9" spans="1:13" s="205" customFormat="1" ht="19.5">
      <c r="A9" s="155">
        <v>1</v>
      </c>
      <c r="B9" s="3" t="s">
        <v>2622</v>
      </c>
      <c r="C9" s="158" t="s">
        <v>2620</v>
      </c>
      <c r="D9" s="159">
        <v>20476</v>
      </c>
      <c r="E9" s="58">
        <v>4900</v>
      </c>
      <c r="F9" s="1127" t="s">
        <v>2433</v>
      </c>
      <c r="G9" s="155" t="s">
        <v>1458</v>
      </c>
      <c r="H9" s="175"/>
      <c r="I9" s="175"/>
      <c r="J9" s="175"/>
      <c r="K9" s="175"/>
      <c r="L9" s="175"/>
      <c r="M9" s="204" t="s">
        <v>3497</v>
      </c>
    </row>
    <row r="10" spans="1:13" s="205" customFormat="1" ht="19.5">
      <c r="A10" s="155">
        <v>2</v>
      </c>
      <c r="B10" s="3" t="s">
        <v>2618</v>
      </c>
      <c r="C10" s="158" t="s">
        <v>2621</v>
      </c>
      <c r="D10" s="159">
        <v>20476</v>
      </c>
      <c r="E10" s="58">
        <v>3000</v>
      </c>
      <c r="F10" s="1127" t="s">
        <v>2433</v>
      </c>
      <c r="G10" s="155" t="s">
        <v>1458</v>
      </c>
      <c r="H10" s="175"/>
      <c r="I10" s="175"/>
      <c r="J10" s="175"/>
      <c r="K10" s="175"/>
      <c r="L10" s="175"/>
      <c r="M10" s="204"/>
    </row>
    <row r="11" spans="1:13" s="205" customFormat="1" ht="19.5">
      <c r="A11" s="155">
        <v>3</v>
      </c>
      <c r="B11" s="3" t="s">
        <v>2618</v>
      </c>
      <c r="C11" s="158" t="s">
        <v>2617</v>
      </c>
      <c r="D11" s="159">
        <v>20476</v>
      </c>
      <c r="E11" s="58">
        <v>3400</v>
      </c>
      <c r="F11" s="1127" t="s">
        <v>2433</v>
      </c>
      <c r="G11" s="155" t="s">
        <v>1458</v>
      </c>
      <c r="H11" s="175"/>
      <c r="I11" s="175"/>
      <c r="J11" s="175"/>
      <c r="K11" s="175"/>
      <c r="L11" s="175"/>
      <c r="M11" s="204"/>
    </row>
    <row r="12" spans="1:13" s="205" customFormat="1" ht="19.5">
      <c r="A12" s="155">
        <v>4</v>
      </c>
      <c r="B12" s="3" t="s">
        <v>2618</v>
      </c>
      <c r="C12" s="158" t="s">
        <v>2619</v>
      </c>
      <c r="D12" s="159">
        <v>20476</v>
      </c>
      <c r="E12" s="58">
        <v>3400</v>
      </c>
      <c r="F12" s="1127" t="s">
        <v>2433</v>
      </c>
      <c r="G12" s="155" t="s">
        <v>1458</v>
      </c>
      <c r="H12" s="175"/>
      <c r="I12" s="175"/>
      <c r="J12" s="175"/>
      <c r="K12" s="175"/>
      <c r="L12" s="175"/>
      <c r="M12" s="204"/>
    </row>
    <row r="13" spans="1:13" s="205" customFormat="1" ht="19.5">
      <c r="A13" s="155">
        <v>5</v>
      </c>
      <c r="B13" s="3" t="s">
        <v>1217</v>
      </c>
      <c r="C13" s="158" t="s">
        <v>2615</v>
      </c>
      <c r="D13" s="159">
        <v>20689</v>
      </c>
      <c r="E13" s="58">
        <v>2490</v>
      </c>
      <c r="F13" s="1127" t="s">
        <v>2433</v>
      </c>
      <c r="G13" s="155" t="s">
        <v>1458</v>
      </c>
      <c r="H13" s="175"/>
      <c r="I13" s="175"/>
      <c r="J13" s="175"/>
      <c r="K13" s="175"/>
      <c r="L13" s="175"/>
      <c r="M13" s="204"/>
    </row>
    <row r="14" spans="1:13" s="205" customFormat="1" ht="19.5">
      <c r="A14" s="155">
        <v>6</v>
      </c>
      <c r="B14" s="3" t="s">
        <v>1497</v>
      </c>
      <c r="C14" s="158" t="s">
        <v>1498</v>
      </c>
      <c r="D14" s="159">
        <v>20749</v>
      </c>
      <c r="E14" s="1078">
        <v>3290</v>
      </c>
      <c r="F14" s="1199" t="s">
        <v>4036</v>
      </c>
      <c r="G14" s="155"/>
      <c r="H14" s="175"/>
      <c r="I14" s="155" t="s">
        <v>1458</v>
      </c>
      <c r="J14" s="175"/>
      <c r="K14" s="175"/>
      <c r="L14" s="175"/>
      <c r="M14" s="204" t="s">
        <v>3173</v>
      </c>
    </row>
    <row r="15" spans="1:13" s="205" customFormat="1" ht="19.5">
      <c r="A15" s="161">
        <v>7</v>
      </c>
      <c r="B15" s="162" t="s">
        <v>1499</v>
      </c>
      <c r="C15" s="163" t="s">
        <v>1500</v>
      </c>
      <c r="D15" s="159">
        <v>20749</v>
      </c>
      <c r="E15" s="164">
        <v>3290</v>
      </c>
      <c r="F15" s="1200" t="s">
        <v>1265</v>
      </c>
      <c r="G15" s="161" t="s">
        <v>1458</v>
      </c>
      <c r="H15" s="206"/>
      <c r="I15" s="206"/>
      <c r="J15" s="206"/>
      <c r="K15" s="206"/>
      <c r="L15" s="206"/>
      <c r="M15" s="207"/>
    </row>
    <row r="16" spans="1:13" s="205" customFormat="1" ht="19.5">
      <c r="A16" s="165"/>
      <c r="B16" s="166" t="s">
        <v>1501</v>
      </c>
      <c r="C16" s="167"/>
      <c r="D16" s="168"/>
      <c r="E16" s="169"/>
      <c r="F16" s="1201"/>
      <c r="G16" s="170"/>
      <c r="H16" s="208"/>
      <c r="I16" s="208"/>
      <c r="J16" s="208"/>
      <c r="K16" s="208"/>
      <c r="L16" s="208"/>
      <c r="M16" s="209"/>
    </row>
    <row r="17" spans="1:13" ht="19.5">
      <c r="A17" s="155">
        <v>8</v>
      </c>
      <c r="B17" s="171" t="s">
        <v>1217</v>
      </c>
      <c r="C17" s="172" t="s">
        <v>1581</v>
      </c>
      <c r="D17" s="173">
        <v>21211</v>
      </c>
      <c r="E17" s="174">
        <v>4900</v>
      </c>
      <c r="F17" s="1170" t="s">
        <v>1572</v>
      </c>
      <c r="G17" s="194" t="s">
        <v>45</v>
      </c>
      <c r="H17" s="194"/>
      <c r="I17" s="194"/>
      <c r="J17" s="194"/>
      <c r="K17" s="194"/>
      <c r="L17" s="194"/>
      <c r="M17" s="210"/>
    </row>
    <row r="18" spans="1:13" ht="19.5">
      <c r="A18" s="155">
        <v>9</v>
      </c>
      <c r="B18" s="171" t="s">
        <v>2455</v>
      </c>
      <c r="C18" s="172" t="s">
        <v>2497</v>
      </c>
      <c r="D18" s="173">
        <v>21354</v>
      </c>
      <c r="E18" s="174">
        <v>4990</v>
      </c>
      <c r="F18" s="1170" t="s">
        <v>1508</v>
      </c>
      <c r="G18" s="194" t="s">
        <v>45</v>
      </c>
      <c r="H18" s="194"/>
      <c r="I18" s="194"/>
      <c r="J18" s="194"/>
      <c r="K18" s="194"/>
      <c r="L18" s="194"/>
      <c r="M18" s="210"/>
    </row>
    <row r="19" spans="1:13" ht="39">
      <c r="A19" s="562">
        <v>10</v>
      </c>
      <c r="B19" s="563" t="s">
        <v>6</v>
      </c>
      <c r="C19" s="223" t="s">
        <v>1639</v>
      </c>
      <c r="D19" s="570">
        <v>240526</v>
      </c>
      <c r="E19" s="571">
        <v>3000</v>
      </c>
      <c r="F19" s="1202" t="s">
        <v>1633</v>
      </c>
      <c r="G19" s="540"/>
      <c r="H19" s="540" t="s">
        <v>45</v>
      </c>
      <c r="I19" s="540"/>
      <c r="J19" s="540"/>
      <c r="K19" s="540"/>
      <c r="L19" s="540"/>
      <c r="M19" s="569" t="s">
        <v>3460</v>
      </c>
    </row>
    <row r="20" spans="1:13" ht="39">
      <c r="A20" s="562">
        <v>11</v>
      </c>
      <c r="B20" s="563" t="s">
        <v>6</v>
      </c>
      <c r="C20" s="223" t="s">
        <v>1640</v>
      </c>
      <c r="D20" s="570">
        <v>240526</v>
      </c>
      <c r="E20" s="571">
        <v>3000</v>
      </c>
      <c r="F20" s="1202" t="s">
        <v>1633</v>
      </c>
      <c r="G20" s="540"/>
      <c r="H20" s="540" t="s">
        <v>45</v>
      </c>
      <c r="I20" s="540"/>
      <c r="J20" s="540"/>
      <c r="K20" s="540"/>
      <c r="L20" s="540"/>
      <c r="M20" s="569" t="s">
        <v>3460</v>
      </c>
    </row>
    <row r="21" spans="1:13" ht="39">
      <c r="A21" s="562">
        <v>12</v>
      </c>
      <c r="B21" s="563" t="s">
        <v>10</v>
      </c>
      <c r="C21" s="223" t="s">
        <v>1641</v>
      </c>
      <c r="D21" s="570">
        <v>240526</v>
      </c>
      <c r="E21" s="571">
        <v>1800</v>
      </c>
      <c r="F21" s="1202" t="s">
        <v>1633</v>
      </c>
      <c r="G21" s="540"/>
      <c r="H21" s="540" t="s">
        <v>45</v>
      </c>
      <c r="I21" s="540"/>
      <c r="J21" s="540"/>
      <c r="K21" s="540"/>
      <c r="L21" s="540"/>
      <c r="M21" s="569" t="s">
        <v>3460</v>
      </c>
    </row>
    <row r="22" spans="1:13" ht="19.5">
      <c r="A22" s="865">
        <v>13</v>
      </c>
      <c r="B22" s="863" t="s">
        <v>3285</v>
      </c>
      <c r="C22" s="857" t="s">
        <v>3628</v>
      </c>
      <c r="D22" s="866">
        <v>24490</v>
      </c>
      <c r="E22" s="872">
        <v>8500</v>
      </c>
      <c r="F22" s="1130" t="s">
        <v>3287</v>
      </c>
      <c r="G22" s="857" t="s">
        <v>45</v>
      </c>
      <c r="H22" s="857"/>
      <c r="I22" s="857"/>
      <c r="J22" s="857"/>
      <c r="K22" s="857"/>
      <c r="L22" s="857"/>
      <c r="M22" s="860" t="s">
        <v>3490</v>
      </c>
    </row>
    <row r="23" spans="1:13" ht="19.5">
      <c r="A23" s="865">
        <v>14</v>
      </c>
      <c r="B23" s="863" t="s">
        <v>3630</v>
      </c>
      <c r="C23" s="857" t="s">
        <v>3631</v>
      </c>
      <c r="D23" s="866" t="s">
        <v>4025</v>
      </c>
      <c r="E23" s="872">
        <v>7300</v>
      </c>
      <c r="F23" s="1130" t="s">
        <v>3287</v>
      </c>
      <c r="G23" s="857" t="s">
        <v>45</v>
      </c>
      <c r="H23" s="857"/>
      <c r="I23" s="857"/>
      <c r="J23" s="857"/>
      <c r="K23" s="857"/>
      <c r="L23" s="857"/>
      <c r="M23" s="860" t="s">
        <v>3490</v>
      </c>
    </row>
    <row r="24" spans="1:13" s="986" customFormat="1" ht="20.25" thickBot="1">
      <c r="A24" s="980">
        <v>14</v>
      </c>
      <c r="B24" s="980"/>
      <c r="C24" s="909"/>
      <c r="D24" s="1068" t="s">
        <v>64</v>
      </c>
      <c r="E24" s="1069">
        <f>SUM(E9:E23)</f>
        <v>57260</v>
      </c>
      <c r="F24" s="980"/>
      <c r="G24" s="980"/>
      <c r="H24" s="984"/>
      <c r="I24" s="984"/>
      <c r="J24" s="984"/>
      <c r="K24" s="984"/>
      <c r="L24" s="984"/>
      <c r="M24" s="1070"/>
    </row>
    <row r="25" spans="1:13" ht="20.25" thickTop="1">
      <c r="A25" s="150"/>
    </row>
    <row r="26" spans="1:13" ht="19.5">
      <c r="A26" s="1"/>
      <c r="B26" s="178" t="s">
        <v>190</v>
      </c>
      <c r="C26" s="158"/>
      <c r="D26" s="179"/>
      <c r="E26" s="180"/>
      <c r="F26" s="1"/>
      <c r="G26" s="1"/>
      <c r="H26" s="2"/>
      <c r="I26" s="2"/>
      <c r="J26" s="2"/>
      <c r="K26" s="2"/>
      <c r="L26" s="2"/>
      <c r="M26" s="211"/>
    </row>
    <row r="27" spans="1:13" ht="19.5">
      <c r="A27" s="155">
        <v>1</v>
      </c>
      <c r="B27" s="175" t="s">
        <v>1517</v>
      </c>
      <c r="C27" s="1" t="s">
        <v>2610</v>
      </c>
      <c r="D27" s="176">
        <v>20059</v>
      </c>
      <c r="E27" s="177">
        <v>1800</v>
      </c>
      <c r="F27" s="1127" t="s">
        <v>2433</v>
      </c>
      <c r="G27" s="194" t="s">
        <v>45</v>
      </c>
      <c r="H27" s="2"/>
      <c r="I27" s="2"/>
      <c r="J27" s="2"/>
      <c r="K27" s="2"/>
      <c r="L27" s="2"/>
      <c r="M27" s="211"/>
    </row>
    <row r="28" spans="1:13" ht="19.5">
      <c r="A28" s="155">
        <v>2</v>
      </c>
      <c r="B28" s="175" t="s">
        <v>1517</v>
      </c>
      <c r="C28" s="1" t="s">
        <v>2611</v>
      </c>
      <c r="D28" s="176">
        <v>20059</v>
      </c>
      <c r="E28" s="177">
        <v>1800</v>
      </c>
      <c r="F28" s="1127" t="s">
        <v>2433</v>
      </c>
      <c r="G28" s="194" t="s">
        <v>45</v>
      </c>
      <c r="I28" s="2"/>
      <c r="J28" s="2"/>
      <c r="K28" s="2"/>
      <c r="L28" s="2"/>
      <c r="M28" s="211" t="s">
        <v>3545</v>
      </c>
    </row>
    <row r="29" spans="1:13" ht="39">
      <c r="A29" s="562">
        <v>3</v>
      </c>
      <c r="B29" s="563" t="s">
        <v>3</v>
      </c>
      <c r="C29" s="223" t="s">
        <v>1638</v>
      </c>
      <c r="D29" s="570">
        <v>239317</v>
      </c>
      <c r="E29" s="571">
        <v>2460</v>
      </c>
      <c r="F29" s="1202" t="s">
        <v>1633</v>
      </c>
      <c r="G29" s="540" t="s">
        <v>45</v>
      </c>
      <c r="H29" s="566"/>
      <c r="I29" s="511"/>
      <c r="J29" s="511"/>
      <c r="K29" s="511"/>
      <c r="L29" s="511"/>
      <c r="M29" s="289" t="s">
        <v>3459</v>
      </c>
    </row>
    <row r="30" spans="1:13" ht="19.5">
      <c r="A30" s="155">
        <v>4</v>
      </c>
      <c r="B30" s="175" t="s">
        <v>2466</v>
      </c>
      <c r="C30" s="1" t="s">
        <v>2462</v>
      </c>
      <c r="D30" s="176">
        <v>20171</v>
      </c>
      <c r="E30" s="177">
        <v>2285</v>
      </c>
      <c r="F30" s="1203" t="s">
        <v>1633</v>
      </c>
      <c r="G30" s="194" t="s">
        <v>45</v>
      </c>
      <c r="H30" s="2"/>
      <c r="I30" s="2"/>
      <c r="J30" s="2"/>
      <c r="K30" s="2"/>
      <c r="L30" s="2"/>
      <c r="M30" s="211"/>
    </row>
    <row r="31" spans="1:13" ht="19.5">
      <c r="A31" s="155">
        <v>5</v>
      </c>
      <c r="B31" s="175" t="s">
        <v>2466</v>
      </c>
      <c r="C31" s="1" t="s">
        <v>2461</v>
      </c>
      <c r="D31" s="176">
        <v>20171</v>
      </c>
      <c r="E31" s="177">
        <v>2285</v>
      </c>
      <c r="F31" s="1203" t="s">
        <v>1633</v>
      </c>
      <c r="G31" s="194" t="s">
        <v>45</v>
      </c>
      <c r="H31" s="2"/>
      <c r="I31" s="2"/>
      <c r="J31" s="2"/>
      <c r="K31" s="2"/>
      <c r="L31" s="2"/>
      <c r="M31" s="211"/>
    </row>
    <row r="32" spans="1:13" ht="19.5">
      <c r="A32" s="155">
        <v>6</v>
      </c>
      <c r="B32" s="175" t="s">
        <v>1517</v>
      </c>
      <c r="C32" s="1" t="s">
        <v>2460</v>
      </c>
      <c r="D32" s="176">
        <v>20171</v>
      </c>
      <c r="E32" s="177">
        <v>2460</v>
      </c>
      <c r="F32" s="1203" t="s">
        <v>1633</v>
      </c>
      <c r="G32" s="194" t="s">
        <v>45</v>
      </c>
      <c r="H32" s="2"/>
      <c r="I32" s="2"/>
      <c r="J32" s="2"/>
      <c r="K32" s="2"/>
      <c r="L32" s="2"/>
      <c r="M32" s="211"/>
    </row>
    <row r="33" spans="1:13" s="205" customFormat="1" ht="19.5">
      <c r="A33" s="155">
        <v>7</v>
      </c>
      <c r="B33" s="175" t="s">
        <v>1517</v>
      </c>
      <c r="C33" s="1" t="s">
        <v>2448</v>
      </c>
      <c r="D33" s="4">
        <v>20476</v>
      </c>
      <c r="E33" s="181">
        <v>2900</v>
      </c>
      <c r="F33" s="1170" t="s">
        <v>1583</v>
      </c>
      <c r="G33" s="194" t="s">
        <v>45</v>
      </c>
      <c r="I33" s="2"/>
      <c r="J33" s="2"/>
      <c r="K33" s="2"/>
      <c r="L33" s="2"/>
      <c r="M33" s="211" t="s">
        <v>3559</v>
      </c>
    </row>
    <row r="34" spans="1:13" s="205" customFormat="1" ht="19.5">
      <c r="A34" s="155">
        <v>8</v>
      </c>
      <c r="B34" s="175" t="s">
        <v>1517</v>
      </c>
      <c r="C34" s="1" t="s">
        <v>2498</v>
      </c>
      <c r="D34" s="4">
        <v>20984</v>
      </c>
      <c r="E34" s="181">
        <v>4200</v>
      </c>
      <c r="F34" s="1011" t="s">
        <v>1508</v>
      </c>
      <c r="G34" s="194" t="s">
        <v>45</v>
      </c>
      <c r="H34" s="2"/>
      <c r="I34" s="2"/>
      <c r="J34" s="2"/>
      <c r="K34" s="2"/>
      <c r="L34" s="2"/>
      <c r="M34" s="211"/>
    </row>
    <row r="35" spans="1:13" s="205" customFormat="1" ht="19.5">
      <c r="A35" s="155">
        <v>9</v>
      </c>
      <c r="B35" s="175" t="s">
        <v>1517</v>
      </c>
      <c r="C35" s="1" t="s">
        <v>1567</v>
      </c>
      <c r="D35" s="4">
        <v>20984</v>
      </c>
      <c r="E35" s="181">
        <v>4500</v>
      </c>
      <c r="F35" s="1011" t="s">
        <v>1508</v>
      </c>
      <c r="G35" s="194" t="s">
        <v>45</v>
      </c>
      <c r="H35" s="2"/>
      <c r="I35" s="2"/>
      <c r="J35" s="2"/>
      <c r="K35" s="2"/>
      <c r="L35" s="2"/>
      <c r="M35" s="211"/>
    </row>
    <row r="36" spans="1:13" s="205" customFormat="1" ht="19.5">
      <c r="A36" s="155">
        <v>10</v>
      </c>
      <c r="B36" s="182" t="s">
        <v>1517</v>
      </c>
      <c r="C36" s="1" t="s">
        <v>2458</v>
      </c>
      <c r="D36" s="4">
        <v>21152</v>
      </c>
      <c r="E36" s="57">
        <v>3290</v>
      </c>
      <c r="F36" s="1011" t="s">
        <v>1649</v>
      </c>
      <c r="G36" s="194" t="s">
        <v>45</v>
      </c>
      <c r="H36" s="2"/>
      <c r="I36" s="2"/>
      <c r="J36" s="2"/>
      <c r="K36" s="2"/>
      <c r="L36" s="2"/>
      <c r="M36" s="211"/>
    </row>
    <row r="37" spans="1:13" s="205" customFormat="1" ht="19.5">
      <c r="A37" s="155">
        <v>11</v>
      </c>
      <c r="B37" s="182" t="s">
        <v>2447</v>
      </c>
      <c r="C37" s="1" t="s">
        <v>2445</v>
      </c>
      <c r="D37" s="4">
        <v>21233</v>
      </c>
      <c r="E37" s="1083">
        <v>1590</v>
      </c>
      <c r="F37" s="939" t="s">
        <v>2117</v>
      </c>
      <c r="G37" s="194" t="s">
        <v>45</v>
      </c>
      <c r="H37" s="2"/>
      <c r="I37" s="2"/>
      <c r="J37" s="2"/>
      <c r="K37" s="2"/>
      <c r="L37" s="2"/>
      <c r="M37" s="211"/>
    </row>
    <row r="38" spans="1:13" s="205" customFormat="1" ht="19.5">
      <c r="A38" s="155">
        <v>12</v>
      </c>
      <c r="B38" s="182" t="s">
        <v>2447</v>
      </c>
      <c r="C38" s="1" t="s">
        <v>2446</v>
      </c>
      <c r="D38" s="4">
        <v>21233</v>
      </c>
      <c r="E38" s="1083">
        <v>1590</v>
      </c>
      <c r="F38" s="939" t="s">
        <v>2117</v>
      </c>
      <c r="G38" s="194" t="s">
        <v>45</v>
      </c>
      <c r="H38" s="2"/>
      <c r="I38" s="2"/>
      <c r="J38" s="2"/>
      <c r="K38" s="2"/>
      <c r="L38" s="2"/>
      <c r="M38" s="211" t="s">
        <v>3455</v>
      </c>
    </row>
    <row r="39" spans="1:13" s="205" customFormat="1" ht="19.5">
      <c r="A39" s="155">
        <v>13</v>
      </c>
      <c r="B39" s="182" t="s">
        <v>2613</v>
      </c>
      <c r="C39" s="1" t="s">
        <v>2614</v>
      </c>
      <c r="D39" s="4">
        <v>21373</v>
      </c>
      <c r="E39" s="57">
        <v>900</v>
      </c>
      <c r="F39" s="1127" t="s">
        <v>2433</v>
      </c>
      <c r="G39" s="194" t="s">
        <v>45</v>
      </c>
      <c r="H39" s="2"/>
      <c r="I39" s="2"/>
      <c r="J39" s="2"/>
      <c r="K39" s="2"/>
      <c r="L39" s="2"/>
      <c r="M39" s="211"/>
    </row>
    <row r="40" spans="1:13" s="205" customFormat="1" ht="19.5">
      <c r="A40" s="155">
        <v>14</v>
      </c>
      <c r="B40" s="182" t="s">
        <v>2613</v>
      </c>
      <c r="C40" s="1" t="s">
        <v>2612</v>
      </c>
      <c r="D40" s="4">
        <v>21373</v>
      </c>
      <c r="E40" s="57">
        <v>900</v>
      </c>
      <c r="F40" s="1127" t="s">
        <v>2433</v>
      </c>
      <c r="G40" s="194" t="s">
        <v>45</v>
      </c>
      <c r="H40" s="2"/>
      <c r="I40" s="2"/>
      <c r="J40" s="2"/>
      <c r="K40" s="2"/>
      <c r="L40" s="2"/>
      <c r="M40" s="211"/>
    </row>
    <row r="41" spans="1:13" s="205" customFormat="1" ht="39">
      <c r="A41" s="562">
        <v>15</v>
      </c>
      <c r="B41" s="563" t="s">
        <v>7</v>
      </c>
      <c r="C41" s="223" t="s">
        <v>1635</v>
      </c>
      <c r="D41" s="570">
        <v>240526</v>
      </c>
      <c r="E41" s="571">
        <v>2100</v>
      </c>
      <c r="F41" s="1202" t="s">
        <v>1633</v>
      </c>
      <c r="G41" s="540" t="s">
        <v>45</v>
      </c>
      <c r="H41" s="573"/>
      <c r="I41" s="223"/>
      <c r="J41" s="223"/>
      <c r="K41" s="223"/>
      <c r="L41" s="223"/>
      <c r="M41" s="289" t="s">
        <v>3461</v>
      </c>
    </row>
    <row r="42" spans="1:13" s="205" customFormat="1" ht="39">
      <c r="A42" s="562">
        <v>16</v>
      </c>
      <c r="B42" s="563" t="s">
        <v>7</v>
      </c>
      <c r="C42" s="223" t="s">
        <v>1636</v>
      </c>
      <c r="D42" s="570">
        <v>240526</v>
      </c>
      <c r="E42" s="571">
        <v>2100</v>
      </c>
      <c r="F42" s="1202" t="s">
        <v>1633</v>
      </c>
      <c r="G42" s="540" t="s">
        <v>45</v>
      </c>
      <c r="H42" s="573"/>
      <c r="I42" s="223"/>
      <c r="J42" s="223"/>
      <c r="K42" s="223"/>
      <c r="L42" s="223"/>
      <c r="M42" s="289" t="s">
        <v>3459</v>
      </c>
    </row>
    <row r="43" spans="1:13" s="205" customFormat="1" ht="39">
      <c r="A43" s="562">
        <v>17</v>
      </c>
      <c r="B43" s="563" t="s">
        <v>7</v>
      </c>
      <c r="C43" s="223" t="s">
        <v>1637</v>
      </c>
      <c r="D43" s="570">
        <v>240526</v>
      </c>
      <c r="E43" s="571">
        <v>2100</v>
      </c>
      <c r="F43" s="1202" t="s">
        <v>1633</v>
      </c>
      <c r="G43" s="540" t="s">
        <v>45</v>
      </c>
      <c r="H43" s="573"/>
      <c r="I43" s="223"/>
      <c r="J43" s="223"/>
      <c r="K43" s="223"/>
      <c r="L43" s="223"/>
      <c r="M43" s="289" t="s">
        <v>3461</v>
      </c>
    </row>
    <row r="44" spans="1:13" s="205" customFormat="1" ht="19.5">
      <c r="A44" s="865">
        <v>18</v>
      </c>
      <c r="B44" s="863" t="s">
        <v>3632</v>
      </c>
      <c r="C44" s="857" t="s">
        <v>3633</v>
      </c>
      <c r="D44" s="866">
        <v>243636</v>
      </c>
      <c r="E44" s="872">
        <v>1100</v>
      </c>
      <c r="F44" s="1204" t="s">
        <v>2770</v>
      </c>
      <c r="G44" s="857" t="s">
        <v>45</v>
      </c>
      <c r="H44" s="865"/>
      <c r="I44" s="865"/>
      <c r="J44" s="865"/>
      <c r="K44" s="865"/>
      <c r="L44" s="865"/>
      <c r="M44" s="860" t="s">
        <v>3490</v>
      </c>
    </row>
    <row r="45" spans="1:13" s="205" customFormat="1" ht="19.5">
      <c r="A45" s="865">
        <v>19</v>
      </c>
      <c r="B45" s="863" t="s">
        <v>3632</v>
      </c>
      <c r="C45" s="857" t="s">
        <v>3634</v>
      </c>
      <c r="D45" s="866">
        <v>243636</v>
      </c>
      <c r="E45" s="872">
        <v>1100</v>
      </c>
      <c r="F45" s="1204" t="s">
        <v>2770</v>
      </c>
      <c r="G45" s="857" t="s">
        <v>45</v>
      </c>
      <c r="H45" s="865"/>
      <c r="I45" s="865"/>
      <c r="J45" s="865"/>
      <c r="K45" s="865"/>
      <c r="L45" s="865"/>
      <c r="M45" s="860" t="s">
        <v>3490</v>
      </c>
    </row>
    <row r="46" spans="1:13" s="205" customFormat="1" ht="19.5">
      <c r="A46" s="865">
        <v>20</v>
      </c>
      <c r="B46" s="863" t="s">
        <v>3632</v>
      </c>
      <c r="C46" s="857" t="s">
        <v>3635</v>
      </c>
      <c r="D46" s="866">
        <v>243636</v>
      </c>
      <c r="E46" s="872">
        <v>1100</v>
      </c>
      <c r="F46" s="1204" t="s">
        <v>2770</v>
      </c>
      <c r="G46" s="857" t="s">
        <v>45</v>
      </c>
      <c r="H46" s="865"/>
      <c r="I46" s="865"/>
      <c r="J46" s="865"/>
      <c r="K46" s="865"/>
      <c r="L46" s="865"/>
      <c r="M46" s="860" t="s">
        <v>3490</v>
      </c>
    </row>
    <row r="47" spans="1:13" s="205" customFormat="1" ht="19.5">
      <c r="A47" s="865">
        <v>21</v>
      </c>
      <c r="B47" s="863" t="s">
        <v>3632</v>
      </c>
      <c r="C47" s="857" t="s">
        <v>3636</v>
      </c>
      <c r="D47" s="866">
        <v>243636</v>
      </c>
      <c r="E47" s="872">
        <v>1100</v>
      </c>
      <c r="F47" s="1204" t="s">
        <v>2770</v>
      </c>
      <c r="G47" s="857" t="s">
        <v>45</v>
      </c>
      <c r="H47" s="865"/>
      <c r="I47" s="865"/>
      <c r="J47" s="865"/>
      <c r="K47" s="865"/>
      <c r="L47" s="865"/>
      <c r="M47" s="860" t="s">
        <v>3490</v>
      </c>
    </row>
    <row r="48" spans="1:13" s="205" customFormat="1" ht="19.5">
      <c r="A48" s="865">
        <v>22</v>
      </c>
      <c r="B48" s="863" t="s">
        <v>3632</v>
      </c>
      <c r="C48" s="857" t="s">
        <v>3637</v>
      </c>
      <c r="D48" s="866">
        <v>243636</v>
      </c>
      <c r="E48" s="872">
        <v>1100</v>
      </c>
      <c r="F48" s="1204" t="s">
        <v>2770</v>
      </c>
      <c r="G48" s="857" t="s">
        <v>45</v>
      </c>
      <c r="H48" s="865"/>
      <c r="I48" s="865"/>
      <c r="J48" s="865"/>
      <c r="K48" s="865"/>
      <c r="L48" s="865"/>
      <c r="M48" s="860" t="s">
        <v>3490</v>
      </c>
    </row>
    <row r="49" spans="1:13" s="205" customFormat="1" ht="19.5">
      <c r="A49" s="865">
        <v>23</v>
      </c>
      <c r="B49" s="863" t="s">
        <v>3632</v>
      </c>
      <c r="C49" s="857" t="s">
        <v>3638</v>
      </c>
      <c r="D49" s="866">
        <v>243636</v>
      </c>
      <c r="E49" s="872">
        <v>1100</v>
      </c>
      <c r="F49" s="1204" t="s">
        <v>2770</v>
      </c>
      <c r="G49" s="857" t="s">
        <v>45</v>
      </c>
      <c r="H49" s="865"/>
      <c r="I49" s="865"/>
      <c r="J49" s="865"/>
      <c r="K49" s="865"/>
      <c r="L49" s="865"/>
      <c r="M49" s="860" t="s">
        <v>3490</v>
      </c>
    </row>
    <row r="50" spans="1:13" s="205" customFormat="1" ht="19.5">
      <c r="A50" s="865">
        <v>24</v>
      </c>
      <c r="B50" s="863" t="s">
        <v>3632</v>
      </c>
      <c r="C50" s="857" t="s">
        <v>3639</v>
      </c>
      <c r="D50" s="866">
        <v>243636</v>
      </c>
      <c r="E50" s="872">
        <v>1100</v>
      </c>
      <c r="F50" s="1204" t="s">
        <v>2770</v>
      </c>
      <c r="G50" s="857" t="s">
        <v>45</v>
      </c>
      <c r="H50" s="865"/>
      <c r="I50" s="865"/>
      <c r="J50" s="865"/>
      <c r="K50" s="865"/>
      <c r="L50" s="865"/>
      <c r="M50" s="860" t="s">
        <v>3490</v>
      </c>
    </row>
    <row r="51" spans="1:13" s="205" customFormat="1" ht="19.5">
      <c r="A51" s="865">
        <v>25</v>
      </c>
      <c r="B51" s="863" t="s">
        <v>3632</v>
      </c>
      <c r="C51" s="857" t="s">
        <v>3640</v>
      </c>
      <c r="D51" s="866">
        <v>243636</v>
      </c>
      <c r="E51" s="872">
        <v>1100</v>
      </c>
      <c r="F51" s="1204" t="s">
        <v>2770</v>
      </c>
      <c r="G51" s="857" t="s">
        <v>45</v>
      </c>
      <c r="H51" s="865"/>
      <c r="I51" s="865"/>
      <c r="J51" s="865"/>
      <c r="K51" s="865"/>
      <c r="L51" s="865"/>
      <c r="M51" s="860" t="s">
        <v>3490</v>
      </c>
    </row>
    <row r="52" spans="1:13" s="205" customFormat="1" ht="19.5">
      <c r="A52" s="865">
        <v>26</v>
      </c>
      <c r="B52" s="863" t="s">
        <v>3632</v>
      </c>
      <c r="C52" s="857" t="s">
        <v>3641</v>
      </c>
      <c r="D52" s="866">
        <v>243636</v>
      </c>
      <c r="E52" s="872">
        <v>1100</v>
      </c>
      <c r="F52" s="1204" t="s">
        <v>2770</v>
      </c>
      <c r="G52" s="857" t="s">
        <v>45</v>
      </c>
      <c r="H52" s="865"/>
      <c r="I52" s="865"/>
      <c r="J52" s="865"/>
      <c r="K52" s="865"/>
      <c r="L52" s="865"/>
      <c r="M52" s="860" t="s">
        <v>3490</v>
      </c>
    </row>
    <row r="53" spans="1:13" s="205" customFormat="1" ht="19.5">
      <c r="A53" s="865">
        <v>27</v>
      </c>
      <c r="B53" s="863" t="s">
        <v>3632</v>
      </c>
      <c r="C53" s="857" t="s">
        <v>3642</v>
      </c>
      <c r="D53" s="866">
        <v>243636</v>
      </c>
      <c r="E53" s="872">
        <v>1100</v>
      </c>
      <c r="F53" s="1204" t="s">
        <v>2770</v>
      </c>
      <c r="G53" s="857" t="s">
        <v>45</v>
      </c>
      <c r="H53" s="865"/>
      <c r="I53" s="865"/>
      <c r="J53" s="865"/>
      <c r="K53" s="865"/>
      <c r="L53" s="865"/>
      <c r="M53" s="860" t="s">
        <v>3490</v>
      </c>
    </row>
    <row r="54" spans="1:13" s="205" customFormat="1" ht="19.5">
      <c r="A54" s="865">
        <v>28</v>
      </c>
      <c r="B54" s="863" t="s">
        <v>3632</v>
      </c>
      <c r="C54" s="857" t="s">
        <v>3643</v>
      </c>
      <c r="D54" s="866">
        <v>243636</v>
      </c>
      <c r="E54" s="872">
        <v>1100</v>
      </c>
      <c r="F54" s="1204" t="s">
        <v>2770</v>
      </c>
      <c r="G54" s="857" t="s">
        <v>45</v>
      </c>
      <c r="H54" s="865"/>
      <c r="I54" s="865"/>
      <c r="J54" s="865"/>
      <c r="K54" s="865"/>
      <c r="L54" s="865"/>
      <c r="M54" s="860" t="s">
        <v>3490</v>
      </c>
    </row>
    <row r="55" spans="1:13" s="205" customFormat="1" ht="19.5">
      <c r="A55" s="865">
        <v>29</v>
      </c>
      <c r="B55" s="863" t="s">
        <v>3632</v>
      </c>
      <c r="C55" s="857" t="s">
        <v>3644</v>
      </c>
      <c r="D55" s="866">
        <v>243636</v>
      </c>
      <c r="E55" s="872">
        <v>1100</v>
      </c>
      <c r="F55" s="1204" t="s">
        <v>2770</v>
      </c>
      <c r="G55" s="857" t="s">
        <v>45</v>
      </c>
      <c r="H55" s="865"/>
      <c r="I55" s="865"/>
      <c r="J55" s="865"/>
      <c r="K55" s="865"/>
      <c r="L55" s="865"/>
      <c r="M55" s="860" t="s">
        <v>3490</v>
      </c>
    </row>
    <row r="56" spans="1:13" s="205" customFormat="1" ht="19.5">
      <c r="A56" s="865">
        <v>30</v>
      </c>
      <c r="B56" s="863" t="s">
        <v>3632</v>
      </c>
      <c r="C56" s="857" t="s">
        <v>3645</v>
      </c>
      <c r="D56" s="866">
        <v>243636</v>
      </c>
      <c r="E56" s="872">
        <v>1100</v>
      </c>
      <c r="F56" s="1204" t="s">
        <v>2770</v>
      </c>
      <c r="G56" s="857" t="s">
        <v>45</v>
      </c>
      <c r="H56" s="865"/>
      <c r="I56" s="865"/>
      <c r="J56" s="865"/>
      <c r="K56" s="865"/>
      <c r="L56" s="865"/>
      <c r="M56" s="860" t="s">
        <v>3490</v>
      </c>
    </row>
    <row r="57" spans="1:13" s="205" customFormat="1" ht="19.5">
      <c r="A57" s="865">
        <v>31</v>
      </c>
      <c r="B57" s="863" t="s">
        <v>3632</v>
      </c>
      <c r="C57" s="857" t="s">
        <v>3646</v>
      </c>
      <c r="D57" s="866">
        <v>243636</v>
      </c>
      <c r="E57" s="872">
        <v>1100</v>
      </c>
      <c r="F57" s="1204" t="s">
        <v>2770</v>
      </c>
      <c r="G57" s="857" t="s">
        <v>45</v>
      </c>
      <c r="H57" s="865"/>
      <c r="I57" s="865"/>
      <c r="J57" s="865"/>
      <c r="K57" s="865"/>
      <c r="L57" s="865"/>
      <c r="M57" s="860" t="s">
        <v>3490</v>
      </c>
    </row>
    <row r="58" spans="1:13" s="205" customFormat="1" ht="19.5">
      <c r="A58" s="865">
        <v>32</v>
      </c>
      <c r="B58" s="863" t="s">
        <v>3632</v>
      </c>
      <c r="C58" s="857" t="s">
        <v>3647</v>
      </c>
      <c r="D58" s="866">
        <v>243636</v>
      </c>
      <c r="E58" s="872">
        <v>1100</v>
      </c>
      <c r="F58" s="1204" t="s">
        <v>2770</v>
      </c>
      <c r="G58" s="857" t="s">
        <v>45</v>
      </c>
      <c r="H58" s="865"/>
      <c r="I58" s="865"/>
      <c r="J58" s="865"/>
      <c r="K58" s="865"/>
      <c r="L58" s="865"/>
      <c r="M58" s="860" t="s">
        <v>3490</v>
      </c>
    </row>
    <row r="59" spans="1:13" s="205" customFormat="1" ht="19.5">
      <c r="A59" s="865">
        <v>33</v>
      </c>
      <c r="B59" s="863" t="s">
        <v>3632</v>
      </c>
      <c r="C59" s="857" t="s">
        <v>3648</v>
      </c>
      <c r="D59" s="866">
        <v>243636</v>
      </c>
      <c r="E59" s="872">
        <v>1100</v>
      </c>
      <c r="F59" s="1204" t="s">
        <v>2770</v>
      </c>
      <c r="G59" s="857" t="s">
        <v>45</v>
      </c>
      <c r="H59" s="865"/>
      <c r="I59" s="865"/>
      <c r="J59" s="865"/>
      <c r="K59" s="865"/>
      <c r="L59" s="865"/>
      <c r="M59" s="860" t="s">
        <v>3490</v>
      </c>
    </row>
    <row r="60" spans="1:13" s="205" customFormat="1" ht="19.5">
      <c r="A60" s="865">
        <v>34</v>
      </c>
      <c r="B60" s="863" t="s">
        <v>3632</v>
      </c>
      <c r="C60" s="857" t="s">
        <v>3649</v>
      </c>
      <c r="D60" s="866">
        <v>243636</v>
      </c>
      <c r="E60" s="872">
        <v>1100</v>
      </c>
      <c r="F60" s="1204" t="s">
        <v>2770</v>
      </c>
      <c r="G60" s="857" t="s">
        <v>45</v>
      </c>
      <c r="H60" s="865"/>
      <c r="I60" s="865"/>
      <c r="J60" s="865"/>
      <c r="K60" s="865"/>
      <c r="L60" s="865"/>
      <c r="M60" s="860" t="s">
        <v>3490</v>
      </c>
    </row>
    <row r="61" spans="1:13" s="205" customFormat="1" ht="19.5">
      <c r="A61" s="865">
        <v>35</v>
      </c>
      <c r="B61" s="863" t="s">
        <v>3632</v>
      </c>
      <c r="C61" s="857" t="s">
        <v>3650</v>
      </c>
      <c r="D61" s="866">
        <v>243636</v>
      </c>
      <c r="E61" s="872">
        <v>1100</v>
      </c>
      <c r="F61" s="1204" t="s">
        <v>2770</v>
      </c>
      <c r="G61" s="857" t="s">
        <v>45</v>
      </c>
      <c r="H61" s="865"/>
      <c r="I61" s="865"/>
      <c r="J61" s="865"/>
      <c r="K61" s="865"/>
      <c r="L61" s="865"/>
      <c r="M61" s="860" t="s">
        <v>3490</v>
      </c>
    </row>
    <row r="62" spans="1:13" s="205" customFormat="1" ht="19.5">
      <c r="A62" s="865">
        <v>36</v>
      </c>
      <c r="B62" s="863" t="s">
        <v>3632</v>
      </c>
      <c r="C62" s="857" t="s">
        <v>3651</v>
      </c>
      <c r="D62" s="866">
        <v>243636</v>
      </c>
      <c r="E62" s="872">
        <v>1100</v>
      </c>
      <c r="F62" s="1204" t="s">
        <v>2770</v>
      </c>
      <c r="G62" s="857" t="s">
        <v>45</v>
      </c>
      <c r="H62" s="865"/>
      <c r="I62" s="865"/>
      <c r="J62" s="865"/>
      <c r="K62" s="865"/>
      <c r="L62" s="865"/>
      <c r="M62" s="860" t="s">
        <v>3490</v>
      </c>
    </row>
    <row r="63" spans="1:13" s="205" customFormat="1" ht="19.5">
      <c r="A63" s="865">
        <v>37</v>
      </c>
      <c r="B63" s="863" t="s">
        <v>3632</v>
      </c>
      <c r="C63" s="857" t="s">
        <v>3652</v>
      </c>
      <c r="D63" s="866">
        <v>243636</v>
      </c>
      <c r="E63" s="872">
        <v>1100</v>
      </c>
      <c r="F63" s="1204" t="s">
        <v>2770</v>
      </c>
      <c r="G63" s="857" t="s">
        <v>45</v>
      </c>
      <c r="H63" s="865"/>
      <c r="I63" s="865"/>
      <c r="J63" s="865"/>
      <c r="K63" s="865"/>
      <c r="L63" s="865"/>
      <c r="M63" s="860" t="s">
        <v>3490</v>
      </c>
    </row>
    <row r="64" spans="1:13" s="205" customFormat="1" ht="19.5">
      <c r="A64" s="865">
        <v>38</v>
      </c>
      <c r="B64" s="863" t="s">
        <v>3632</v>
      </c>
      <c r="C64" s="857" t="s">
        <v>3653</v>
      </c>
      <c r="D64" s="866">
        <v>243636</v>
      </c>
      <c r="E64" s="872">
        <v>1100</v>
      </c>
      <c r="F64" s="1204" t="s">
        <v>2770</v>
      </c>
      <c r="G64" s="857" t="s">
        <v>45</v>
      </c>
      <c r="H64" s="865"/>
      <c r="I64" s="865"/>
      <c r="J64" s="865"/>
      <c r="K64" s="865"/>
      <c r="L64" s="865"/>
      <c r="M64" s="860" t="s">
        <v>3490</v>
      </c>
    </row>
    <row r="65" spans="1:13" s="205" customFormat="1" ht="19.5">
      <c r="A65" s="865">
        <v>39</v>
      </c>
      <c r="B65" s="863" t="s">
        <v>3632</v>
      </c>
      <c r="C65" s="857" t="s">
        <v>3654</v>
      </c>
      <c r="D65" s="866">
        <v>243636</v>
      </c>
      <c r="E65" s="872">
        <v>1100</v>
      </c>
      <c r="F65" s="1204" t="s">
        <v>2770</v>
      </c>
      <c r="G65" s="857" t="s">
        <v>45</v>
      </c>
      <c r="H65" s="865"/>
      <c r="I65" s="865"/>
      <c r="J65" s="865"/>
      <c r="K65" s="865"/>
      <c r="L65" s="865"/>
      <c r="M65" s="860" t="s">
        <v>3490</v>
      </c>
    </row>
    <row r="66" spans="1:13" s="205" customFormat="1" ht="19.5">
      <c r="A66" s="865">
        <v>40</v>
      </c>
      <c r="B66" s="863" t="s">
        <v>3632</v>
      </c>
      <c r="C66" s="857" t="s">
        <v>3655</v>
      </c>
      <c r="D66" s="866">
        <v>243636</v>
      </c>
      <c r="E66" s="872">
        <v>1100</v>
      </c>
      <c r="F66" s="1204" t="s">
        <v>2770</v>
      </c>
      <c r="G66" s="857" t="s">
        <v>45</v>
      </c>
      <c r="H66" s="865"/>
      <c r="I66" s="865"/>
      <c r="J66" s="865"/>
      <c r="K66" s="865"/>
      <c r="L66" s="865"/>
      <c r="M66" s="860" t="s">
        <v>3490</v>
      </c>
    </row>
    <row r="67" spans="1:13" s="205" customFormat="1" ht="19.5">
      <c r="A67" s="865">
        <v>41</v>
      </c>
      <c r="B67" s="863" t="s">
        <v>3632</v>
      </c>
      <c r="C67" s="857" t="s">
        <v>3656</v>
      </c>
      <c r="D67" s="866">
        <v>243636</v>
      </c>
      <c r="E67" s="872">
        <v>1100</v>
      </c>
      <c r="F67" s="1204" t="s">
        <v>2770</v>
      </c>
      <c r="G67" s="857" t="s">
        <v>45</v>
      </c>
      <c r="H67" s="865"/>
      <c r="I67" s="865"/>
      <c r="J67" s="865"/>
      <c r="K67" s="865"/>
      <c r="L67" s="865"/>
      <c r="M67" s="860" t="s">
        <v>3490</v>
      </c>
    </row>
    <row r="68" spans="1:13" s="205" customFormat="1" ht="19.5">
      <c r="A68" s="865">
        <v>42</v>
      </c>
      <c r="B68" s="863" t="s">
        <v>3632</v>
      </c>
      <c r="C68" s="857" t="s">
        <v>3657</v>
      </c>
      <c r="D68" s="866">
        <v>243636</v>
      </c>
      <c r="E68" s="872">
        <v>1100</v>
      </c>
      <c r="F68" s="1204" t="s">
        <v>2770</v>
      </c>
      <c r="G68" s="857" t="s">
        <v>45</v>
      </c>
      <c r="H68" s="865"/>
      <c r="I68" s="865"/>
      <c r="J68" s="865"/>
      <c r="K68" s="865"/>
      <c r="L68" s="865"/>
      <c r="M68" s="860" t="s">
        <v>3490</v>
      </c>
    </row>
    <row r="69" spans="1:13" s="205" customFormat="1" ht="19.5">
      <c r="A69" s="865">
        <v>43</v>
      </c>
      <c r="B69" s="863" t="s">
        <v>3632</v>
      </c>
      <c r="C69" s="857" t="s">
        <v>3658</v>
      </c>
      <c r="D69" s="866">
        <v>243636</v>
      </c>
      <c r="E69" s="872">
        <v>1100</v>
      </c>
      <c r="F69" s="1204" t="s">
        <v>2770</v>
      </c>
      <c r="G69" s="857" t="s">
        <v>45</v>
      </c>
      <c r="H69" s="865"/>
      <c r="I69" s="865"/>
      <c r="J69" s="865"/>
      <c r="K69" s="865"/>
      <c r="L69" s="865"/>
      <c r="M69" s="860" t="s">
        <v>3490</v>
      </c>
    </row>
    <row r="70" spans="1:13" s="205" customFormat="1" ht="19.5">
      <c r="A70" s="865">
        <v>44</v>
      </c>
      <c r="B70" s="863" t="s">
        <v>3632</v>
      </c>
      <c r="C70" s="857" t="s">
        <v>3659</v>
      </c>
      <c r="D70" s="866">
        <v>243636</v>
      </c>
      <c r="E70" s="872">
        <v>1100</v>
      </c>
      <c r="F70" s="1204" t="s">
        <v>2770</v>
      </c>
      <c r="G70" s="857" t="s">
        <v>45</v>
      </c>
      <c r="H70" s="865"/>
      <c r="I70" s="865"/>
      <c r="J70" s="865"/>
      <c r="K70" s="865"/>
      <c r="L70" s="865"/>
      <c r="M70" s="860" t="s">
        <v>3490</v>
      </c>
    </row>
    <row r="71" spans="1:13" s="205" customFormat="1" ht="19.5">
      <c r="A71" s="865">
        <v>45</v>
      </c>
      <c r="B71" s="863" t="s">
        <v>3632</v>
      </c>
      <c r="C71" s="857" t="s">
        <v>3660</v>
      </c>
      <c r="D71" s="866">
        <v>243636</v>
      </c>
      <c r="E71" s="872">
        <v>1100</v>
      </c>
      <c r="F71" s="1204" t="s">
        <v>2770</v>
      </c>
      <c r="G71" s="857" t="s">
        <v>45</v>
      </c>
      <c r="H71" s="865"/>
      <c r="I71" s="865"/>
      <c r="J71" s="865"/>
      <c r="K71" s="865"/>
      <c r="L71" s="865"/>
      <c r="M71" s="860" t="s">
        <v>3490</v>
      </c>
    </row>
    <row r="72" spans="1:13" s="205" customFormat="1" ht="19.5">
      <c r="A72" s="865">
        <v>46</v>
      </c>
      <c r="B72" s="863" t="s">
        <v>3632</v>
      </c>
      <c r="C72" s="857" t="s">
        <v>3661</v>
      </c>
      <c r="D72" s="866">
        <v>243636</v>
      </c>
      <c r="E72" s="872">
        <v>1100</v>
      </c>
      <c r="F72" s="1204" t="s">
        <v>2770</v>
      </c>
      <c r="G72" s="857" t="s">
        <v>45</v>
      </c>
      <c r="H72" s="865"/>
      <c r="I72" s="865"/>
      <c r="J72" s="865"/>
      <c r="K72" s="865"/>
      <c r="L72" s="865"/>
      <c r="M72" s="860" t="s">
        <v>3490</v>
      </c>
    </row>
    <row r="73" spans="1:13" s="205" customFormat="1" ht="19.5">
      <c r="A73" s="865">
        <v>47</v>
      </c>
      <c r="B73" s="863" t="s">
        <v>3632</v>
      </c>
      <c r="C73" s="857" t="s">
        <v>3662</v>
      </c>
      <c r="D73" s="866">
        <v>243636</v>
      </c>
      <c r="E73" s="872">
        <v>1100</v>
      </c>
      <c r="F73" s="1204" t="s">
        <v>2770</v>
      </c>
      <c r="G73" s="857" t="s">
        <v>45</v>
      </c>
      <c r="H73" s="865"/>
      <c r="I73" s="865"/>
      <c r="J73" s="865"/>
      <c r="K73" s="865"/>
      <c r="L73" s="865"/>
      <c r="M73" s="860" t="s">
        <v>3490</v>
      </c>
    </row>
    <row r="74" spans="1:13" s="205" customFormat="1" ht="19.5">
      <c r="A74" s="865">
        <v>48</v>
      </c>
      <c r="B74" s="863" t="s">
        <v>3632</v>
      </c>
      <c r="C74" s="857" t="s">
        <v>3663</v>
      </c>
      <c r="D74" s="866">
        <v>243636</v>
      </c>
      <c r="E74" s="872">
        <v>1100</v>
      </c>
      <c r="F74" s="1204" t="s">
        <v>2770</v>
      </c>
      <c r="G74" s="857" t="s">
        <v>45</v>
      </c>
      <c r="H74" s="865"/>
      <c r="I74" s="865"/>
      <c r="J74" s="865"/>
      <c r="K74" s="865"/>
      <c r="L74" s="865"/>
      <c r="M74" s="860" t="s">
        <v>3490</v>
      </c>
    </row>
    <row r="75" spans="1:13" s="205" customFormat="1" ht="19.5">
      <c r="A75" s="865">
        <v>49</v>
      </c>
      <c r="B75" s="863" t="s">
        <v>3632</v>
      </c>
      <c r="C75" s="857" t="s">
        <v>3664</v>
      </c>
      <c r="D75" s="866">
        <v>243636</v>
      </c>
      <c r="E75" s="872">
        <v>1100</v>
      </c>
      <c r="F75" s="1204" t="s">
        <v>2770</v>
      </c>
      <c r="G75" s="857" t="s">
        <v>45</v>
      </c>
      <c r="H75" s="865"/>
      <c r="I75" s="865"/>
      <c r="J75" s="865"/>
      <c r="K75" s="865"/>
      <c r="L75" s="865"/>
      <c r="M75" s="860" t="s">
        <v>3490</v>
      </c>
    </row>
    <row r="76" spans="1:13" s="205" customFormat="1" ht="19.5">
      <c r="A76" s="865">
        <v>50</v>
      </c>
      <c r="B76" s="863" t="s">
        <v>3632</v>
      </c>
      <c r="C76" s="857" t="s">
        <v>3665</v>
      </c>
      <c r="D76" s="866">
        <v>243636</v>
      </c>
      <c r="E76" s="872">
        <v>1100</v>
      </c>
      <c r="F76" s="1204" t="s">
        <v>2770</v>
      </c>
      <c r="G76" s="857" t="s">
        <v>45</v>
      </c>
      <c r="H76" s="865"/>
      <c r="I76" s="865"/>
      <c r="J76" s="865"/>
      <c r="K76" s="865"/>
      <c r="L76" s="865"/>
      <c r="M76" s="860" t="s">
        <v>3490</v>
      </c>
    </row>
    <row r="77" spans="1:13" s="205" customFormat="1" ht="19.5">
      <c r="A77" s="865">
        <v>51</v>
      </c>
      <c r="B77" s="863" t="s">
        <v>3632</v>
      </c>
      <c r="C77" s="857" t="s">
        <v>3666</v>
      </c>
      <c r="D77" s="866">
        <v>243636</v>
      </c>
      <c r="E77" s="872">
        <v>1100</v>
      </c>
      <c r="F77" s="1204" t="s">
        <v>2770</v>
      </c>
      <c r="G77" s="857" t="s">
        <v>45</v>
      </c>
      <c r="H77" s="865"/>
      <c r="I77" s="865"/>
      <c r="J77" s="865"/>
      <c r="K77" s="865"/>
      <c r="L77" s="865"/>
      <c r="M77" s="860" t="s">
        <v>3490</v>
      </c>
    </row>
    <row r="78" spans="1:13" s="205" customFormat="1" ht="19.5">
      <c r="A78" s="865">
        <v>52</v>
      </c>
      <c r="B78" s="863" t="s">
        <v>3632</v>
      </c>
      <c r="C78" s="857" t="s">
        <v>3667</v>
      </c>
      <c r="D78" s="866">
        <v>243636</v>
      </c>
      <c r="E78" s="872">
        <v>1100</v>
      </c>
      <c r="F78" s="1204" t="s">
        <v>2770</v>
      </c>
      <c r="G78" s="857" t="s">
        <v>45</v>
      </c>
      <c r="H78" s="865"/>
      <c r="I78" s="865"/>
      <c r="J78" s="865"/>
      <c r="K78" s="865"/>
      <c r="L78" s="865"/>
      <c r="M78" s="860" t="s">
        <v>3490</v>
      </c>
    </row>
    <row r="79" spans="1:13" s="205" customFormat="1" ht="19.5">
      <c r="A79" s="865">
        <v>53</v>
      </c>
      <c r="B79" s="863" t="s">
        <v>3632</v>
      </c>
      <c r="C79" s="857" t="s">
        <v>3668</v>
      </c>
      <c r="D79" s="866">
        <v>243636</v>
      </c>
      <c r="E79" s="872">
        <v>1100</v>
      </c>
      <c r="F79" s="1204" t="s">
        <v>2770</v>
      </c>
      <c r="G79" s="857" t="s">
        <v>45</v>
      </c>
      <c r="H79" s="865"/>
      <c r="I79" s="865"/>
      <c r="J79" s="865"/>
      <c r="K79" s="865"/>
      <c r="L79" s="865"/>
      <c r="M79" s="860" t="s">
        <v>3490</v>
      </c>
    </row>
    <row r="80" spans="1:13" s="205" customFormat="1" ht="19.5">
      <c r="A80" s="865">
        <v>54</v>
      </c>
      <c r="B80" s="863" t="s">
        <v>3632</v>
      </c>
      <c r="C80" s="857" t="s">
        <v>3669</v>
      </c>
      <c r="D80" s="866">
        <v>243636</v>
      </c>
      <c r="E80" s="872">
        <v>1100</v>
      </c>
      <c r="F80" s="1204" t="s">
        <v>2770</v>
      </c>
      <c r="G80" s="857" t="s">
        <v>45</v>
      </c>
      <c r="H80" s="865"/>
      <c r="I80" s="865"/>
      <c r="J80" s="865"/>
      <c r="K80" s="865"/>
      <c r="L80" s="865"/>
      <c r="M80" s="860" t="s">
        <v>3490</v>
      </c>
    </row>
    <row r="81" spans="1:13" s="205" customFormat="1" ht="19.5">
      <c r="A81" s="865">
        <v>55</v>
      </c>
      <c r="B81" s="863" t="s">
        <v>3632</v>
      </c>
      <c r="C81" s="857" t="s">
        <v>3670</v>
      </c>
      <c r="D81" s="866">
        <v>243636</v>
      </c>
      <c r="E81" s="872">
        <v>1100</v>
      </c>
      <c r="F81" s="1204" t="s">
        <v>2770</v>
      </c>
      <c r="G81" s="857" t="s">
        <v>45</v>
      </c>
      <c r="H81" s="865"/>
      <c r="I81" s="865"/>
      <c r="J81" s="865"/>
      <c r="K81" s="865"/>
      <c r="L81" s="865"/>
      <c r="M81" s="860" t="s">
        <v>3490</v>
      </c>
    </row>
    <row r="82" spans="1:13" s="205" customFormat="1" ht="19.5">
      <c r="A82" s="865">
        <v>56</v>
      </c>
      <c r="B82" s="863" t="s">
        <v>3632</v>
      </c>
      <c r="C82" s="857" t="s">
        <v>3671</v>
      </c>
      <c r="D82" s="866">
        <v>243636</v>
      </c>
      <c r="E82" s="872">
        <v>1100</v>
      </c>
      <c r="F82" s="1204" t="s">
        <v>2770</v>
      </c>
      <c r="G82" s="857" t="s">
        <v>45</v>
      </c>
      <c r="H82" s="865"/>
      <c r="I82" s="865"/>
      <c r="J82" s="865"/>
      <c r="K82" s="865"/>
      <c r="L82" s="865"/>
      <c r="M82" s="860" t="s">
        <v>3490</v>
      </c>
    </row>
    <row r="83" spans="1:13" s="205" customFormat="1" ht="19.5">
      <c r="A83" s="865">
        <v>57</v>
      </c>
      <c r="B83" s="863" t="s">
        <v>3632</v>
      </c>
      <c r="C83" s="857" t="s">
        <v>3672</v>
      </c>
      <c r="D83" s="866">
        <v>243636</v>
      </c>
      <c r="E83" s="872">
        <v>1100</v>
      </c>
      <c r="F83" s="1204" t="s">
        <v>2770</v>
      </c>
      <c r="G83" s="857" t="s">
        <v>45</v>
      </c>
      <c r="H83" s="865"/>
      <c r="I83" s="865"/>
      <c r="J83" s="865"/>
      <c r="K83" s="865"/>
      <c r="L83" s="865"/>
      <c r="M83" s="860" t="s">
        <v>3490</v>
      </c>
    </row>
    <row r="84" spans="1:13" s="205" customFormat="1" ht="19.5">
      <c r="A84" s="865">
        <v>58</v>
      </c>
      <c r="B84" s="863" t="s">
        <v>3632</v>
      </c>
      <c r="C84" s="857" t="s">
        <v>3673</v>
      </c>
      <c r="D84" s="866">
        <v>243636</v>
      </c>
      <c r="E84" s="872">
        <v>1100</v>
      </c>
      <c r="F84" s="1204" t="s">
        <v>2770</v>
      </c>
      <c r="G84" s="857" t="s">
        <v>45</v>
      </c>
      <c r="H84" s="865"/>
      <c r="I84" s="865"/>
      <c r="J84" s="865"/>
      <c r="K84" s="865"/>
      <c r="L84" s="865"/>
      <c r="M84" s="860" t="s">
        <v>3490</v>
      </c>
    </row>
    <row r="85" spans="1:13" s="205" customFormat="1" ht="19.5">
      <c r="A85" s="865">
        <v>59</v>
      </c>
      <c r="B85" s="863" t="s">
        <v>3632</v>
      </c>
      <c r="C85" s="857" t="s">
        <v>3674</v>
      </c>
      <c r="D85" s="866">
        <v>243636</v>
      </c>
      <c r="E85" s="872">
        <v>1100</v>
      </c>
      <c r="F85" s="1204" t="s">
        <v>2770</v>
      </c>
      <c r="G85" s="857" t="s">
        <v>45</v>
      </c>
      <c r="H85" s="865"/>
      <c r="I85" s="865"/>
      <c r="J85" s="865"/>
      <c r="K85" s="865"/>
      <c r="L85" s="865"/>
      <c r="M85" s="860" t="s">
        <v>3490</v>
      </c>
    </row>
    <row r="86" spans="1:13" s="205" customFormat="1" ht="19.5">
      <c r="A86" s="865">
        <v>60</v>
      </c>
      <c r="B86" s="863" t="s">
        <v>3632</v>
      </c>
      <c r="C86" s="857" t="s">
        <v>3675</v>
      </c>
      <c r="D86" s="866">
        <v>243636</v>
      </c>
      <c r="E86" s="872">
        <v>1100</v>
      </c>
      <c r="F86" s="1204" t="s">
        <v>2770</v>
      </c>
      <c r="G86" s="857" t="s">
        <v>45</v>
      </c>
      <c r="H86" s="865"/>
      <c r="I86" s="865"/>
      <c r="J86" s="865"/>
      <c r="K86" s="865"/>
      <c r="L86" s="865"/>
      <c r="M86" s="860" t="s">
        <v>3490</v>
      </c>
    </row>
    <row r="87" spans="1:13" s="205" customFormat="1" ht="19.5">
      <c r="A87" s="865">
        <v>61</v>
      </c>
      <c r="B87" s="863" t="s">
        <v>3632</v>
      </c>
      <c r="C87" s="857" t="s">
        <v>3676</v>
      </c>
      <c r="D87" s="866">
        <v>243636</v>
      </c>
      <c r="E87" s="872">
        <v>1100</v>
      </c>
      <c r="F87" s="1204" t="s">
        <v>2770</v>
      </c>
      <c r="G87" s="857" t="s">
        <v>45</v>
      </c>
      <c r="H87" s="865"/>
      <c r="I87" s="865"/>
      <c r="J87" s="865"/>
      <c r="K87" s="865"/>
      <c r="L87" s="865"/>
      <c r="M87" s="860" t="s">
        <v>3490</v>
      </c>
    </row>
    <row r="88" spans="1:13" s="205" customFormat="1" ht="19.5">
      <c r="A88" s="865">
        <v>62</v>
      </c>
      <c r="B88" s="863" t="s">
        <v>3632</v>
      </c>
      <c r="C88" s="857" t="s">
        <v>3677</v>
      </c>
      <c r="D88" s="866">
        <v>243636</v>
      </c>
      <c r="E88" s="872">
        <v>1100</v>
      </c>
      <c r="F88" s="1204" t="s">
        <v>2770</v>
      </c>
      <c r="G88" s="857" t="s">
        <v>45</v>
      </c>
      <c r="H88" s="865"/>
      <c r="I88" s="865"/>
      <c r="J88" s="865"/>
      <c r="K88" s="865"/>
      <c r="L88" s="865"/>
      <c r="M88" s="860" t="s">
        <v>3490</v>
      </c>
    </row>
    <row r="89" spans="1:13" s="205" customFormat="1" ht="19.5">
      <c r="A89" s="865">
        <v>63</v>
      </c>
      <c r="B89" s="863" t="s">
        <v>3632</v>
      </c>
      <c r="C89" s="857" t="s">
        <v>3678</v>
      </c>
      <c r="D89" s="866">
        <v>243636</v>
      </c>
      <c r="E89" s="872">
        <v>1100</v>
      </c>
      <c r="F89" s="1204" t="s">
        <v>2770</v>
      </c>
      <c r="G89" s="857" t="s">
        <v>45</v>
      </c>
      <c r="H89" s="865"/>
      <c r="I89" s="865"/>
      <c r="J89" s="865"/>
      <c r="K89" s="865"/>
      <c r="L89" s="865"/>
      <c r="M89" s="860" t="s">
        <v>3490</v>
      </c>
    </row>
    <row r="90" spans="1:13" s="205" customFormat="1" ht="19.5">
      <c r="A90" s="865">
        <v>64</v>
      </c>
      <c r="B90" s="863" t="s">
        <v>3632</v>
      </c>
      <c r="C90" s="857" t="s">
        <v>3679</v>
      </c>
      <c r="D90" s="866">
        <v>243636</v>
      </c>
      <c r="E90" s="872">
        <v>1100</v>
      </c>
      <c r="F90" s="1204" t="s">
        <v>2770</v>
      </c>
      <c r="G90" s="857" t="s">
        <v>45</v>
      </c>
      <c r="H90" s="865"/>
      <c r="I90" s="865"/>
      <c r="J90" s="865"/>
      <c r="K90" s="865"/>
      <c r="L90" s="865"/>
      <c r="M90" s="860" t="s">
        <v>3490</v>
      </c>
    </row>
    <row r="91" spans="1:13" s="205" customFormat="1" ht="19.5">
      <c r="A91" s="865">
        <v>65</v>
      </c>
      <c r="B91" s="863" t="s">
        <v>3632</v>
      </c>
      <c r="C91" s="857" t="s">
        <v>3680</v>
      </c>
      <c r="D91" s="866">
        <v>243636</v>
      </c>
      <c r="E91" s="872">
        <v>1100</v>
      </c>
      <c r="F91" s="1204" t="s">
        <v>2770</v>
      </c>
      <c r="G91" s="857" t="s">
        <v>45</v>
      </c>
      <c r="H91" s="865"/>
      <c r="I91" s="865"/>
      <c r="J91" s="865"/>
      <c r="K91" s="865"/>
      <c r="L91" s="865"/>
      <c r="M91" s="860" t="s">
        <v>3490</v>
      </c>
    </row>
    <row r="92" spans="1:13" s="205" customFormat="1" ht="19.5">
      <c r="A92" s="865">
        <v>66</v>
      </c>
      <c r="B92" s="863" t="s">
        <v>3632</v>
      </c>
      <c r="C92" s="857" t="s">
        <v>3681</v>
      </c>
      <c r="D92" s="866">
        <v>243636</v>
      </c>
      <c r="E92" s="872">
        <v>1100</v>
      </c>
      <c r="F92" s="1204" t="s">
        <v>2770</v>
      </c>
      <c r="G92" s="857" t="s">
        <v>45</v>
      </c>
      <c r="H92" s="865"/>
      <c r="I92" s="865"/>
      <c r="J92" s="865"/>
      <c r="K92" s="865"/>
      <c r="L92" s="865"/>
      <c r="M92" s="860" t="s">
        <v>3490</v>
      </c>
    </row>
    <row r="93" spans="1:13" s="205" customFormat="1" ht="19.5">
      <c r="A93" s="865">
        <v>67</v>
      </c>
      <c r="B93" s="863" t="s">
        <v>3632</v>
      </c>
      <c r="C93" s="857" t="s">
        <v>3682</v>
      </c>
      <c r="D93" s="866">
        <v>243636</v>
      </c>
      <c r="E93" s="872">
        <v>1100</v>
      </c>
      <c r="F93" s="1204" t="s">
        <v>2770</v>
      </c>
      <c r="G93" s="857" t="s">
        <v>45</v>
      </c>
      <c r="H93" s="865"/>
      <c r="I93" s="865"/>
      <c r="J93" s="865"/>
      <c r="K93" s="865"/>
      <c r="L93" s="865"/>
      <c r="M93" s="860" t="s">
        <v>3490</v>
      </c>
    </row>
    <row r="94" spans="1:13" s="205" customFormat="1" ht="19.5">
      <c r="A94" s="865">
        <v>68</v>
      </c>
      <c r="B94" s="863" t="s">
        <v>3632</v>
      </c>
      <c r="C94" s="857" t="s">
        <v>3683</v>
      </c>
      <c r="D94" s="866">
        <v>243636</v>
      </c>
      <c r="E94" s="872">
        <v>1100</v>
      </c>
      <c r="F94" s="1204" t="s">
        <v>2770</v>
      </c>
      <c r="G94" s="857" t="s">
        <v>45</v>
      </c>
      <c r="H94" s="865"/>
      <c r="I94" s="865"/>
      <c r="J94" s="865"/>
      <c r="K94" s="865"/>
      <c r="L94" s="865"/>
      <c r="M94" s="860" t="s">
        <v>3490</v>
      </c>
    </row>
    <row r="95" spans="1:13" s="205" customFormat="1" ht="19.5">
      <c r="A95" s="865">
        <v>69</v>
      </c>
      <c r="B95" s="863" t="s">
        <v>3632</v>
      </c>
      <c r="C95" s="857" t="s">
        <v>3684</v>
      </c>
      <c r="D95" s="866">
        <v>243636</v>
      </c>
      <c r="E95" s="872">
        <v>1100</v>
      </c>
      <c r="F95" s="1204" t="s">
        <v>2770</v>
      </c>
      <c r="G95" s="857" t="s">
        <v>45</v>
      </c>
      <c r="H95" s="865"/>
      <c r="I95" s="865"/>
      <c r="J95" s="865"/>
      <c r="K95" s="865"/>
      <c r="L95" s="865"/>
      <c r="M95" s="860" t="s">
        <v>3490</v>
      </c>
    </row>
    <row r="96" spans="1:13" s="205" customFormat="1" ht="19.5">
      <c r="A96" s="865">
        <v>70</v>
      </c>
      <c r="B96" s="863" t="s">
        <v>3632</v>
      </c>
      <c r="C96" s="857" t="s">
        <v>3685</v>
      </c>
      <c r="D96" s="866">
        <v>243636</v>
      </c>
      <c r="E96" s="872">
        <v>1100</v>
      </c>
      <c r="F96" s="1204" t="s">
        <v>2770</v>
      </c>
      <c r="G96" s="857" t="s">
        <v>45</v>
      </c>
      <c r="H96" s="865"/>
      <c r="I96" s="865"/>
      <c r="J96" s="865"/>
      <c r="K96" s="865"/>
      <c r="L96" s="865"/>
      <c r="M96" s="860" t="s">
        <v>3490</v>
      </c>
    </row>
    <row r="97" spans="1:13" s="205" customFormat="1" ht="19.5">
      <c r="A97" s="865">
        <v>71</v>
      </c>
      <c r="B97" s="863" t="s">
        <v>3632</v>
      </c>
      <c r="C97" s="857" t="s">
        <v>3686</v>
      </c>
      <c r="D97" s="866">
        <v>243636</v>
      </c>
      <c r="E97" s="872">
        <v>1100</v>
      </c>
      <c r="F97" s="1204" t="s">
        <v>2770</v>
      </c>
      <c r="G97" s="857" t="s">
        <v>45</v>
      </c>
      <c r="H97" s="865"/>
      <c r="I97" s="865"/>
      <c r="J97" s="865"/>
      <c r="K97" s="865"/>
      <c r="L97" s="865"/>
      <c r="M97" s="860" t="s">
        <v>3490</v>
      </c>
    </row>
    <row r="98" spans="1:13" s="205" customFormat="1" ht="19.5">
      <c r="A98" s="865">
        <v>72</v>
      </c>
      <c r="B98" s="863" t="s">
        <v>3632</v>
      </c>
      <c r="C98" s="857" t="s">
        <v>3687</v>
      </c>
      <c r="D98" s="866">
        <v>243636</v>
      </c>
      <c r="E98" s="872">
        <v>1100</v>
      </c>
      <c r="F98" s="1204" t="s">
        <v>2770</v>
      </c>
      <c r="G98" s="857" t="s">
        <v>45</v>
      </c>
      <c r="H98" s="865"/>
      <c r="I98" s="865"/>
      <c r="J98" s="865"/>
      <c r="K98" s="865"/>
      <c r="L98" s="865"/>
      <c r="M98" s="860" t="s">
        <v>3490</v>
      </c>
    </row>
    <row r="99" spans="1:13" s="205" customFormat="1" ht="19.5">
      <c r="A99" s="865">
        <v>73</v>
      </c>
      <c r="B99" s="863" t="s">
        <v>3632</v>
      </c>
      <c r="C99" s="857" t="s">
        <v>3688</v>
      </c>
      <c r="D99" s="866">
        <v>243636</v>
      </c>
      <c r="E99" s="872">
        <v>1100</v>
      </c>
      <c r="F99" s="1204" t="s">
        <v>2770</v>
      </c>
      <c r="G99" s="857" t="s">
        <v>45</v>
      </c>
      <c r="H99" s="865"/>
      <c r="I99" s="865"/>
      <c r="J99" s="865"/>
      <c r="K99" s="865"/>
      <c r="L99" s="865"/>
      <c r="M99" s="860" t="s">
        <v>3490</v>
      </c>
    </row>
    <row r="100" spans="1:13" s="205" customFormat="1" ht="19.5">
      <c r="A100" s="865">
        <v>74</v>
      </c>
      <c r="B100" s="863" t="s">
        <v>3632</v>
      </c>
      <c r="C100" s="857" t="s">
        <v>3689</v>
      </c>
      <c r="D100" s="866">
        <v>243636</v>
      </c>
      <c r="E100" s="872">
        <v>1100</v>
      </c>
      <c r="F100" s="1204" t="s">
        <v>2770</v>
      </c>
      <c r="G100" s="857" t="s">
        <v>45</v>
      </c>
      <c r="H100" s="865"/>
      <c r="I100" s="865"/>
      <c r="J100" s="865"/>
      <c r="K100" s="865"/>
      <c r="L100" s="865"/>
      <c r="M100" s="860" t="s">
        <v>3490</v>
      </c>
    </row>
    <row r="101" spans="1:13" s="205" customFormat="1" ht="19.5">
      <c r="A101" s="865">
        <v>75</v>
      </c>
      <c r="B101" s="863" t="s">
        <v>3632</v>
      </c>
      <c r="C101" s="857" t="s">
        <v>3690</v>
      </c>
      <c r="D101" s="866">
        <v>243636</v>
      </c>
      <c r="E101" s="872">
        <v>1100</v>
      </c>
      <c r="F101" s="1204" t="s">
        <v>2770</v>
      </c>
      <c r="G101" s="857" t="s">
        <v>45</v>
      </c>
      <c r="H101" s="865"/>
      <c r="I101" s="865"/>
      <c r="J101" s="865"/>
      <c r="K101" s="865"/>
      <c r="L101" s="865"/>
      <c r="M101" s="860" t="s">
        <v>3490</v>
      </c>
    </row>
    <row r="102" spans="1:13" s="205" customFormat="1" ht="19.5">
      <c r="A102" s="865">
        <v>76</v>
      </c>
      <c r="B102" s="863" t="s">
        <v>3632</v>
      </c>
      <c r="C102" s="857" t="s">
        <v>3691</v>
      </c>
      <c r="D102" s="866">
        <v>243636</v>
      </c>
      <c r="E102" s="872">
        <v>1100</v>
      </c>
      <c r="F102" s="1204" t="s">
        <v>2770</v>
      </c>
      <c r="G102" s="857" t="s">
        <v>45</v>
      </c>
      <c r="H102" s="865"/>
      <c r="I102" s="865"/>
      <c r="J102" s="865"/>
      <c r="K102" s="865"/>
      <c r="L102" s="865"/>
      <c r="M102" s="860" t="s">
        <v>3490</v>
      </c>
    </row>
    <row r="103" spans="1:13" s="205" customFormat="1" ht="19.5">
      <c r="A103" s="865">
        <v>77</v>
      </c>
      <c r="B103" s="863" t="s">
        <v>3632</v>
      </c>
      <c r="C103" s="857" t="s">
        <v>3692</v>
      </c>
      <c r="D103" s="866">
        <v>243636</v>
      </c>
      <c r="E103" s="872">
        <v>1100</v>
      </c>
      <c r="F103" s="1204" t="s">
        <v>2770</v>
      </c>
      <c r="G103" s="857" t="s">
        <v>45</v>
      </c>
      <c r="H103" s="865"/>
      <c r="I103" s="865"/>
      <c r="J103" s="865"/>
      <c r="K103" s="865"/>
      <c r="L103" s="865"/>
      <c r="M103" s="860" t="s">
        <v>3490</v>
      </c>
    </row>
    <row r="104" spans="1:13" s="205" customFormat="1" ht="19.5">
      <c r="A104" s="865">
        <v>78</v>
      </c>
      <c r="B104" s="863" t="s">
        <v>3632</v>
      </c>
      <c r="C104" s="857" t="s">
        <v>3693</v>
      </c>
      <c r="D104" s="866">
        <v>243636</v>
      </c>
      <c r="E104" s="872">
        <v>1100</v>
      </c>
      <c r="F104" s="1204" t="s">
        <v>2770</v>
      </c>
      <c r="G104" s="857" t="s">
        <v>45</v>
      </c>
      <c r="H104" s="865"/>
      <c r="I104" s="865"/>
      <c r="J104" s="865"/>
      <c r="K104" s="865"/>
      <c r="L104" s="865"/>
      <c r="M104" s="860" t="s">
        <v>3490</v>
      </c>
    </row>
    <row r="105" spans="1:13" s="205" customFormat="1" ht="19.5">
      <c r="A105" s="865">
        <v>79</v>
      </c>
      <c r="B105" s="863" t="s">
        <v>3632</v>
      </c>
      <c r="C105" s="857" t="s">
        <v>3694</v>
      </c>
      <c r="D105" s="866">
        <v>243636</v>
      </c>
      <c r="E105" s="872">
        <v>1100</v>
      </c>
      <c r="F105" s="1204" t="s">
        <v>2770</v>
      </c>
      <c r="G105" s="857" t="s">
        <v>45</v>
      </c>
      <c r="H105" s="865"/>
      <c r="I105" s="865"/>
      <c r="J105" s="865"/>
      <c r="K105" s="865"/>
      <c r="L105" s="865"/>
      <c r="M105" s="860" t="s">
        <v>3490</v>
      </c>
    </row>
    <row r="106" spans="1:13" s="205" customFormat="1" ht="19.5">
      <c r="A106" s="865">
        <v>80</v>
      </c>
      <c r="B106" s="863" t="s">
        <v>3632</v>
      </c>
      <c r="C106" s="857" t="s">
        <v>3695</v>
      </c>
      <c r="D106" s="866">
        <v>243636</v>
      </c>
      <c r="E106" s="872">
        <v>1100</v>
      </c>
      <c r="F106" s="1204" t="s">
        <v>2770</v>
      </c>
      <c r="G106" s="857" t="s">
        <v>45</v>
      </c>
      <c r="H106" s="865"/>
      <c r="I106" s="865"/>
      <c r="J106" s="865"/>
      <c r="K106" s="865"/>
      <c r="L106" s="865"/>
      <c r="M106" s="860" t="s">
        <v>3490</v>
      </c>
    </row>
    <row r="107" spans="1:13" s="205" customFormat="1" ht="19.5">
      <c r="A107" s="865">
        <v>81</v>
      </c>
      <c r="B107" s="863" t="s">
        <v>3632</v>
      </c>
      <c r="C107" s="857" t="s">
        <v>3696</v>
      </c>
      <c r="D107" s="866">
        <v>243636</v>
      </c>
      <c r="E107" s="872">
        <v>1100</v>
      </c>
      <c r="F107" s="1204" t="s">
        <v>2770</v>
      </c>
      <c r="G107" s="857" t="s">
        <v>45</v>
      </c>
      <c r="H107" s="865"/>
      <c r="I107" s="865"/>
      <c r="J107" s="865"/>
      <c r="K107" s="865"/>
      <c r="L107" s="865"/>
      <c r="M107" s="860" t="s">
        <v>3490</v>
      </c>
    </row>
    <row r="108" spans="1:13" s="205" customFormat="1" ht="19.5">
      <c r="A108" s="865">
        <v>82</v>
      </c>
      <c r="B108" s="863" t="s">
        <v>3632</v>
      </c>
      <c r="C108" s="857" t="s">
        <v>3697</v>
      </c>
      <c r="D108" s="866">
        <v>243636</v>
      </c>
      <c r="E108" s="872">
        <v>1100</v>
      </c>
      <c r="F108" s="1204" t="s">
        <v>2770</v>
      </c>
      <c r="G108" s="857" t="s">
        <v>45</v>
      </c>
      <c r="H108" s="865"/>
      <c r="I108" s="865"/>
      <c r="J108" s="865"/>
      <c r="K108" s="865"/>
      <c r="L108" s="865"/>
      <c r="M108" s="860" t="s">
        <v>3490</v>
      </c>
    </row>
    <row r="109" spans="1:13" s="205" customFormat="1" ht="19.5">
      <c r="A109" s="865">
        <v>83</v>
      </c>
      <c r="B109" s="863" t="s">
        <v>3632</v>
      </c>
      <c r="C109" s="857" t="s">
        <v>3698</v>
      </c>
      <c r="D109" s="866">
        <v>243636</v>
      </c>
      <c r="E109" s="872">
        <v>1100</v>
      </c>
      <c r="F109" s="1204" t="s">
        <v>2770</v>
      </c>
      <c r="G109" s="857" t="s">
        <v>45</v>
      </c>
      <c r="H109" s="865"/>
      <c r="I109" s="865"/>
      <c r="J109" s="865"/>
      <c r="K109" s="865"/>
      <c r="L109" s="865"/>
      <c r="M109" s="860" t="s">
        <v>3490</v>
      </c>
    </row>
    <row r="110" spans="1:13" s="205" customFormat="1" ht="19.5">
      <c r="A110" s="865">
        <v>84</v>
      </c>
      <c r="B110" s="863" t="s">
        <v>3632</v>
      </c>
      <c r="C110" s="857" t="s">
        <v>3699</v>
      </c>
      <c r="D110" s="866">
        <v>243636</v>
      </c>
      <c r="E110" s="872">
        <v>1100</v>
      </c>
      <c r="F110" s="1204" t="s">
        <v>2770</v>
      </c>
      <c r="G110" s="857" t="s">
        <v>45</v>
      </c>
      <c r="H110" s="865"/>
      <c r="I110" s="865"/>
      <c r="J110" s="865"/>
      <c r="K110" s="865"/>
      <c r="L110" s="865"/>
      <c r="M110" s="860" t="s">
        <v>3490</v>
      </c>
    </row>
    <row r="111" spans="1:13" s="205" customFormat="1" ht="19.5">
      <c r="A111" s="865">
        <v>85</v>
      </c>
      <c r="B111" s="863" t="s">
        <v>3632</v>
      </c>
      <c r="C111" s="857" t="s">
        <v>3700</v>
      </c>
      <c r="D111" s="866">
        <v>243636</v>
      </c>
      <c r="E111" s="872">
        <v>1100</v>
      </c>
      <c r="F111" s="1204" t="s">
        <v>2770</v>
      </c>
      <c r="G111" s="857" t="s">
        <v>45</v>
      </c>
      <c r="H111" s="865"/>
      <c r="I111" s="865"/>
      <c r="J111" s="865"/>
      <c r="K111" s="865"/>
      <c r="L111" s="865"/>
      <c r="M111" s="860" t="s">
        <v>3490</v>
      </c>
    </row>
    <row r="112" spans="1:13" s="205" customFormat="1" ht="19.5">
      <c r="A112" s="865">
        <v>86</v>
      </c>
      <c r="B112" s="863" t="s">
        <v>3632</v>
      </c>
      <c r="C112" s="857" t="s">
        <v>3701</v>
      </c>
      <c r="D112" s="866">
        <v>243636</v>
      </c>
      <c r="E112" s="872">
        <v>1100</v>
      </c>
      <c r="F112" s="1204" t="s">
        <v>2770</v>
      </c>
      <c r="G112" s="857" t="s">
        <v>45</v>
      </c>
      <c r="H112" s="865"/>
      <c r="I112" s="865"/>
      <c r="J112" s="865"/>
      <c r="K112" s="865"/>
      <c r="L112" s="865"/>
      <c r="M112" s="860" t="s">
        <v>3490</v>
      </c>
    </row>
    <row r="113" spans="1:13" s="205" customFormat="1" ht="19.5">
      <c r="A113" s="865">
        <v>87</v>
      </c>
      <c r="B113" s="863" t="s">
        <v>3632</v>
      </c>
      <c r="C113" s="857" t="s">
        <v>3702</v>
      </c>
      <c r="D113" s="866">
        <v>243636</v>
      </c>
      <c r="E113" s="872">
        <v>1100</v>
      </c>
      <c r="F113" s="1204" t="s">
        <v>2770</v>
      </c>
      <c r="G113" s="857" t="s">
        <v>45</v>
      </c>
      <c r="H113" s="865"/>
      <c r="I113" s="865"/>
      <c r="J113" s="865"/>
      <c r="K113" s="865"/>
      <c r="L113" s="865"/>
      <c r="M113" s="860" t="s">
        <v>3490</v>
      </c>
    </row>
    <row r="114" spans="1:13" s="205" customFormat="1" ht="19.5">
      <c r="A114" s="865">
        <v>88</v>
      </c>
      <c r="B114" s="863" t="s">
        <v>3632</v>
      </c>
      <c r="C114" s="857" t="s">
        <v>3703</v>
      </c>
      <c r="D114" s="866">
        <v>243636</v>
      </c>
      <c r="E114" s="872">
        <v>1100</v>
      </c>
      <c r="F114" s="1204" t="s">
        <v>2770</v>
      </c>
      <c r="G114" s="857" t="s">
        <v>45</v>
      </c>
      <c r="H114" s="865"/>
      <c r="I114" s="865"/>
      <c r="J114" s="865"/>
      <c r="K114" s="865"/>
      <c r="L114" s="865"/>
      <c r="M114" s="860" t="s">
        <v>3490</v>
      </c>
    </row>
    <row r="115" spans="1:13" s="205" customFormat="1" ht="19.5">
      <c r="A115" s="865">
        <v>89</v>
      </c>
      <c r="B115" s="863" t="s">
        <v>3632</v>
      </c>
      <c r="C115" s="857" t="s">
        <v>3704</v>
      </c>
      <c r="D115" s="866">
        <v>243636</v>
      </c>
      <c r="E115" s="872">
        <v>1100</v>
      </c>
      <c r="F115" s="1204" t="s">
        <v>2770</v>
      </c>
      <c r="G115" s="857" t="s">
        <v>45</v>
      </c>
      <c r="H115" s="865"/>
      <c r="I115" s="865"/>
      <c r="J115" s="865"/>
      <c r="K115" s="865"/>
      <c r="L115" s="865"/>
      <c r="M115" s="860" t="s">
        <v>3490</v>
      </c>
    </row>
    <row r="116" spans="1:13" s="205" customFormat="1" ht="19.5">
      <c r="A116" s="865">
        <v>90</v>
      </c>
      <c r="B116" s="863" t="s">
        <v>3632</v>
      </c>
      <c r="C116" s="857" t="s">
        <v>3705</v>
      </c>
      <c r="D116" s="866">
        <v>243636</v>
      </c>
      <c r="E116" s="872">
        <v>1100</v>
      </c>
      <c r="F116" s="1204" t="s">
        <v>2770</v>
      </c>
      <c r="G116" s="857" t="s">
        <v>45</v>
      </c>
      <c r="H116" s="865"/>
      <c r="I116" s="865"/>
      <c r="J116" s="865"/>
      <c r="K116" s="865"/>
      <c r="L116" s="865"/>
      <c r="M116" s="860" t="s">
        <v>3490</v>
      </c>
    </row>
    <row r="117" spans="1:13" s="205" customFormat="1" ht="19.5">
      <c r="A117" s="865">
        <v>91</v>
      </c>
      <c r="B117" s="863" t="s">
        <v>3632</v>
      </c>
      <c r="C117" s="857" t="s">
        <v>3706</v>
      </c>
      <c r="D117" s="866">
        <v>243636</v>
      </c>
      <c r="E117" s="872">
        <v>1100</v>
      </c>
      <c r="F117" s="1204" t="s">
        <v>2770</v>
      </c>
      <c r="G117" s="857" t="s">
        <v>45</v>
      </c>
      <c r="H117" s="865"/>
      <c r="I117" s="865"/>
      <c r="J117" s="865"/>
      <c r="K117" s="865"/>
      <c r="L117" s="865"/>
      <c r="M117" s="860" t="s">
        <v>3490</v>
      </c>
    </row>
    <row r="118" spans="1:13" s="205" customFormat="1" ht="19.5">
      <c r="A118" s="865">
        <v>92</v>
      </c>
      <c r="B118" s="863" t="s">
        <v>3632</v>
      </c>
      <c r="C118" s="857" t="s">
        <v>3707</v>
      </c>
      <c r="D118" s="866">
        <v>243636</v>
      </c>
      <c r="E118" s="872">
        <v>1100</v>
      </c>
      <c r="F118" s="1204" t="s">
        <v>2770</v>
      </c>
      <c r="G118" s="857" t="s">
        <v>45</v>
      </c>
      <c r="H118" s="865"/>
      <c r="I118" s="865"/>
      <c r="J118" s="865"/>
      <c r="K118" s="865"/>
      <c r="L118" s="865"/>
      <c r="M118" s="860" t="s">
        <v>3490</v>
      </c>
    </row>
    <row r="119" spans="1:13" s="205" customFormat="1" ht="19.5">
      <c r="A119" s="865">
        <v>93</v>
      </c>
      <c r="B119" s="863" t="s">
        <v>3632</v>
      </c>
      <c r="C119" s="857" t="s">
        <v>3708</v>
      </c>
      <c r="D119" s="866">
        <v>243636</v>
      </c>
      <c r="E119" s="872">
        <v>1100</v>
      </c>
      <c r="F119" s="1204" t="s">
        <v>2770</v>
      </c>
      <c r="G119" s="857" t="s">
        <v>45</v>
      </c>
      <c r="H119" s="865"/>
      <c r="I119" s="865"/>
      <c r="J119" s="865"/>
      <c r="K119" s="865"/>
      <c r="L119" s="865"/>
      <c r="M119" s="860" t="s">
        <v>3490</v>
      </c>
    </row>
    <row r="120" spans="1:13" s="205" customFormat="1" ht="19.5">
      <c r="A120" s="865">
        <v>94</v>
      </c>
      <c r="B120" s="863" t="s">
        <v>3632</v>
      </c>
      <c r="C120" s="857" t="s">
        <v>3709</v>
      </c>
      <c r="D120" s="866">
        <v>243636</v>
      </c>
      <c r="E120" s="872">
        <v>1100</v>
      </c>
      <c r="F120" s="1204" t="s">
        <v>2770</v>
      </c>
      <c r="G120" s="857" t="s">
        <v>45</v>
      </c>
      <c r="H120" s="865"/>
      <c r="I120" s="865"/>
      <c r="J120" s="865"/>
      <c r="K120" s="865"/>
      <c r="L120" s="865"/>
      <c r="M120" s="860" t="s">
        <v>3490</v>
      </c>
    </row>
    <row r="121" spans="1:13" s="205" customFormat="1" ht="19.5">
      <c r="A121" s="865">
        <v>95</v>
      </c>
      <c r="B121" s="863" t="s">
        <v>3632</v>
      </c>
      <c r="C121" s="857" t="s">
        <v>3710</v>
      </c>
      <c r="D121" s="866">
        <v>243636</v>
      </c>
      <c r="E121" s="872">
        <v>1100</v>
      </c>
      <c r="F121" s="1204" t="s">
        <v>2770</v>
      </c>
      <c r="G121" s="857" t="s">
        <v>45</v>
      </c>
      <c r="H121" s="865"/>
      <c r="I121" s="865"/>
      <c r="J121" s="865"/>
      <c r="K121" s="865"/>
      <c r="L121" s="865"/>
      <c r="M121" s="860" t="s">
        <v>3490</v>
      </c>
    </row>
    <row r="122" spans="1:13" s="205" customFormat="1" ht="19.5">
      <c r="A122" s="865">
        <v>96</v>
      </c>
      <c r="B122" s="863" t="s">
        <v>3632</v>
      </c>
      <c r="C122" s="857" t="s">
        <v>3711</v>
      </c>
      <c r="D122" s="866">
        <v>243636</v>
      </c>
      <c r="E122" s="872">
        <v>1100</v>
      </c>
      <c r="F122" s="1204" t="s">
        <v>2770</v>
      </c>
      <c r="G122" s="857" t="s">
        <v>45</v>
      </c>
      <c r="H122" s="865"/>
      <c r="I122" s="865"/>
      <c r="J122" s="865"/>
      <c r="K122" s="865"/>
      <c r="L122" s="865"/>
      <c r="M122" s="860" t="s">
        <v>3490</v>
      </c>
    </row>
    <row r="123" spans="1:13" s="205" customFormat="1" ht="19.5">
      <c r="A123" s="865">
        <v>97</v>
      </c>
      <c r="B123" s="863" t="s">
        <v>3632</v>
      </c>
      <c r="C123" s="857" t="s">
        <v>3712</v>
      </c>
      <c r="D123" s="866">
        <v>243636</v>
      </c>
      <c r="E123" s="872">
        <v>1100</v>
      </c>
      <c r="F123" s="1204" t="s">
        <v>2770</v>
      </c>
      <c r="G123" s="857" t="s">
        <v>45</v>
      </c>
      <c r="H123" s="865"/>
      <c r="I123" s="865"/>
      <c r="J123" s="865"/>
      <c r="K123" s="865"/>
      <c r="L123" s="865"/>
      <c r="M123" s="860" t="s">
        <v>3490</v>
      </c>
    </row>
    <row r="124" spans="1:13" s="205" customFormat="1" ht="19.5">
      <c r="A124" s="865">
        <v>98</v>
      </c>
      <c r="B124" s="863" t="s">
        <v>3632</v>
      </c>
      <c r="C124" s="857" t="s">
        <v>3713</v>
      </c>
      <c r="D124" s="866">
        <v>243636</v>
      </c>
      <c r="E124" s="872">
        <v>1100</v>
      </c>
      <c r="F124" s="1204" t="s">
        <v>2770</v>
      </c>
      <c r="G124" s="857" t="s">
        <v>45</v>
      </c>
      <c r="H124" s="865"/>
      <c r="I124" s="865"/>
      <c r="J124" s="865"/>
      <c r="K124" s="865"/>
      <c r="L124" s="865"/>
      <c r="M124" s="860" t="s">
        <v>3490</v>
      </c>
    </row>
    <row r="125" spans="1:13" s="205" customFormat="1" ht="19.5">
      <c r="A125" s="865">
        <v>99</v>
      </c>
      <c r="B125" s="863" t="s">
        <v>3632</v>
      </c>
      <c r="C125" s="857" t="s">
        <v>3714</v>
      </c>
      <c r="D125" s="866">
        <v>243636</v>
      </c>
      <c r="E125" s="872">
        <v>1100</v>
      </c>
      <c r="F125" s="1204" t="s">
        <v>2770</v>
      </c>
      <c r="G125" s="857" t="s">
        <v>45</v>
      </c>
      <c r="H125" s="865"/>
      <c r="I125" s="865"/>
      <c r="J125" s="865"/>
      <c r="K125" s="865"/>
      <c r="L125" s="865"/>
      <c r="M125" s="860" t="s">
        <v>3490</v>
      </c>
    </row>
    <row r="126" spans="1:13" s="205" customFormat="1" ht="19.5">
      <c r="A126" s="865">
        <v>100</v>
      </c>
      <c r="B126" s="863" t="s">
        <v>3632</v>
      </c>
      <c r="C126" s="857" t="s">
        <v>3715</v>
      </c>
      <c r="D126" s="866">
        <v>243636</v>
      </c>
      <c r="E126" s="872">
        <v>1100</v>
      </c>
      <c r="F126" s="1204" t="s">
        <v>2770</v>
      </c>
      <c r="G126" s="857" t="s">
        <v>45</v>
      </c>
      <c r="H126" s="865"/>
      <c r="I126" s="865"/>
      <c r="J126" s="865"/>
      <c r="K126" s="865"/>
      <c r="L126" s="865"/>
      <c r="M126" s="860" t="s">
        <v>3490</v>
      </c>
    </row>
    <row r="127" spans="1:13" s="205" customFormat="1" ht="19.5">
      <c r="A127" s="865">
        <v>101</v>
      </c>
      <c r="B127" s="863" t="s">
        <v>3632</v>
      </c>
      <c r="C127" s="857" t="s">
        <v>3716</v>
      </c>
      <c r="D127" s="866">
        <v>243636</v>
      </c>
      <c r="E127" s="872">
        <v>1100</v>
      </c>
      <c r="F127" s="1204" t="s">
        <v>2770</v>
      </c>
      <c r="G127" s="857" t="s">
        <v>45</v>
      </c>
      <c r="H127" s="865"/>
      <c r="I127" s="865"/>
      <c r="J127" s="865"/>
      <c r="K127" s="865"/>
      <c r="L127" s="865"/>
      <c r="M127" s="860" t="s">
        <v>3490</v>
      </c>
    </row>
    <row r="128" spans="1:13" s="205" customFormat="1" ht="19.5">
      <c r="A128" s="865">
        <v>102</v>
      </c>
      <c r="B128" s="863" t="s">
        <v>3632</v>
      </c>
      <c r="C128" s="857" t="s">
        <v>3717</v>
      </c>
      <c r="D128" s="866">
        <v>243636</v>
      </c>
      <c r="E128" s="872">
        <v>1100</v>
      </c>
      <c r="F128" s="1204" t="s">
        <v>2770</v>
      </c>
      <c r="G128" s="857" t="s">
        <v>45</v>
      </c>
      <c r="H128" s="865"/>
      <c r="I128" s="865"/>
      <c r="J128" s="865"/>
      <c r="K128" s="865"/>
      <c r="L128" s="865"/>
      <c r="M128" s="860" t="s">
        <v>3490</v>
      </c>
    </row>
    <row r="129" spans="1:13" s="205" customFormat="1" ht="19.5">
      <c r="A129" s="865">
        <v>103</v>
      </c>
      <c r="B129" s="863" t="s">
        <v>3632</v>
      </c>
      <c r="C129" s="857" t="s">
        <v>3718</v>
      </c>
      <c r="D129" s="866">
        <v>243636</v>
      </c>
      <c r="E129" s="872">
        <v>1100</v>
      </c>
      <c r="F129" s="1204" t="s">
        <v>2770</v>
      </c>
      <c r="G129" s="857" t="s">
        <v>45</v>
      </c>
      <c r="H129" s="865"/>
      <c r="I129" s="865"/>
      <c r="J129" s="865"/>
      <c r="K129" s="865"/>
      <c r="L129" s="865"/>
      <c r="M129" s="860" t="s">
        <v>3490</v>
      </c>
    </row>
    <row r="130" spans="1:13" s="205" customFormat="1" ht="19.5">
      <c r="A130" s="865">
        <v>104</v>
      </c>
      <c r="B130" s="863" t="s">
        <v>3632</v>
      </c>
      <c r="C130" s="857" t="s">
        <v>3719</v>
      </c>
      <c r="D130" s="866">
        <v>243636</v>
      </c>
      <c r="E130" s="872">
        <v>1100</v>
      </c>
      <c r="F130" s="1204" t="s">
        <v>2770</v>
      </c>
      <c r="G130" s="857" t="s">
        <v>45</v>
      </c>
      <c r="H130" s="865"/>
      <c r="I130" s="865"/>
      <c r="J130" s="865"/>
      <c r="K130" s="865"/>
      <c r="L130" s="865"/>
      <c r="M130" s="860" t="s">
        <v>3490</v>
      </c>
    </row>
    <row r="131" spans="1:13" s="205" customFormat="1" ht="19.5">
      <c r="A131" s="865">
        <v>105</v>
      </c>
      <c r="B131" s="863" t="s">
        <v>3632</v>
      </c>
      <c r="C131" s="857" t="s">
        <v>3720</v>
      </c>
      <c r="D131" s="866">
        <v>243636</v>
      </c>
      <c r="E131" s="872">
        <v>1100</v>
      </c>
      <c r="F131" s="1204" t="s">
        <v>2770</v>
      </c>
      <c r="G131" s="857" t="s">
        <v>45</v>
      </c>
      <c r="H131" s="865"/>
      <c r="I131" s="865"/>
      <c r="J131" s="865"/>
      <c r="K131" s="865"/>
      <c r="L131" s="865"/>
      <c r="M131" s="860" t="s">
        <v>3490</v>
      </c>
    </row>
    <row r="132" spans="1:13" s="205" customFormat="1" ht="19.5">
      <c r="A132" s="865">
        <v>106</v>
      </c>
      <c r="B132" s="863" t="s">
        <v>3632</v>
      </c>
      <c r="C132" s="857" t="s">
        <v>3721</v>
      </c>
      <c r="D132" s="866">
        <v>243636</v>
      </c>
      <c r="E132" s="872">
        <v>1100</v>
      </c>
      <c r="F132" s="1204" t="s">
        <v>2770</v>
      </c>
      <c r="G132" s="857" t="s">
        <v>45</v>
      </c>
      <c r="H132" s="865"/>
      <c r="I132" s="865"/>
      <c r="J132" s="865"/>
      <c r="K132" s="865"/>
      <c r="L132" s="865"/>
      <c r="M132" s="860" t="s">
        <v>3490</v>
      </c>
    </row>
    <row r="133" spans="1:13" s="205" customFormat="1" ht="19.5">
      <c r="A133" s="865">
        <v>107</v>
      </c>
      <c r="B133" s="863" t="s">
        <v>3632</v>
      </c>
      <c r="C133" s="857" t="s">
        <v>3722</v>
      </c>
      <c r="D133" s="866">
        <v>243636</v>
      </c>
      <c r="E133" s="872">
        <v>1100</v>
      </c>
      <c r="F133" s="1204" t="s">
        <v>2770</v>
      </c>
      <c r="G133" s="857" t="s">
        <v>45</v>
      </c>
      <c r="H133" s="865"/>
      <c r="I133" s="865"/>
      <c r="J133" s="865"/>
      <c r="K133" s="865"/>
      <c r="L133" s="865"/>
      <c r="M133" s="860" t="s">
        <v>3490</v>
      </c>
    </row>
    <row r="134" spans="1:13" s="205" customFormat="1" ht="19.5">
      <c r="A134" s="865">
        <v>108</v>
      </c>
      <c r="B134" s="863" t="s">
        <v>3632</v>
      </c>
      <c r="C134" s="857" t="s">
        <v>3723</v>
      </c>
      <c r="D134" s="866">
        <v>243636</v>
      </c>
      <c r="E134" s="872">
        <v>1100</v>
      </c>
      <c r="F134" s="1204" t="s">
        <v>2770</v>
      </c>
      <c r="G134" s="857" t="s">
        <v>45</v>
      </c>
      <c r="H134" s="865"/>
      <c r="I134" s="865"/>
      <c r="J134" s="865"/>
      <c r="K134" s="865"/>
      <c r="L134" s="865"/>
      <c r="M134" s="860" t="s">
        <v>3490</v>
      </c>
    </row>
    <row r="135" spans="1:13" s="205" customFormat="1" ht="19.5">
      <c r="A135" s="865">
        <v>109</v>
      </c>
      <c r="B135" s="863" t="s">
        <v>3632</v>
      </c>
      <c r="C135" s="857" t="s">
        <v>3724</v>
      </c>
      <c r="D135" s="866">
        <v>243636</v>
      </c>
      <c r="E135" s="872">
        <v>1100</v>
      </c>
      <c r="F135" s="1204" t="s">
        <v>2770</v>
      </c>
      <c r="G135" s="857" t="s">
        <v>45</v>
      </c>
      <c r="H135" s="865"/>
      <c r="I135" s="865"/>
      <c r="J135" s="865"/>
      <c r="K135" s="865"/>
      <c r="L135" s="865"/>
      <c r="M135" s="860" t="s">
        <v>3490</v>
      </c>
    </row>
    <row r="136" spans="1:13" s="205" customFormat="1" ht="19.5">
      <c r="A136" s="865">
        <v>110</v>
      </c>
      <c r="B136" s="863" t="s">
        <v>3632</v>
      </c>
      <c r="C136" s="857" t="s">
        <v>3725</v>
      </c>
      <c r="D136" s="866">
        <v>243636</v>
      </c>
      <c r="E136" s="872">
        <v>1100</v>
      </c>
      <c r="F136" s="1204" t="s">
        <v>2770</v>
      </c>
      <c r="G136" s="857" t="s">
        <v>45</v>
      </c>
      <c r="H136" s="865"/>
      <c r="I136" s="865"/>
      <c r="J136" s="865"/>
      <c r="K136" s="865"/>
      <c r="L136" s="865"/>
      <c r="M136" s="860" t="s">
        <v>3490</v>
      </c>
    </row>
    <row r="137" spans="1:13" s="205" customFormat="1" ht="19.5">
      <c r="A137" s="865">
        <v>111</v>
      </c>
      <c r="B137" s="863" t="s">
        <v>3632</v>
      </c>
      <c r="C137" s="857" t="s">
        <v>3726</v>
      </c>
      <c r="D137" s="866">
        <v>243636</v>
      </c>
      <c r="E137" s="872">
        <v>1100</v>
      </c>
      <c r="F137" s="1204" t="s">
        <v>2770</v>
      </c>
      <c r="G137" s="857" t="s">
        <v>45</v>
      </c>
      <c r="H137" s="865"/>
      <c r="I137" s="865"/>
      <c r="J137" s="865"/>
      <c r="K137" s="865"/>
      <c r="L137" s="865"/>
      <c r="M137" s="860" t="s">
        <v>3490</v>
      </c>
    </row>
    <row r="138" spans="1:13" s="205" customFormat="1" ht="19.5">
      <c r="A138" s="865">
        <v>112</v>
      </c>
      <c r="B138" s="863" t="s">
        <v>3632</v>
      </c>
      <c r="C138" s="857" t="s">
        <v>3727</v>
      </c>
      <c r="D138" s="866">
        <v>243636</v>
      </c>
      <c r="E138" s="872">
        <v>1100</v>
      </c>
      <c r="F138" s="1204" t="s">
        <v>2770</v>
      </c>
      <c r="G138" s="857" t="s">
        <v>45</v>
      </c>
      <c r="H138" s="865"/>
      <c r="I138" s="865"/>
      <c r="J138" s="865"/>
      <c r="K138" s="865"/>
      <c r="L138" s="865"/>
      <c r="M138" s="860" t="s">
        <v>3490</v>
      </c>
    </row>
    <row r="139" spans="1:13" s="205" customFormat="1" ht="19.5">
      <c r="A139" s="865">
        <v>113</v>
      </c>
      <c r="B139" s="863" t="s">
        <v>3632</v>
      </c>
      <c r="C139" s="857" t="s">
        <v>3728</v>
      </c>
      <c r="D139" s="866">
        <v>243636</v>
      </c>
      <c r="E139" s="872">
        <v>1100</v>
      </c>
      <c r="F139" s="1204" t="s">
        <v>2770</v>
      </c>
      <c r="G139" s="857" t="s">
        <v>45</v>
      </c>
      <c r="H139" s="865"/>
      <c r="I139" s="865"/>
      <c r="J139" s="865"/>
      <c r="K139" s="865"/>
      <c r="L139" s="865"/>
      <c r="M139" s="860" t="s">
        <v>3490</v>
      </c>
    </row>
    <row r="140" spans="1:13" s="205" customFormat="1" ht="19.5">
      <c r="A140" s="865">
        <v>114</v>
      </c>
      <c r="B140" s="863" t="s">
        <v>3632</v>
      </c>
      <c r="C140" s="857" t="s">
        <v>3729</v>
      </c>
      <c r="D140" s="866">
        <v>243636</v>
      </c>
      <c r="E140" s="872">
        <v>1100</v>
      </c>
      <c r="F140" s="1204" t="s">
        <v>2770</v>
      </c>
      <c r="G140" s="857" t="s">
        <v>45</v>
      </c>
      <c r="H140" s="865"/>
      <c r="I140" s="865"/>
      <c r="J140" s="865"/>
      <c r="K140" s="865"/>
      <c r="L140" s="865"/>
      <c r="M140" s="860" t="s">
        <v>3490</v>
      </c>
    </row>
    <row r="141" spans="1:13" s="205" customFormat="1" ht="19.5">
      <c r="A141" s="865">
        <v>115</v>
      </c>
      <c r="B141" s="863" t="s">
        <v>3632</v>
      </c>
      <c r="C141" s="857" t="s">
        <v>3730</v>
      </c>
      <c r="D141" s="866">
        <v>243636</v>
      </c>
      <c r="E141" s="872">
        <v>1100</v>
      </c>
      <c r="F141" s="1204" t="s">
        <v>2770</v>
      </c>
      <c r="G141" s="857" t="s">
        <v>45</v>
      </c>
      <c r="H141" s="865"/>
      <c r="I141" s="865"/>
      <c r="J141" s="865"/>
      <c r="K141" s="865"/>
      <c r="L141" s="865"/>
      <c r="M141" s="860" t="s">
        <v>3490</v>
      </c>
    </row>
    <row r="142" spans="1:13" s="205" customFormat="1" ht="19.5">
      <c r="A142" s="865">
        <v>116</v>
      </c>
      <c r="B142" s="863" t="s">
        <v>3632</v>
      </c>
      <c r="C142" s="857" t="s">
        <v>3731</v>
      </c>
      <c r="D142" s="866">
        <v>243636</v>
      </c>
      <c r="E142" s="872">
        <v>1100</v>
      </c>
      <c r="F142" s="1204" t="s">
        <v>2770</v>
      </c>
      <c r="G142" s="857" t="s">
        <v>45</v>
      </c>
      <c r="H142" s="865"/>
      <c r="I142" s="865"/>
      <c r="J142" s="865"/>
      <c r="K142" s="865"/>
      <c r="L142" s="865"/>
      <c r="M142" s="860" t="s">
        <v>3490</v>
      </c>
    </row>
    <row r="143" spans="1:13" s="205" customFormat="1" ht="19.5">
      <c r="A143" s="865">
        <v>117</v>
      </c>
      <c r="B143" s="863" t="s">
        <v>3632</v>
      </c>
      <c r="C143" s="857" t="s">
        <v>3732</v>
      </c>
      <c r="D143" s="866">
        <v>243636</v>
      </c>
      <c r="E143" s="872">
        <v>1100</v>
      </c>
      <c r="F143" s="1204" t="s">
        <v>2770</v>
      </c>
      <c r="G143" s="857" t="s">
        <v>45</v>
      </c>
      <c r="H143" s="865"/>
      <c r="I143" s="865"/>
      <c r="J143" s="865"/>
      <c r="K143" s="865"/>
      <c r="L143" s="865"/>
      <c r="M143" s="860" t="s">
        <v>3490</v>
      </c>
    </row>
    <row r="144" spans="1:13" s="205" customFormat="1" ht="19.5">
      <c r="A144" s="865">
        <v>118</v>
      </c>
      <c r="B144" s="863" t="s">
        <v>3733</v>
      </c>
      <c r="C144" s="857" t="s">
        <v>3734</v>
      </c>
      <c r="D144" s="866">
        <v>243825</v>
      </c>
      <c r="E144" s="872">
        <v>3500</v>
      </c>
      <c r="F144" s="1204" t="s">
        <v>2770</v>
      </c>
      <c r="G144" s="857" t="s">
        <v>45</v>
      </c>
      <c r="H144" s="865"/>
      <c r="I144" s="865"/>
      <c r="J144" s="865"/>
      <c r="K144" s="865"/>
      <c r="L144" s="865"/>
      <c r="M144" s="860" t="s">
        <v>3490</v>
      </c>
    </row>
    <row r="145" spans="1:13" s="205" customFormat="1" ht="19.5">
      <c r="A145" s="562"/>
      <c r="B145" s="563"/>
      <c r="C145" s="223"/>
      <c r="D145" s="570"/>
      <c r="E145" s="844"/>
      <c r="F145" s="572"/>
      <c r="G145" s="540"/>
      <c r="H145" s="573"/>
      <c r="I145" s="223"/>
      <c r="J145" s="223"/>
      <c r="K145" s="223"/>
      <c r="L145" s="223"/>
      <c r="M145" s="289"/>
    </row>
    <row r="146" spans="1:13" s="1067" customFormat="1" ht="20.25" thickBot="1">
      <c r="A146" s="909">
        <v>118</v>
      </c>
      <c r="B146" s="1056"/>
      <c r="C146" s="907"/>
      <c r="D146" s="1068" t="s">
        <v>64</v>
      </c>
      <c r="E146" s="1069">
        <f>SUM(E27:E145)</f>
        <v>152760</v>
      </c>
      <c r="F146" s="909"/>
      <c r="G146" s="909"/>
      <c r="H146" s="908"/>
      <c r="I146" s="908"/>
      <c r="J146" s="908"/>
      <c r="K146" s="908"/>
      <c r="L146" s="908"/>
      <c r="M146" s="913"/>
    </row>
    <row r="147" spans="1:13" ht="20.25" thickTop="1">
      <c r="A147" s="1"/>
      <c r="B147" s="183"/>
      <c r="C147" s="158"/>
      <c r="D147" s="6"/>
      <c r="E147" s="184"/>
      <c r="F147" s="1"/>
      <c r="G147" s="1"/>
      <c r="H147" s="2"/>
      <c r="I147" s="2"/>
      <c r="J147" s="2"/>
      <c r="K147" s="2"/>
      <c r="L147" s="2"/>
      <c r="M147" s="211"/>
    </row>
    <row r="148" spans="1:13" ht="19.5">
      <c r="A148" s="1"/>
      <c r="B148" s="178" t="s">
        <v>1195</v>
      </c>
      <c r="C148" s="158"/>
      <c r="D148" s="158"/>
      <c r="E148" s="185"/>
      <c r="F148" s="186"/>
      <c r="G148" s="2"/>
      <c r="H148" s="2"/>
      <c r="I148" s="2"/>
      <c r="J148" s="2"/>
      <c r="K148" s="2"/>
      <c r="L148" s="2"/>
      <c r="M148" s="211"/>
    </row>
    <row r="149" spans="1:13" ht="19.5">
      <c r="A149" s="155">
        <v>1</v>
      </c>
      <c r="B149" s="3" t="s">
        <v>1502</v>
      </c>
      <c r="C149" s="158" t="s">
        <v>1503</v>
      </c>
      <c r="D149" s="159">
        <v>20689</v>
      </c>
      <c r="E149" s="58">
        <v>3200</v>
      </c>
      <c r="F149" s="1170" t="s">
        <v>1265</v>
      </c>
      <c r="G149" s="194" t="s">
        <v>45</v>
      </c>
      <c r="H149" s="2"/>
      <c r="I149" s="2"/>
      <c r="J149" s="2"/>
      <c r="K149" s="2"/>
      <c r="L149" s="2"/>
      <c r="M149" s="211"/>
    </row>
    <row r="150" spans="1:13" ht="19.5">
      <c r="A150" s="155">
        <v>2</v>
      </c>
      <c r="B150" s="3" t="s">
        <v>1502</v>
      </c>
      <c r="C150" s="158" t="s">
        <v>1504</v>
      </c>
      <c r="D150" s="159">
        <v>20689</v>
      </c>
      <c r="E150" s="58">
        <v>3200</v>
      </c>
      <c r="F150" s="1170" t="s">
        <v>1265</v>
      </c>
      <c r="G150" s="194" t="s">
        <v>45</v>
      </c>
      <c r="H150" s="2"/>
      <c r="I150" s="2"/>
      <c r="J150" s="2"/>
      <c r="K150" s="2"/>
      <c r="L150" s="2"/>
      <c r="M150" s="211"/>
    </row>
    <row r="151" spans="1:13" ht="19.5">
      <c r="A151" s="155">
        <v>3</v>
      </c>
      <c r="B151" s="3" t="s">
        <v>1505</v>
      </c>
      <c r="C151" s="158" t="s">
        <v>1506</v>
      </c>
      <c r="D151" s="159">
        <v>20689</v>
      </c>
      <c r="E151" s="58">
        <v>550</v>
      </c>
      <c r="F151" s="1170" t="s">
        <v>1265</v>
      </c>
      <c r="G151" s="194" t="s">
        <v>45</v>
      </c>
      <c r="H151" s="2"/>
      <c r="I151" s="2"/>
      <c r="J151" s="2"/>
      <c r="K151" s="2"/>
      <c r="L151" s="2"/>
      <c r="M151" s="211"/>
    </row>
    <row r="152" spans="1:13" ht="19.5">
      <c r="A152" s="1">
        <v>4</v>
      </c>
      <c r="B152" s="2" t="s">
        <v>1196</v>
      </c>
      <c r="C152" s="1" t="s">
        <v>1197</v>
      </c>
      <c r="D152" s="159">
        <v>21267</v>
      </c>
      <c r="E152" s="187">
        <v>300</v>
      </c>
      <c r="F152" s="1011" t="s">
        <v>999</v>
      </c>
      <c r="G152" s="194" t="s">
        <v>45</v>
      </c>
      <c r="H152" s="2"/>
      <c r="I152" s="2"/>
      <c r="J152" s="2"/>
      <c r="K152" s="2"/>
      <c r="L152" s="2"/>
      <c r="M152" s="211"/>
    </row>
    <row r="153" spans="1:13" ht="19.5">
      <c r="A153" s="1">
        <v>5</v>
      </c>
      <c r="B153" s="2" t="s">
        <v>1196</v>
      </c>
      <c r="C153" s="1" t="s">
        <v>1198</v>
      </c>
      <c r="D153" s="159">
        <v>21267</v>
      </c>
      <c r="E153" s="187">
        <v>300</v>
      </c>
      <c r="F153" s="1011" t="s">
        <v>999</v>
      </c>
      <c r="G153" s="194" t="s">
        <v>45</v>
      </c>
      <c r="H153" s="2"/>
      <c r="I153" s="2"/>
      <c r="J153" s="2"/>
      <c r="K153" s="2"/>
      <c r="L153" s="2"/>
      <c r="M153" s="211"/>
    </row>
    <row r="154" spans="1:13" s="1067" customFormat="1" ht="20.25" thickBot="1">
      <c r="A154" s="909">
        <v>5</v>
      </c>
      <c r="B154" s="1056"/>
      <c r="C154" s="907"/>
      <c r="D154" s="1065" t="s">
        <v>64</v>
      </c>
      <c r="E154" s="1066">
        <f>SUM(E149:E153)</f>
        <v>7550</v>
      </c>
      <c r="F154" s="909"/>
      <c r="G154" s="909"/>
      <c r="H154" s="908"/>
      <c r="I154" s="908"/>
      <c r="J154" s="908"/>
      <c r="K154" s="908"/>
      <c r="L154" s="908"/>
      <c r="M154" s="913"/>
    </row>
    <row r="155" spans="1:13" ht="20.25" thickTop="1">
      <c r="A155" s="1"/>
    </row>
    <row r="156" spans="1:13" ht="19.5">
      <c r="A156" s="1"/>
    </row>
    <row r="157" spans="1:13" ht="19.5">
      <c r="A157" s="1"/>
      <c r="B157" s="183"/>
      <c r="C157" s="158"/>
      <c r="D157" s="188"/>
      <c r="E157" s="188"/>
      <c r="F157" s="1"/>
      <c r="G157" s="1"/>
      <c r="H157" s="2"/>
      <c r="I157" s="2"/>
      <c r="J157" s="2"/>
      <c r="K157" s="2"/>
      <c r="L157" s="2"/>
      <c r="M157" s="211"/>
    </row>
    <row r="158" spans="1:13" ht="19.5">
      <c r="A158" s="1"/>
      <c r="B158" s="178" t="s">
        <v>1199</v>
      </c>
      <c r="C158" s="158"/>
      <c r="D158" s="158"/>
      <c r="E158" s="185"/>
      <c r="F158" s="186"/>
      <c r="G158" s="2"/>
      <c r="H158" s="2"/>
      <c r="I158" s="2"/>
      <c r="J158" s="2"/>
      <c r="K158" s="2"/>
      <c r="L158" s="2"/>
      <c r="M158" s="211"/>
    </row>
    <row r="159" spans="1:13" ht="19.5">
      <c r="A159" s="1">
        <v>1</v>
      </c>
      <c r="B159" s="3" t="s">
        <v>1509</v>
      </c>
      <c r="C159" s="158" t="s">
        <v>2463</v>
      </c>
      <c r="D159" s="173">
        <v>21211</v>
      </c>
      <c r="E159" s="185">
        <v>2900</v>
      </c>
      <c r="F159" s="1129" t="s">
        <v>1583</v>
      </c>
      <c r="G159" s="194" t="s">
        <v>45</v>
      </c>
      <c r="H159" s="212"/>
      <c r="I159" s="212"/>
      <c r="J159" s="212"/>
      <c r="K159" s="212"/>
      <c r="L159" s="212"/>
      <c r="M159" s="213"/>
    </row>
    <row r="160" spans="1:13" ht="19.5">
      <c r="A160" s="1">
        <v>2</v>
      </c>
      <c r="B160" s="3" t="s">
        <v>2465</v>
      </c>
      <c r="C160" s="158" t="s">
        <v>2464</v>
      </c>
      <c r="D160" s="159">
        <v>21211</v>
      </c>
      <c r="E160" s="185">
        <v>4500</v>
      </c>
      <c r="F160" s="1129" t="s">
        <v>1583</v>
      </c>
      <c r="G160" s="194" t="s">
        <v>45</v>
      </c>
      <c r="H160" s="212"/>
      <c r="I160" s="212"/>
      <c r="J160" s="212"/>
      <c r="K160" s="212"/>
      <c r="L160" s="212"/>
      <c r="M160" s="211" t="s">
        <v>3479</v>
      </c>
    </row>
    <row r="161" spans="1:13" ht="19.5">
      <c r="A161" s="1">
        <v>3</v>
      </c>
      <c r="B161" s="3" t="s">
        <v>1200</v>
      </c>
      <c r="C161" s="158" t="s">
        <v>1201</v>
      </c>
      <c r="D161" s="159">
        <v>21326</v>
      </c>
      <c r="E161" s="185">
        <v>4290</v>
      </c>
      <c r="F161" s="1142" t="s">
        <v>999</v>
      </c>
      <c r="G161" s="194" t="s">
        <v>45</v>
      </c>
      <c r="H161" s="212"/>
      <c r="I161" s="212"/>
      <c r="J161" s="212"/>
      <c r="K161" s="212"/>
      <c r="L161" s="212"/>
      <c r="M161" s="213"/>
    </row>
    <row r="162" spans="1:13" ht="19.5">
      <c r="A162" s="1">
        <v>4</v>
      </c>
      <c r="B162" s="3" t="s">
        <v>1202</v>
      </c>
      <c r="C162" s="158" t="s">
        <v>1203</v>
      </c>
      <c r="D162" s="159">
        <v>21326</v>
      </c>
      <c r="E162" s="185">
        <v>2390</v>
      </c>
      <c r="F162" s="1142" t="s">
        <v>999</v>
      </c>
      <c r="G162" s="194" t="s">
        <v>45</v>
      </c>
      <c r="H162" s="212"/>
      <c r="I162" s="212"/>
      <c r="J162" s="212"/>
      <c r="K162" s="212"/>
      <c r="L162" s="212"/>
      <c r="M162" s="213"/>
    </row>
    <row r="163" spans="1:13" ht="39">
      <c r="A163" s="223">
        <v>5</v>
      </c>
      <c r="B163" s="563" t="s">
        <v>8</v>
      </c>
      <c r="C163" s="223" t="s">
        <v>1642</v>
      </c>
      <c r="D163" s="570">
        <v>240526</v>
      </c>
      <c r="E163" s="571">
        <v>3500</v>
      </c>
      <c r="F163" s="1202" t="s">
        <v>1633</v>
      </c>
      <c r="G163" s="540" t="s">
        <v>45</v>
      </c>
      <c r="H163" s="566"/>
      <c r="I163" s="574"/>
      <c r="J163" s="574"/>
      <c r="K163" s="574"/>
      <c r="L163" s="574"/>
      <c r="M163" s="271" t="s">
        <v>3459</v>
      </c>
    </row>
    <row r="164" spans="1:13" ht="39">
      <c r="A164" s="562">
        <v>6</v>
      </c>
      <c r="B164" s="563" t="s">
        <v>9</v>
      </c>
      <c r="C164" s="223" t="s">
        <v>1643</v>
      </c>
      <c r="D164" s="570">
        <v>240526</v>
      </c>
      <c r="E164" s="571">
        <v>2500</v>
      </c>
      <c r="F164" s="1202" t="s">
        <v>1633</v>
      </c>
      <c r="G164" s="540" t="s">
        <v>45</v>
      </c>
      <c r="H164" s="566"/>
      <c r="I164" s="574"/>
      <c r="J164" s="574"/>
      <c r="K164" s="574"/>
      <c r="L164" s="574"/>
      <c r="M164" s="271" t="s">
        <v>3459</v>
      </c>
    </row>
    <row r="165" spans="1:13" ht="39">
      <c r="A165" s="562">
        <v>7</v>
      </c>
      <c r="B165" s="563" t="s">
        <v>9</v>
      </c>
      <c r="C165" s="223" t="s">
        <v>1644</v>
      </c>
      <c r="D165" s="570">
        <v>240526</v>
      </c>
      <c r="E165" s="571">
        <v>2500</v>
      </c>
      <c r="F165" s="1202" t="s">
        <v>1633</v>
      </c>
      <c r="G165" s="540" t="s">
        <v>45</v>
      </c>
      <c r="H165" s="566"/>
      <c r="I165" s="574"/>
      <c r="J165" s="574"/>
      <c r="K165" s="574"/>
      <c r="L165" s="574"/>
      <c r="M165" s="271" t="s">
        <v>3459</v>
      </c>
    </row>
    <row r="166" spans="1:13" ht="39">
      <c r="A166" s="865">
        <v>8</v>
      </c>
      <c r="B166" s="864" t="s">
        <v>3736</v>
      </c>
      <c r="C166" s="865" t="s">
        <v>3737</v>
      </c>
      <c r="D166" s="866">
        <v>243636</v>
      </c>
      <c r="E166" s="867">
        <v>8000</v>
      </c>
      <c r="F166" s="1205" t="s">
        <v>2770</v>
      </c>
      <c r="G166" s="857" t="s">
        <v>45</v>
      </c>
      <c r="H166" s="865"/>
      <c r="I166" s="865"/>
      <c r="J166" s="865"/>
      <c r="K166" s="865"/>
      <c r="L166" s="865"/>
      <c r="M166" s="868" t="s">
        <v>3490</v>
      </c>
    </row>
    <row r="167" spans="1:13" ht="39">
      <c r="A167" s="865">
        <v>9</v>
      </c>
      <c r="B167" s="864" t="s">
        <v>2955</v>
      </c>
      <c r="C167" s="865" t="s">
        <v>3738</v>
      </c>
      <c r="D167" s="866">
        <v>243636</v>
      </c>
      <c r="E167" s="867">
        <v>5000</v>
      </c>
      <c r="F167" s="1205" t="s">
        <v>2770</v>
      </c>
      <c r="G167" s="857" t="s">
        <v>45</v>
      </c>
      <c r="H167" s="865"/>
      <c r="I167" s="865"/>
      <c r="J167" s="865"/>
      <c r="K167" s="865"/>
      <c r="L167" s="865"/>
      <c r="M167" s="868" t="s">
        <v>3490</v>
      </c>
    </row>
    <row r="168" spans="1:13" ht="38.25">
      <c r="A168" s="865">
        <v>10</v>
      </c>
      <c r="B168" s="846" t="s">
        <v>3937</v>
      </c>
      <c r="C168" s="847" t="s">
        <v>3936</v>
      </c>
      <c r="D168" s="866" t="s">
        <v>4020</v>
      </c>
      <c r="E168" s="848">
        <v>4200</v>
      </c>
      <c r="F168" s="1206" t="s">
        <v>3836</v>
      </c>
      <c r="G168" s="857" t="s">
        <v>45</v>
      </c>
      <c r="H168" s="865"/>
      <c r="I168" s="865"/>
      <c r="J168" s="865"/>
      <c r="K168" s="865"/>
      <c r="L168" s="865"/>
      <c r="M168" s="849" t="s">
        <v>3806</v>
      </c>
    </row>
    <row r="169" spans="1:13" ht="38.25">
      <c r="A169" s="865">
        <v>11</v>
      </c>
      <c r="B169" s="846" t="s">
        <v>3939</v>
      </c>
      <c r="C169" s="847" t="s">
        <v>3938</v>
      </c>
      <c r="D169" s="866" t="s">
        <v>4020</v>
      </c>
      <c r="E169" s="848">
        <v>6000</v>
      </c>
      <c r="F169" s="1206" t="s">
        <v>3836</v>
      </c>
      <c r="G169" s="857" t="s">
        <v>45</v>
      </c>
      <c r="H169" s="865"/>
      <c r="I169" s="865"/>
      <c r="J169" s="865"/>
      <c r="K169" s="865"/>
      <c r="L169" s="865"/>
      <c r="M169" s="849" t="s">
        <v>3806</v>
      </c>
    </row>
    <row r="170" spans="1:13" ht="85.5">
      <c r="A170" s="865">
        <v>12</v>
      </c>
      <c r="B170" s="831" t="s">
        <v>3941</v>
      </c>
      <c r="C170" s="869" t="s">
        <v>3940</v>
      </c>
      <c r="D170" s="866" t="s">
        <v>4021</v>
      </c>
      <c r="E170" s="832">
        <v>5882</v>
      </c>
      <c r="F170" s="1207" t="s">
        <v>3861</v>
      </c>
      <c r="G170" s="857" t="s">
        <v>45</v>
      </c>
      <c r="H170" s="865"/>
      <c r="I170" s="865"/>
      <c r="J170" s="865"/>
      <c r="K170" s="865"/>
      <c r="L170" s="865"/>
      <c r="M170" s="870" t="s">
        <v>3942</v>
      </c>
    </row>
    <row r="171" spans="1:13" ht="85.5">
      <c r="A171" s="865">
        <v>13</v>
      </c>
      <c r="B171" s="831" t="s">
        <v>3941</v>
      </c>
      <c r="C171" s="869" t="s">
        <v>3943</v>
      </c>
      <c r="D171" s="866" t="s">
        <v>4021</v>
      </c>
      <c r="E171" s="832">
        <v>5885</v>
      </c>
      <c r="F171" s="1207" t="s">
        <v>3861</v>
      </c>
      <c r="G171" s="857" t="s">
        <v>45</v>
      </c>
      <c r="H171" s="865"/>
      <c r="I171" s="865"/>
      <c r="J171" s="865"/>
      <c r="K171" s="865"/>
      <c r="L171" s="865"/>
      <c r="M171" s="871" t="s">
        <v>3942</v>
      </c>
    </row>
    <row r="172" spans="1:13" ht="85.5">
      <c r="A172" s="865">
        <v>14</v>
      </c>
      <c r="B172" s="831" t="s">
        <v>3941</v>
      </c>
      <c r="C172" s="869" t="s">
        <v>3944</v>
      </c>
      <c r="D172" s="866" t="s">
        <v>4021</v>
      </c>
      <c r="E172" s="832">
        <v>5885</v>
      </c>
      <c r="F172" s="1207" t="s">
        <v>3861</v>
      </c>
      <c r="G172" s="857" t="s">
        <v>45</v>
      </c>
      <c r="H172" s="865"/>
      <c r="I172" s="865"/>
      <c r="J172" s="865"/>
      <c r="K172" s="865"/>
      <c r="L172" s="865"/>
      <c r="M172" s="871" t="s">
        <v>3942</v>
      </c>
    </row>
    <row r="173" spans="1:13" ht="85.5">
      <c r="A173" s="865">
        <v>15</v>
      </c>
      <c r="B173" s="831" t="s">
        <v>3941</v>
      </c>
      <c r="C173" s="869" t="s">
        <v>3945</v>
      </c>
      <c r="D173" s="866" t="s">
        <v>4021</v>
      </c>
      <c r="E173" s="832">
        <v>5885</v>
      </c>
      <c r="F173" s="1207" t="s">
        <v>3861</v>
      </c>
      <c r="G173" s="857" t="s">
        <v>45</v>
      </c>
      <c r="H173" s="865"/>
      <c r="I173" s="865"/>
      <c r="J173" s="865"/>
      <c r="K173" s="865"/>
      <c r="L173" s="865"/>
      <c r="M173" s="871" t="s">
        <v>3942</v>
      </c>
    </row>
    <row r="174" spans="1:13" ht="85.5">
      <c r="A174" s="865">
        <v>16</v>
      </c>
      <c r="B174" s="831" t="s">
        <v>3947</v>
      </c>
      <c r="C174" s="869" t="s">
        <v>3946</v>
      </c>
      <c r="D174" s="866" t="s">
        <v>4021</v>
      </c>
      <c r="E174" s="832">
        <v>5885</v>
      </c>
      <c r="F174" s="1207" t="s">
        <v>3861</v>
      </c>
      <c r="G174" s="857" t="s">
        <v>45</v>
      </c>
      <c r="H174" s="865"/>
      <c r="I174" s="865"/>
      <c r="J174" s="865"/>
      <c r="K174" s="865"/>
      <c r="L174" s="865"/>
      <c r="M174" s="871" t="s">
        <v>3942</v>
      </c>
    </row>
    <row r="175" spans="1:13" ht="85.5">
      <c r="A175" s="865">
        <v>17</v>
      </c>
      <c r="B175" s="831" t="s">
        <v>3941</v>
      </c>
      <c r="C175" s="869" t="s">
        <v>3948</v>
      </c>
      <c r="D175" s="866" t="s">
        <v>4021</v>
      </c>
      <c r="E175" s="832">
        <v>5885</v>
      </c>
      <c r="F175" s="1207" t="s">
        <v>3861</v>
      </c>
      <c r="G175" s="857" t="s">
        <v>45</v>
      </c>
      <c r="H175" s="865"/>
      <c r="I175" s="865"/>
      <c r="J175" s="865"/>
      <c r="K175" s="865"/>
      <c r="L175" s="865"/>
      <c r="M175" s="871" t="s">
        <v>3942</v>
      </c>
    </row>
    <row r="176" spans="1:13" ht="85.5">
      <c r="A176" s="865">
        <v>18</v>
      </c>
      <c r="B176" s="831" t="s">
        <v>3941</v>
      </c>
      <c r="C176" s="869" t="s">
        <v>3949</v>
      </c>
      <c r="D176" s="866" t="s">
        <v>4021</v>
      </c>
      <c r="E176" s="832">
        <v>5885</v>
      </c>
      <c r="F176" s="1207" t="s">
        <v>3861</v>
      </c>
      <c r="G176" s="857" t="s">
        <v>45</v>
      </c>
      <c r="H176" s="865"/>
      <c r="I176" s="865"/>
      <c r="J176" s="865"/>
      <c r="K176" s="865"/>
      <c r="L176" s="865"/>
      <c r="M176" s="871" t="s">
        <v>3942</v>
      </c>
    </row>
    <row r="177" spans="1:13" ht="85.5">
      <c r="A177" s="865">
        <v>19</v>
      </c>
      <c r="B177" s="831" t="s">
        <v>3941</v>
      </c>
      <c r="C177" s="869" t="s">
        <v>3950</v>
      </c>
      <c r="D177" s="866" t="s">
        <v>4021</v>
      </c>
      <c r="E177" s="832">
        <v>5885</v>
      </c>
      <c r="F177" s="1207" t="s">
        <v>3861</v>
      </c>
      <c r="G177" s="857" t="s">
        <v>45</v>
      </c>
      <c r="H177" s="865"/>
      <c r="I177" s="865"/>
      <c r="J177" s="865"/>
      <c r="K177" s="865"/>
      <c r="L177" s="865"/>
      <c r="M177" s="871" t="s">
        <v>3942</v>
      </c>
    </row>
    <row r="178" spans="1:13" ht="85.5">
      <c r="A178" s="865">
        <v>20</v>
      </c>
      <c r="B178" s="831" t="s">
        <v>3941</v>
      </c>
      <c r="C178" s="869" t="s">
        <v>3951</v>
      </c>
      <c r="D178" s="866" t="s">
        <v>4021</v>
      </c>
      <c r="E178" s="832">
        <v>5885</v>
      </c>
      <c r="F178" s="1207" t="s">
        <v>3861</v>
      </c>
      <c r="G178" s="857" t="s">
        <v>45</v>
      </c>
      <c r="H178" s="865"/>
      <c r="I178" s="865"/>
      <c r="J178" s="865"/>
      <c r="K178" s="865"/>
      <c r="L178" s="865"/>
      <c r="M178" s="871" t="s">
        <v>3942</v>
      </c>
    </row>
    <row r="179" spans="1:13" ht="85.5">
      <c r="A179" s="865">
        <v>21</v>
      </c>
      <c r="B179" s="831" t="s">
        <v>3941</v>
      </c>
      <c r="C179" s="869" t="s">
        <v>3952</v>
      </c>
      <c r="D179" s="866" t="s">
        <v>4021</v>
      </c>
      <c r="E179" s="832">
        <v>5885</v>
      </c>
      <c r="F179" s="1207" t="s">
        <v>3861</v>
      </c>
      <c r="G179" s="857" t="s">
        <v>45</v>
      </c>
      <c r="H179" s="865"/>
      <c r="I179" s="865"/>
      <c r="J179" s="865"/>
      <c r="K179" s="865"/>
      <c r="L179" s="865"/>
      <c r="M179" s="871" t="s">
        <v>3942</v>
      </c>
    </row>
    <row r="180" spans="1:13" ht="85.5">
      <c r="A180" s="865">
        <v>22</v>
      </c>
      <c r="B180" s="831" t="s">
        <v>3941</v>
      </c>
      <c r="C180" s="869" t="s">
        <v>3953</v>
      </c>
      <c r="D180" s="866" t="s">
        <v>4021</v>
      </c>
      <c r="E180" s="832">
        <v>5885</v>
      </c>
      <c r="F180" s="1207" t="s">
        <v>3861</v>
      </c>
      <c r="G180" s="857" t="s">
        <v>45</v>
      </c>
      <c r="H180" s="865"/>
      <c r="I180" s="865"/>
      <c r="J180" s="865"/>
      <c r="K180" s="865"/>
      <c r="L180" s="865"/>
      <c r="M180" s="871" t="s">
        <v>3942</v>
      </c>
    </row>
    <row r="181" spans="1:13" ht="85.5">
      <c r="A181" s="865">
        <v>23</v>
      </c>
      <c r="B181" s="831" t="s">
        <v>3941</v>
      </c>
      <c r="C181" s="869" t="s">
        <v>3954</v>
      </c>
      <c r="D181" s="866" t="s">
        <v>4021</v>
      </c>
      <c r="E181" s="832">
        <v>5885</v>
      </c>
      <c r="F181" s="1207" t="s">
        <v>3861</v>
      </c>
      <c r="G181" s="857" t="s">
        <v>45</v>
      </c>
      <c r="H181" s="865"/>
      <c r="I181" s="865"/>
      <c r="J181" s="865"/>
      <c r="K181" s="865"/>
      <c r="L181" s="865"/>
      <c r="M181" s="871" t="s">
        <v>3942</v>
      </c>
    </row>
    <row r="182" spans="1:13" ht="85.5">
      <c r="A182" s="865">
        <v>24</v>
      </c>
      <c r="B182" s="831" t="s">
        <v>3941</v>
      </c>
      <c r="C182" s="869" t="s">
        <v>3955</v>
      </c>
      <c r="D182" s="866" t="s">
        <v>4021</v>
      </c>
      <c r="E182" s="832">
        <v>5885</v>
      </c>
      <c r="F182" s="1207" t="s">
        <v>3861</v>
      </c>
      <c r="G182" s="857" t="s">
        <v>45</v>
      </c>
      <c r="H182" s="865"/>
      <c r="I182" s="865"/>
      <c r="J182" s="865"/>
      <c r="K182" s="865"/>
      <c r="L182" s="865"/>
      <c r="M182" s="871" t="s">
        <v>3942</v>
      </c>
    </row>
    <row r="183" spans="1:13" ht="85.5">
      <c r="A183" s="865">
        <v>25</v>
      </c>
      <c r="B183" s="831" t="s">
        <v>3941</v>
      </c>
      <c r="C183" s="869" t="s">
        <v>3956</v>
      </c>
      <c r="D183" s="866" t="s">
        <v>4021</v>
      </c>
      <c r="E183" s="832">
        <v>5885</v>
      </c>
      <c r="F183" s="1207" t="s">
        <v>3861</v>
      </c>
      <c r="G183" s="857" t="s">
        <v>45</v>
      </c>
      <c r="H183" s="865"/>
      <c r="I183" s="865"/>
      <c r="J183" s="865"/>
      <c r="K183" s="865"/>
      <c r="L183" s="865"/>
      <c r="M183" s="871" t="s">
        <v>3942</v>
      </c>
    </row>
    <row r="184" spans="1:13" ht="85.5">
      <c r="A184" s="865">
        <v>26</v>
      </c>
      <c r="B184" s="831" t="s">
        <v>3941</v>
      </c>
      <c r="C184" s="869" t="s">
        <v>3957</v>
      </c>
      <c r="D184" s="866" t="s">
        <v>4021</v>
      </c>
      <c r="E184" s="832">
        <v>5885</v>
      </c>
      <c r="F184" s="1207" t="s">
        <v>3861</v>
      </c>
      <c r="G184" s="857" t="s">
        <v>45</v>
      </c>
      <c r="H184" s="865"/>
      <c r="I184" s="865"/>
      <c r="J184" s="865"/>
      <c r="K184" s="865"/>
      <c r="L184" s="865"/>
      <c r="M184" s="871" t="s">
        <v>3942</v>
      </c>
    </row>
    <row r="185" spans="1:13" ht="85.5">
      <c r="A185" s="865">
        <v>27</v>
      </c>
      <c r="B185" s="831" t="s">
        <v>3941</v>
      </c>
      <c r="C185" s="869" t="s">
        <v>3958</v>
      </c>
      <c r="D185" s="866" t="s">
        <v>4021</v>
      </c>
      <c r="E185" s="832">
        <v>5885</v>
      </c>
      <c r="F185" s="1207" t="s">
        <v>3861</v>
      </c>
      <c r="G185" s="857" t="s">
        <v>45</v>
      </c>
      <c r="H185" s="865"/>
      <c r="I185" s="865"/>
      <c r="J185" s="865"/>
      <c r="K185" s="865"/>
      <c r="L185" s="865"/>
      <c r="M185" s="871" t="s">
        <v>3942</v>
      </c>
    </row>
    <row r="186" spans="1:13" ht="19.5">
      <c r="A186" s="906"/>
      <c r="B186" s="615"/>
      <c r="C186" s="614"/>
      <c r="D186" s="84"/>
      <c r="E186" s="616"/>
      <c r="F186" s="614"/>
      <c r="G186" s="82"/>
      <c r="H186" s="614"/>
      <c r="I186" s="614"/>
      <c r="J186" s="614"/>
      <c r="K186" s="614"/>
      <c r="L186" s="614"/>
      <c r="M186" s="526"/>
    </row>
    <row r="187" spans="1:13" s="1067" customFormat="1" ht="20.25" thickBot="1">
      <c r="A187" s="909">
        <v>27</v>
      </c>
      <c r="B187" s="1056"/>
      <c r="C187" s="907"/>
      <c r="D187" s="1065" t="s">
        <v>64</v>
      </c>
      <c r="E187" s="1066">
        <f>SUM(E159:E186)</f>
        <v>139937</v>
      </c>
      <c r="F187" s="909"/>
      <c r="G187" s="908"/>
      <c r="H187" s="908"/>
      <c r="I187" s="908"/>
      <c r="J187" s="908"/>
      <c r="K187" s="908"/>
      <c r="L187" s="908"/>
      <c r="M187" s="913"/>
    </row>
    <row r="188" spans="1:13" ht="20.25" thickTop="1">
      <c r="A188" s="1"/>
      <c r="B188" s="183"/>
      <c r="C188" s="158"/>
      <c r="D188" s="188"/>
      <c r="E188" s="190"/>
      <c r="F188" s="1"/>
      <c r="G188" s="2"/>
      <c r="H188" s="2"/>
      <c r="I188" s="2"/>
      <c r="J188" s="2"/>
      <c r="K188" s="2"/>
      <c r="L188" s="2"/>
      <c r="M188" s="211"/>
    </row>
    <row r="189" spans="1:13" ht="19.5">
      <c r="A189" s="1"/>
      <c r="B189" s="178" t="s">
        <v>1719</v>
      </c>
      <c r="C189" s="158"/>
      <c r="D189" s="158"/>
      <c r="E189" s="185"/>
      <c r="F189" s="186"/>
      <c r="G189" s="2"/>
      <c r="H189" s="2"/>
      <c r="I189" s="2"/>
      <c r="J189" s="2"/>
      <c r="K189" s="2"/>
      <c r="L189" s="2"/>
      <c r="M189" s="211"/>
    </row>
    <row r="190" spans="1:13" ht="19.5">
      <c r="A190" s="1">
        <v>1</v>
      </c>
      <c r="B190" s="183" t="s">
        <v>2616</v>
      </c>
      <c r="C190" s="158" t="s">
        <v>2499</v>
      </c>
      <c r="D190" s="191">
        <v>20489</v>
      </c>
      <c r="E190" s="1108">
        <v>4545</v>
      </c>
      <c r="F190" s="1185" t="s">
        <v>2117</v>
      </c>
      <c r="G190" s="194" t="s">
        <v>45</v>
      </c>
      <c r="H190" s="2"/>
      <c r="I190" s="2"/>
      <c r="J190" s="2"/>
      <c r="K190" s="2"/>
      <c r="L190" s="2"/>
      <c r="M190" s="211"/>
    </row>
    <row r="191" spans="1:13" ht="19.5">
      <c r="A191" s="1">
        <v>2</v>
      </c>
      <c r="B191" s="183" t="s">
        <v>2377</v>
      </c>
      <c r="C191" s="158" t="s">
        <v>2496</v>
      </c>
      <c r="D191" s="191">
        <v>21382</v>
      </c>
      <c r="E191" s="185">
        <v>4700</v>
      </c>
      <c r="F191" s="1158" t="s">
        <v>1583</v>
      </c>
      <c r="G191" s="194" t="s">
        <v>45</v>
      </c>
      <c r="H191" s="2"/>
      <c r="I191" s="2"/>
      <c r="J191" s="2"/>
      <c r="K191" s="2"/>
      <c r="L191" s="2"/>
      <c r="M191" s="211"/>
    </row>
    <row r="192" spans="1:13" ht="19.5">
      <c r="A192" s="155">
        <v>3</v>
      </c>
      <c r="B192" s="193" t="s">
        <v>737</v>
      </c>
      <c r="C192" s="1" t="s">
        <v>1720</v>
      </c>
      <c r="D192" s="176">
        <v>21435</v>
      </c>
      <c r="E192" s="181">
        <v>4700</v>
      </c>
      <c r="F192" s="1127" t="s">
        <v>2433</v>
      </c>
      <c r="G192" s="194" t="s">
        <v>45</v>
      </c>
      <c r="H192" s="2"/>
      <c r="I192" s="2"/>
      <c r="J192" s="2"/>
      <c r="K192" s="2"/>
      <c r="L192" s="2"/>
      <c r="M192" s="211" t="s">
        <v>3547</v>
      </c>
    </row>
    <row r="193" spans="1:13" s="1067" customFormat="1" ht="20.25" thickBot="1">
      <c r="A193" s="909">
        <v>3</v>
      </c>
      <c r="B193" s="1056"/>
      <c r="C193" s="907"/>
      <c r="D193" s="1065" t="s">
        <v>64</v>
      </c>
      <c r="E193" s="1066">
        <f>SUM(E190:E192)</f>
        <v>13945</v>
      </c>
      <c r="F193" s="909"/>
      <c r="G193" s="908"/>
      <c r="H193" s="908"/>
      <c r="I193" s="908"/>
      <c r="J193" s="908"/>
      <c r="K193" s="908"/>
      <c r="L193" s="908"/>
      <c r="M193" s="913"/>
    </row>
    <row r="194" spans="1:13" ht="21" thickTop="1" thickBot="1">
      <c r="A194" s="1"/>
      <c r="B194" s="183"/>
      <c r="C194" s="158"/>
      <c r="D194" s="188"/>
      <c r="E194" s="189"/>
      <c r="F194" s="1"/>
      <c r="G194" s="2"/>
      <c r="H194" s="2"/>
      <c r="I194" s="2"/>
      <c r="J194" s="2"/>
      <c r="K194" s="2"/>
      <c r="L194" s="2"/>
      <c r="M194" s="211"/>
    </row>
    <row r="195" spans="1:13" ht="21" thickTop="1" thickBot="1">
      <c r="A195" s="1"/>
      <c r="B195" s="183" t="s">
        <v>4022</v>
      </c>
      <c r="C195" s="158"/>
      <c r="D195" s="188"/>
      <c r="E195" s="189"/>
      <c r="F195" s="1"/>
      <c r="G195" s="2"/>
      <c r="H195" s="2"/>
      <c r="I195" s="2"/>
      <c r="J195" s="2"/>
      <c r="K195" s="2"/>
      <c r="L195" s="2"/>
      <c r="M195" s="211"/>
    </row>
    <row r="196" spans="1:13" ht="21" thickTop="1" thickBot="1">
      <c r="A196" s="1">
        <v>1</v>
      </c>
      <c r="B196" s="704" t="s">
        <v>3962</v>
      </c>
      <c r="C196" s="703" t="s">
        <v>3961</v>
      </c>
      <c r="D196" s="188" t="s">
        <v>4023</v>
      </c>
      <c r="E196" s="189">
        <v>8500</v>
      </c>
      <c r="F196" s="1127" t="s">
        <v>2433</v>
      </c>
      <c r="G196" s="2"/>
      <c r="H196" s="2"/>
      <c r="I196" s="2"/>
      <c r="J196" s="2"/>
      <c r="K196" s="2"/>
      <c r="L196" s="2"/>
      <c r="M196" s="211" t="s">
        <v>4024</v>
      </c>
    </row>
    <row r="197" spans="1:13" s="1067" customFormat="1" ht="21" thickTop="1" thickBot="1">
      <c r="A197" s="909">
        <f>SUM(A196)</f>
        <v>1</v>
      </c>
      <c r="B197" s="1056"/>
      <c r="C197" s="907"/>
      <c r="D197" s="1065" t="s">
        <v>64</v>
      </c>
      <c r="E197" s="1066">
        <f>SUM(E196)</f>
        <v>8500</v>
      </c>
      <c r="F197" s="909"/>
      <c r="G197" s="908"/>
      <c r="H197" s="908"/>
      <c r="I197" s="908"/>
      <c r="J197" s="908"/>
      <c r="K197" s="908"/>
      <c r="L197" s="908"/>
      <c r="M197" s="913"/>
    </row>
    <row r="198" spans="1:13" ht="21" thickTop="1" thickBot="1">
      <c r="A198" s="1"/>
      <c r="B198" s="183"/>
      <c r="C198" s="158"/>
      <c r="D198" s="188"/>
      <c r="E198" s="189"/>
      <c r="F198" s="1"/>
      <c r="G198" s="2"/>
      <c r="H198" s="2"/>
      <c r="I198" s="2"/>
      <c r="J198" s="2"/>
      <c r="K198" s="2"/>
      <c r="L198" s="2"/>
      <c r="M198" s="211"/>
    </row>
    <row r="199" spans="1:13" ht="21" thickTop="1" thickBot="1">
      <c r="A199" s="1"/>
      <c r="B199" s="183"/>
      <c r="C199" s="158"/>
      <c r="D199" s="188"/>
      <c r="E199" s="189"/>
      <c r="F199" s="1"/>
      <c r="G199" s="2"/>
      <c r="H199" s="2"/>
      <c r="I199" s="2"/>
      <c r="J199" s="2"/>
      <c r="K199" s="2"/>
      <c r="L199" s="2"/>
      <c r="M199" s="211"/>
    </row>
    <row r="200" spans="1:13" ht="20.25" thickTop="1">
      <c r="A200" s="194"/>
      <c r="B200" s="193"/>
      <c r="C200" s="1"/>
      <c r="D200" s="188"/>
      <c r="E200" s="845"/>
      <c r="F200" s="194"/>
      <c r="G200" s="194"/>
      <c r="H200" s="194"/>
      <c r="I200" s="194"/>
      <c r="J200" s="194"/>
      <c r="K200" s="194"/>
      <c r="L200" s="194"/>
      <c r="M200" s="210"/>
    </row>
    <row r="201" spans="1:13" ht="19.5">
      <c r="A201" s="194"/>
      <c r="B201" s="193" t="s">
        <v>4027</v>
      </c>
      <c r="C201" s="1"/>
      <c r="D201" s="188"/>
      <c r="E201" s="845"/>
      <c r="F201" s="194"/>
      <c r="G201" s="194"/>
      <c r="H201" s="194"/>
      <c r="I201" s="194"/>
      <c r="J201" s="194"/>
      <c r="K201" s="194"/>
      <c r="L201" s="194"/>
      <c r="M201" s="210"/>
    </row>
    <row r="202" spans="1:13" ht="19.5">
      <c r="A202" s="1"/>
      <c r="B202" s="183" t="s">
        <v>1658</v>
      </c>
      <c r="C202" s="158"/>
      <c r="D202" s="188"/>
      <c r="E202" s="195"/>
      <c r="F202" s="1"/>
      <c r="G202" s="2"/>
      <c r="H202" s="2"/>
      <c r="I202" s="2"/>
      <c r="J202" s="2"/>
      <c r="K202" s="2"/>
      <c r="L202" s="2"/>
      <c r="M202" s="211"/>
    </row>
    <row r="203" spans="1:13" ht="28.5">
      <c r="A203" s="857">
        <v>1</v>
      </c>
      <c r="B203" s="854" t="s">
        <v>3967</v>
      </c>
      <c r="C203" s="855" t="s">
        <v>3966</v>
      </c>
      <c r="D203" s="862" t="s">
        <v>4026</v>
      </c>
      <c r="E203" s="856">
        <v>9000</v>
      </c>
      <c r="F203" s="1128" t="s">
        <v>2433</v>
      </c>
      <c r="G203" s="863"/>
      <c r="H203" s="863"/>
      <c r="I203" s="863"/>
      <c r="J203" s="863"/>
      <c r="K203" s="863"/>
      <c r="L203" s="863"/>
      <c r="M203" s="860"/>
    </row>
    <row r="204" spans="1:13" s="1067" customFormat="1" ht="19.5">
      <c r="A204" s="909">
        <v>1</v>
      </c>
      <c r="B204" s="1056"/>
      <c r="C204" s="907"/>
      <c r="D204" s="1065"/>
      <c r="E204" s="1071">
        <f>SUM(E203)</f>
        <v>9000</v>
      </c>
      <c r="F204" s="909"/>
      <c r="G204" s="908"/>
      <c r="H204" s="908"/>
      <c r="I204" s="908"/>
      <c r="J204" s="908"/>
      <c r="K204" s="908"/>
      <c r="L204" s="908"/>
      <c r="M204" s="913"/>
    </row>
    <row r="205" spans="1:13" ht="19.5">
      <c r="A205" s="1"/>
      <c r="B205" s="183"/>
      <c r="C205" s="158"/>
      <c r="D205" s="188"/>
      <c r="E205" s="195"/>
      <c r="F205" s="1"/>
      <c r="G205" s="2"/>
      <c r="H205" s="2"/>
      <c r="I205" s="2"/>
      <c r="J205" s="2"/>
      <c r="K205" s="2"/>
      <c r="L205" s="2"/>
      <c r="M205" s="211"/>
    </row>
    <row r="206" spans="1:13" ht="19.5">
      <c r="A206" s="1"/>
      <c r="B206" s="183"/>
      <c r="C206" s="158"/>
      <c r="D206" s="188"/>
      <c r="E206" s="195"/>
      <c r="F206" s="1"/>
      <c r="G206" s="2"/>
      <c r="H206" s="2"/>
      <c r="I206" s="2"/>
      <c r="J206" s="2"/>
      <c r="K206" s="2"/>
      <c r="L206" s="2"/>
      <c r="M206" s="211"/>
    </row>
    <row r="207" spans="1:13" ht="19.5">
      <c r="A207" s="1"/>
      <c r="B207" s="178" t="s">
        <v>1646</v>
      </c>
      <c r="C207" s="158"/>
      <c r="D207" s="188"/>
      <c r="E207" s="180"/>
      <c r="F207" s="1"/>
      <c r="G207" s="2"/>
      <c r="H207" s="2"/>
      <c r="I207" s="2"/>
      <c r="J207" s="2"/>
      <c r="K207" s="2"/>
      <c r="L207" s="2"/>
      <c r="M207" s="211"/>
    </row>
    <row r="208" spans="1:13" ht="19.5">
      <c r="A208" s="1"/>
      <c r="B208" s="178" t="s">
        <v>2626</v>
      </c>
      <c r="C208" s="158"/>
      <c r="D208" s="158"/>
      <c r="E208" s="185"/>
      <c r="F208" s="186"/>
      <c r="G208" s="2"/>
      <c r="H208" s="2"/>
      <c r="I208" s="2"/>
      <c r="J208" s="2"/>
      <c r="K208" s="2"/>
      <c r="L208" s="2"/>
      <c r="M208" s="211"/>
    </row>
    <row r="209" spans="1:13" s="36" customFormat="1" ht="19.5">
      <c r="A209" s="1">
        <v>1</v>
      </c>
      <c r="B209" s="2" t="s">
        <v>2624</v>
      </c>
      <c r="C209" s="1" t="s">
        <v>2625</v>
      </c>
      <c r="D209" s="4">
        <v>20178</v>
      </c>
      <c r="E209" s="57">
        <v>4200</v>
      </c>
      <c r="F209" s="1127" t="s">
        <v>2433</v>
      </c>
      <c r="G209" s="194" t="s">
        <v>45</v>
      </c>
      <c r="H209" s="1"/>
      <c r="I209" s="1"/>
      <c r="J209" s="1"/>
      <c r="K209" s="1"/>
      <c r="L209" s="1"/>
      <c r="M209" s="211"/>
    </row>
    <row r="210" spans="1:13" s="1067" customFormat="1" ht="20.25" thickBot="1">
      <c r="A210" s="909">
        <v>1</v>
      </c>
      <c r="B210" s="1056"/>
      <c r="C210" s="907"/>
      <c r="D210" s="1065" t="s">
        <v>64</v>
      </c>
      <c r="E210" s="1066">
        <f>SUM(E209)</f>
        <v>4200</v>
      </c>
      <c r="F210" s="909"/>
      <c r="G210" s="908"/>
      <c r="H210" s="908"/>
      <c r="I210" s="908"/>
      <c r="J210" s="908"/>
      <c r="K210" s="908"/>
      <c r="L210" s="908"/>
      <c r="M210" s="913"/>
    </row>
    <row r="211" spans="1:13" ht="20.25" thickTop="1">
      <c r="A211" s="1"/>
      <c r="B211" s="183"/>
      <c r="C211" s="158"/>
      <c r="D211" s="188"/>
      <c r="E211" s="190"/>
      <c r="F211" s="1"/>
      <c r="G211" s="2"/>
      <c r="H211" s="2"/>
      <c r="I211" s="2"/>
      <c r="J211" s="2"/>
      <c r="K211" s="2"/>
      <c r="L211" s="2"/>
      <c r="M211" s="211"/>
    </row>
    <row r="212" spans="1:13" ht="19.5">
      <c r="A212" s="1"/>
      <c r="B212" s="183"/>
      <c r="C212" s="158"/>
      <c r="D212" s="188"/>
      <c r="E212" s="180"/>
      <c r="F212" s="1"/>
      <c r="G212" s="2"/>
      <c r="H212" s="2"/>
      <c r="I212" s="2"/>
      <c r="J212" s="2"/>
      <c r="K212" s="2"/>
      <c r="L212" s="2"/>
      <c r="M212" s="211"/>
    </row>
    <row r="213" spans="1:13" ht="19.5">
      <c r="A213" s="1"/>
      <c r="B213" s="178" t="s">
        <v>1950</v>
      </c>
      <c r="C213" s="158"/>
      <c r="D213" s="188"/>
      <c r="E213" s="195"/>
      <c r="F213" s="1"/>
      <c r="G213" s="2"/>
      <c r="H213" s="2"/>
      <c r="I213" s="2"/>
      <c r="J213" s="2"/>
      <c r="K213" s="2"/>
      <c r="L213" s="2"/>
      <c r="M213" s="211"/>
    </row>
    <row r="214" spans="1:13" ht="19.5">
      <c r="A214" s="1"/>
      <c r="B214" s="178" t="s">
        <v>1204</v>
      </c>
      <c r="C214" s="158"/>
      <c r="D214" s="158"/>
      <c r="E214" s="185"/>
      <c r="F214" s="186"/>
      <c r="G214" s="2"/>
      <c r="H214" s="2"/>
      <c r="I214" s="2"/>
      <c r="J214" s="2"/>
      <c r="K214" s="2"/>
      <c r="L214" s="2"/>
      <c r="M214" s="211"/>
    </row>
    <row r="215" spans="1:13" ht="19.5">
      <c r="A215" s="155">
        <v>1</v>
      </c>
      <c r="B215" s="175" t="s">
        <v>2438</v>
      </c>
      <c r="C215" s="1" t="s">
        <v>2469</v>
      </c>
      <c r="D215" s="176">
        <v>20121</v>
      </c>
      <c r="E215" s="181">
        <v>3100</v>
      </c>
      <c r="F215" s="1170" t="s">
        <v>1265</v>
      </c>
      <c r="G215" s="194" t="s">
        <v>45</v>
      </c>
      <c r="H215" s="2"/>
      <c r="I215" s="2"/>
      <c r="J215" s="2"/>
      <c r="K215" s="2"/>
      <c r="L215" s="2"/>
      <c r="M215" s="211" t="s">
        <v>3477</v>
      </c>
    </row>
    <row r="216" spans="1:13" ht="19.5">
      <c r="A216" s="155">
        <v>2</v>
      </c>
      <c r="B216" s="175" t="s">
        <v>2439</v>
      </c>
      <c r="C216" s="1" t="s">
        <v>2470</v>
      </c>
      <c r="D216" s="196">
        <v>20251</v>
      </c>
      <c r="E216" s="181">
        <v>3190</v>
      </c>
      <c r="F216" s="1170" t="s">
        <v>1265</v>
      </c>
      <c r="G216" s="194" t="s">
        <v>45</v>
      </c>
      <c r="H216" s="2"/>
      <c r="I216" s="2"/>
      <c r="J216" s="2"/>
      <c r="K216" s="2"/>
      <c r="L216" s="2"/>
      <c r="M216" s="211"/>
    </row>
    <row r="217" spans="1:13" ht="19.5">
      <c r="A217" s="155">
        <v>3</v>
      </c>
      <c r="B217" s="175" t="s">
        <v>2439</v>
      </c>
      <c r="C217" s="1" t="s">
        <v>2471</v>
      </c>
      <c r="D217" s="196">
        <v>20251</v>
      </c>
      <c r="E217" s="181">
        <v>3190</v>
      </c>
      <c r="F217" s="1170" t="s">
        <v>1265</v>
      </c>
      <c r="G217" s="194" t="s">
        <v>45</v>
      </c>
      <c r="H217" s="2"/>
      <c r="I217" s="2"/>
      <c r="J217" s="2"/>
      <c r="K217" s="2"/>
      <c r="L217" s="2"/>
      <c r="M217" s="211"/>
    </row>
    <row r="218" spans="1:13" ht="19.5">
      <c r="A218" s="155">
        <v>4</v>
      </c>
      <c r="B218" s="175" t="s">
        <v>2439</v>
      </c>
      <c r="C218" s="1" t="s">
        <v>2472</v>
      </c>
      <c r="D218" s="196">
        <v>20251</v>
      </c>
      <c r="E218" s="181">
        <v>3190</v>
      </c>
      <c r="F218" s="1170" t="s">
        <v>1265</v>
      </c>
      <c r="G218" s="194" t="s">
        <v>45</v>
      </c>
      <c r="H218" s="2"/>
      <c r="I218" s="2"/>
      <c r="J218" s="2"/>
      <c r="K218" s="2"/>
      <c r="L218" s="2"/>
      <c r="M218" s="211"/>
    </row>
    <row r="219" spans="1:13" ht="19.5">
      <c r="A219" s="155">
        <v>5</v>
      </c>
      <c r="B219" s="175" t="s">
        <v>2439</v>
      </c>
      <c r="C219" s="1" t="s">
        <v>2473</v>
      </c>
      <c r="D219" s="196">
        <v>20251</v>
      </c>
      <c r="E219" s="181">
        <v>3190</v>
      </c>
      <c r="F219" s="1170" t="s">
        <v>1265</v>
      </c>
      <c r="G219" s="194" t="s">
        <v>45</v>
      </c>
      <c r="H219" s="2"/>
      <c r="I219" s="2"/>
      <c r="J219" s="2"/>
      <c r="K219" s="2"/>
      <c r="L219" s="2"/>
      <c r="M219" s="211"/>
    </row>
    <row r="220" spans="1:13" ht="19.5">
      <c r="A220" s="155">
        <v>6</v>
      </c>
      <c r="B220" s="175" t="s">
        <v>2439</v>
      </c>
      <c r="C220" s="1" t="s">
        <v>2474</v>
      </c>
      <c r="D220" s="196">
        <v>20251</v>
      </c>
      <c r="E220" s="181">
        <v>3190</v>
      </c>
      <c r="F220" s="1170" t="s">
        <v>1265</v>
      </c>
      <c r="G220" s="194" t="s">
        <v>45</v>
      </c>
      <c r="H220" s="2"/>
      <c r="I220" s="2"/>
      <c r="J220" s="2"/>
      <c r="K220" s="2"/>
      <c r="L220" s="2"/>
      <c r="M220" s="211"/>
    </row>
    <row r="221" spans="1:13" ht="19.5">
      <c r="A221" s="155">
        <v>7</v>
      </c>
      <c r="B221" s="175" t="s">
        <v>2439</v>
      </c>
      <c r="C221" s="1" t="s">
        <v>2475</v>
      </c>
      <c r="D221" s="196">
        <v>20251</v>
      </c>
      <c r="E221" s="181">
        <v>3190</v>
      </c>
      <c r="F221" s="1170" t="s">
        <v>1265</v>
      </c>
      <c r="G221" s="194" t="s">
        <v>45</v>
      </c>
      <c r="H221" s="2"/>
      <c r="I221" s="2"/>
      <c r="J221" s="2"/>
      <c r="K221" s="2"/>
      <c r="L221" s="2"/>
      <c r="M221" s="211"/>
    </row>
    <row r="222" spans="1:13" ht="19.5">
      <c r="A222" s="155">
        <v>8</v>
      </c>
      <c r="B222" s="175" t="s">
        <v>2439</v>
      </c>
      <c r="C222" s="1" t="s">
        <v>2476</v>
      </c>
      <c r="D222" s="196">
        <v>20251</v>
      </c>
      <c r="E222" s="181">
        <v>3190</v>
      </c>
      <c r="F222" s="1170" t="s">
        <v>1265</v>
      </c>
      <c r="G222" s="194" t="s">
        <v>45</v>
      </c>
      <c r="H222" s="2"/>
      <c r="I222" s="2"/>
      <c r="J222" s="2"/>
      <c r="K222" s="2"/>
      <c r="L222" s="2"/>
      <c r="M222" s="211"/>
    </row>
    <row r="223" spans="1:13" ht="19.5">
      <c r="A223" s="155">
        <v>9</v>
      </c>
      <c r="B223" s="175" t="s">
        <v>2439</v>
      </c>
      <c r="C223" s="1" t="s">
        <v>2477</v>
      </c>
      <c r="D223" s="196">
        <v>20251</v>
      </c>
      <c r="E223" s="181">
        <v>3190</v>
      </c>
      <c r="F223" s="1170" t="s">
        <v>1265</v>
      </c>
      <c r="G223" s="194" t="s">
        <v>45</v>
      </c>
      <c r="H223" s="2"/>
      <c r="I223" s="2"/>
      <c r="J223" s="2"/>
      <c r="K223" s="2"/>
      <c r="L223" s="2"/>
      <c r="M223" s="211"/>
    </row>
    <row r="224" spans="1:13" ht="19.5">
      <c r="A224" s="155">
        <v>10</v>
      </c>
      <c r="B224" s="175" t="s">
        <v>2439</v>
      </c>
      <c r="C224" s="1" t="s">
        <v>2478</v>
      </c>
      <c r="D224" s="196">
        <v>20251</v>
      </c>
      <c r="E224" s="181">
        <v>3190</v>
      </c>
      <c r="F224" s="1170" t="s">
        <v>1265</v>
      </c>
      <c r="G224" s="194" t="s">
        <v>45</v>
      </c>
      <c r="H224" s="2"/>
      <c r="I224" s="2"/>
      <c r="J224" s="2"/>
      <c r="K224" s="2"/>
      <c r="L224" s="2"/>
      <c r="M224" s="211"/>
    </row>
    <row r="225" spans="1:14" ht="19.5">
      <c r="A225" s="155">
        <v>11</v>
      </c>
      <c r="B225" s="175" t="s">
        <v>2439</v>
      </c>
      <c r="C225" s="1" t="s">
        <v>2479</v>
      </c>
      <c r="D225" s="196">
        <v>20251</v>
      </c>
      <c r="E225" s="181">
        <v>3190</v>
      </c>
      <c r="F225" s="1170" t="s">
        <v>1265</v>
      </c>
      <c r="G225" s="194" t="s">
        <v>45</v>
      </c>
      <c r="H225" s="2"/>
      <c r="I225" s="2"/>
      <c r="J225" s="2"/>
      <c r="K225" s="2"/>
      <c r="L225" s="2"/>
      <c r="M225" s="211"/>
    </row>
    <row r="226" spans="1:14" ht="19.5">
      <c r="A226" s="155">
        <v>12</v>
      </c>
      <c r="B226" s="175" t="s">
        <v>2439</v>
      </c>
      <c r="C226" s="1" t="s">
        <v>2480</v>
      </c>
      <c r="D226" s="196">
        <v>20251</v>
      </c>
      <c r="E226" s="181">
        <v>3190</v>
      </c>
      <c r="F226" s="1170" t="s">
        <v>1265</v>
      </c>
      <c r="G226" s="194" t="s">
        <v>45</v>
      </c>
      <c r="H226" s="2"/>
      <c r="I226" s="2"/>
      <c r="J226" s="2"/>
      <c r="K226" s="2"/>
      <c r="L226" s="2"/>
      <c r="M226" s="211"/>
    </row>
    <row r="227" spans="1:14" ht="19.5">
      <c r="A227" s="155">
        <v>13</v>
      </c>
      <c r="B227" s="175" t="s">
        <v>2439</v>
      </c>
      <c r="C227" s="1" t="s">
        <v>2481</v>
      </c>
      <c r="D227" s="196">
        <v>20251</v>
      </c>
      <c r="E227" s="181">
        <v>3190</v>
      </c>
      <c r="F227" s="1170" t="s">
        <v>1265</v>
      </c>
      <c r="G227" s="194" t="s">
        <v>45</v>
      </c>
      <c r="H227" s="2"/>
      <c r="I227" s="2"/>
      <c r="J227" s="2"/>
      <c r="K227" s="2"/>
      <c r="L227" s="2"/>
      <c r="M227" s="211"/>
    </row>
    <row r="228" spans="1:14" ht="19.5">
      <c r="A228" s="155">
        <v>14</v>
      </c>
      <c r="B228" s="175" t="s">
        <v>2439</v>
      </c>
      <c r="C228" s="1" t="s">
        <v>2482</v>
      </c>
      <c r="D228" s="196">
        <v>20251</v>
      </c>
      <c r="E228" s="181">
        <v>3190</v>
      </c>
      <c r="F228" s="1170" t="s">
        <v>1265</v>
      </c>
      <c r="G228" s="194" t="s">
        <v>45</v>
      </c>
      <c r="H228" s="2"/>
      <c r="I228" s="2"/>
      <c r="J228" s="2"/>
      <c r="K228" s="2"/>
      <c r="L228" s="2"/>
      <c r="M228" s="211"/>
    </row>
    <row r="229" spans="1:14" ht="19.5">
      <c r="A229" s="155">
        <v>15</v>
      </c>
      <c r="B229" s="175" t="s">
        <v>2439</v>
      </c>
      <c r="C229" s="1" t="s">
        <v>2483</v>
      </c>
      <c r="D229" s="176">
        <v>20251</v>
      </c>
      <c r="E229" s="181">
        <v>3190</v>
      </c>
      <c r="F229" s="1170" t="s">
        <v>1265</v>
      </c>
      <c r="G229" s="194" t="s">
        <v>45</v>
      </c>
      <c r="H229" s="2"/>
      <c r="I229" s="2"/>
      <c r="J229" s="2"/>
      <c r="K229" s="2"/>
      <c r="L229" s="2"/>
      <c r="M229" s="211"/>
    </row>
    <row r="230" spans="1:14" ht="19.5">
      <c r="A230" s="155">
        <v>16</v>
      </c>
      <c r="B230" s="175" t="s">
        <v>2439</v>
      </c>
      <c r="C230" s="1" t="s">
        <v>2484</v>
      </c>
      <c r="D230" s="196">
        <v>20251</v>
      </c>
      <c r="E230" s="181">
        <v>3190</v>
      </c>
      <c r="F230" s="1170" t="s">
        <v>1265</v>
      </c>
      <c r="G230" s="194" t="s">
        <v>45</v>
      </c>
      <c r="H230" s="2"/>
      <c r="I230" s="2"/>
      <c r="J230" s="2"/>
      <c r="K230" s="2"/>
      <c r="L230" s="2"/>
      <c r="M230" s="211"/>
    </row>
    <row r="231" spans="1:14" ht="19.5">
      <c r="A231" s="155">
        <v>17</v>
      </c>
      <c r="B231" s="175" t="s">
        <v>2439</v>
      </c>
      <c r="C231" s="1" t="s">
        <v>2485</v>
      </c>
      <c r="D231" s="196">
        <v>20251</v>
      </c>
      <c r="E231" s="181">
        <v>3190</v>
      </c>
      <c r="F231" s="1170" t="s">
        <v>1265</v>
      </c>
      <c r="G231" s="194" t="s">
        <v>45</v>
      </c>
      <c r="H231" s="2"/>
      <c r="I231" s="2"/>
      <c r="J231" s="2"/>
      <c r="K231" s="2"/>
      <c r="L231" s="2"/>
      <c r="M231" s="211"/>
    </row>
    <row r="232" spans="1:14" ht="19.5">
      <c r="A232" s="155">
        <v>18</v>
      </c>
      <c r="B232" s="175" t="s">
        <v>2439</v>
      </c>
      <c r="C232" s="1" t="s">
        <v>2486</v>
      </c>
      <c r="D232" s="196">
        <v>20251</v>
      </c>
      <c r="E232" s="181">
        <v>3190</v>
      </c>
      <c r="F232" s="1170" t="s">
        <v>1265</v>
      </c>
      <c r="G232" s="194" t="s">
        <v>45</v>
      </c>
      <c r="H232" s="2"/>
      <c r="I232" s="2"/>
      <c r="J232" s="2"/>
      <c r="K232" s="2"/>
      <c r="L232" s="2"/>
      <c r="M232" s="211"/>
    </row>
    <row r="233" spans="1:14" ht="19.5">
      <c r="A233" s="155">
        <v>19</v>
      </c>
      <c r="B233" s="175" t="s">
        <v>2439</v>
      </c>
      <c r="C233" s="1" t="s">
        <v>2487</v>
      </c>
      <c r="D233" s="196">
        <v>20251</v>
      </c>
      <c r="E233" s="181">
        <v>3190</v>
      </c>
      <c r="F233" s="1170" t="s">
        <v>1265</v>
      </c>
      <c r="G233" s="194" t="s">
        <v>45</v>
      </c>
      <c r="H233" s="2"/>
      <c r="I233" s="2"/>
      <c r="J233" s="2"/>
      <c r="K233" s="2"/>
      <c r="L233" s="2"/>
      <c r="M233" s="211"/>
    </row>
    <row r="234" spans="1:14" ht="19.5">
      <c r="A234" s="155">
        <v>20</v>
      </c>
      <c r="B234" s="175" t="s">
        <v>2439</v>
      </c>
      <c r="C234" s="1" t="s">
        <v>2488</v>
      </c>
      <c r="D234" s="196">
        <v>20251</v>
      </c>
      <c r="E234" s="181">
        <v>3190</v>
      </c>
      <c r="F234" s="1170" t="s">
        <v>1265</v>
      </c>
      <c r="G234" s="194" t="s">
        <v>45</v>
      </c>
      <c r="H234" s="2"/>
      <c r="I234" s="2"/>
      <c r="J234" s="2"/>
      <c r="K234" s="2"/>
      <c r="L234" s="2"/>
      <c r="M234" s="211"/>
    </row>
    <row r="235" spans="1:14" ht="19.5">
      <c r="A235" s="155">
        <v>21</v>
      </c>
      <c r="B235" s="175" t="s">
        <v>2439</v>
      </c>
      <c r="C235" s="1" t="s">
        <v>2489</v>
      </c>
      <c r="D235" s="176">
        <v>20251</v>
      </c>
      <c r="E235" s="181">
        <v>3190</v>
      </c>
      <c r="F235" s="1170" t="s">
        <v>1265</v>
      </c>
      <c r="G235" s="194" t="s">
        <v>45</v>
      </c>
      <c r="H235" s="2"/>
      <c r="I235" s="2"/>
      <c r="J235" s="2"/>
      <c r="K235" s="2"/>
      <c r="L235" s="2"/>
      <c r="M235" s="211"/>
    </row>
    <row r="236" spans="1:14" ht="39">
      <c r="A236" s="562">
        <v>22</v>
      </c>
      <c r="B236" s="563" t="s">
        <v>2439</v>
      </c>
      <c r="C236" s="223" t="s">
        <v>2490</v>
      </c>
      <c r="D236" s="564">
        <v>20251</v>
      </c>
      <c r="E236" s="565">
        <v>3190</v>
      </c>
      <c r="F236" s="1208" t="s">
        <v>1265</v>
      </c>
      <c r="G236" s="540" t="s">
        <v>45</v>
      </c>
      <c r="H236" s="566"/>
      <c r="I236" s="511"/>
      <c r="J236" s="511"/>
      <c r="K236" s="511"/>
      <c r="L236" s="511"/>
      <c r="M236" s="271" t="s">
        <v>3560</v>
      </c>
      <c r="N236" s="561"/>
    </row>
    <row r="237" spans="1:14" ht="39">
      <c r="A237" s="562">
        <v>23</v>
      </c>
      <c r="B237" s="563" t="s">
        <v>2439</v>
      </c>
      <c r="C237" s="223" t="s">
        <v>2491</v>
      </c>
      <c r="D237" s="564">
        <v>20251</v>
      </c>
      <c r="E237" s="565">
        <v>3190</v>
      </c>
      <c r="F237" s="1208" t="s">
        <v>1265</v>
      </c>
      <c r="G237" s="540" t="s">
        <v>45</v>
      </c>
      <c r="H237" s="566"/>
      <c r="I237" s="511"/>
      <c r="J237" s="511"/>
      <c r="K237" s="511"/>
      <c r="L237" s="511"/>
      <c r="M237" s="271" t="s">
        <v>3561</v>
      </c>
      <c r="N237" s="560"/>
    </row>
    <row r="238" spans="1:14" ht="58.5">
      <c r="A238" s="562">
        <v>24</v>
      </c>
      <c r="B238" s="563" t="s">
        <v>2439</v>
      </c>
      <c r="C238" s="223" t="s">
        <v>2492</v>
      </c>
      <c r="D238" s="564">
        <v>20251</v>
      </c>
      <c r="E238" s="565">
        <v>3190</v>
      </c>
      <c r="F238" s="1208" t="s">
        <v>1265</v>
      </c>
      <c r="G238" s="540" t="s">
        <v>45</v>
      </c>
      <c r="H238" s="568"/>
      <c r="I238" s="511"/>
      <c r="J238" s="511"/>
      <c r="K238" s="511"/>
      <c r="L238" s="511"/>
      <c r="M238" s="271" t="s">
        <v>3562</v>
      </c>
      <c r="N238" s="214"/>
    </row>
    <row r="239" spans="1:14" ht="19.5">
      <c r="A239" s="155">
        <v>25</v>
      </c>
      <c r="B239" s="175" t="s">
        <v>2629</v>
      </c>
      <c r="C239" s="1" t="s">
        <v>2628</v>
      </c>
      <c r="D239" s="196">
        <v>20100</v>
      </c>
      <c r="E239" s="181">
        <v>2890</v>
      </c>
      <c r="F239" s="1127" t="s">
        <v>2433</v>
      </c>
      <c r="G239" s="194" t="s">
        <v>45</v>
      </c>
      <c r="H239" s="567"/>
      <c r="I239" s="2"/>
      <c r="J239" s="2"/>
      <c r="K239" s="2"/>
      <c r="L239" s="2"/>
      <c r="M239" s="2" t="s">
        <v>3507</v>
      </c>
    </row>
    <row r="240" spans="1:14" ht="19.5">
      <c r="A240" s="155">
        <v>26</v>
      </c>
      <c r="B240" s="175" t="s">
        <v>2453</v>
      </c>
      <c r="C240" s="1" t="s">
        <v>2493</v>
      </c>
      <c r="D240" s="196">
        <v>20323</v>
      </c>
      <c r="E240" s="181">
        <v>2990</v>
      </c>
      <c r="F240" s="1009" t="s">
        <v>1508</v>
      </c>
      <c r="G240" s="194"/>
      <c r="H240" s="194" t="s">
        <v>45</v>
      </c>
      <c r="I240" s="2"/>
      <c r="J240" s="2"/>
      <c r="K240" s="2"/>
      <c r="L240" s="2"/>
      <c r="M240" s="211"/>
    </row>
    <row r="241" spans="1:13" ht="19.5">
      <c r="A241" s="155">
        <v>27</v>
      </c>
      <c r="B241" s="175" t="s">
        <v>2627</v>
      </c>
      <c r="C241" s="1" t="s">
        <v>1645</v>
      </c>
      <c r="D241" s="176">
        <v>239483</v>
      </c>
      <c r="E241" s="181">
        <v>2490</v>
      </c>
      <c r="F241" s="1127" t="s">
        <v>2433</v>
      </c>
      <c r="G241" s="194" t="s">
        <v>45</v>
      </c>
      <c r="H241" s="2"/>
      <c r="I241" s="2"/>
      <c r="J241" s="2"/>
      <c r="K241" s="2"/>
      <c r="L241" s="2"/>
      <c r="M241" s="211" t="s">
        <v>3490</v>
      </c>
    </row>
    <row r="242" spans="1:13" ht="19.5">
      <c r="A242" s="155">
        <v>28</v>
      </c>
      <c r="B242" s="175" t="s">
        <v>1568</v>
      </c>
      <c r="C242" s="1" t="s">
        <v>1569</v>
      </c>
      <c r="D242" s="159">
        <v>20331</v>
      </c>
      <c r="E242" s="181">
        <v>2800</v>
      </c>
      <c r="F242" s="1170" t="s">
        <v>1564</v>
      </c>
      <c r="G242" s="194" t="s">
        <v>45</v>
      </c>
      <c r="H242" s="158"/>
      <c r="I242" s="158"/>
      <c r="J242" s="158"/>
      <c r="K242" s="158"/>
      <c r="L242" s="158"/>
      <c r="M242" s="211"/>
    </row>
    <row r="243" spans="1:13" ht="19.5">
      <c r="A243" s="155">
        <v>29</v>
      </c>
      <c r="B243" s="2" t="s">
        <v>1261</v>
      </c>
      <c r="C243" s="1" t="s">
        <v>2442</v>
      </c>
      <c r="D243" s="197" t="s">
        <v>1262</v>
      </c>
      <c r="E243" s="1094">
        <v>2500</v>
      </c>
      <c r="F243" s="939" t="s">
        <v>2117</v>
      </c>
      <c r="G243" s="194" t="s">
        <v>45</v>
      </c>
      <c r="H243" s="158"/>
      <c r="I243" s="158"/>
      <c r="J243" s="158"/>
      <c r="K243" s="158"/>
      <c r="L243" s="158"/>
      <c r="M243" s="211" t="s">
        <v>3486</v>
      </c>
    </row>
    <row r="244" spans="1:13" ht="19.5">
      <c r="A244" s="155">
        <v>30</v>
      </c>
      <c r="B244" s="175" t="s">
        <v>1570</v>
      </c>
      <c r="C244" s="1" t="s">
        <v>1571</v>
      </c>
      <c r="D244" s="159">
        <v>20339</v>
      </c>
      <c r="E244" s="181">
        <v>2800</v>
      </c>
      <c r="F244" s="1009" t="s">
        <v>2117</v>
      </c>
      <c r="G244" s="194" t="s">
        <v>45</v>
      </c>
      <c r="H244" s="158"/>
      <c r="I244" s="158"/>
      <c r="J244" s="158"/>
      <c r="K244" s="158"/>
      <c r="L244" s="158"/>
      <c r="M244" s="211" t="s">
        <v>3486</v>
      </c>
    </row>
    <row r="245" spans="1:13" ht="19.5">
      <c r="A245" s="155">
        <v>31</v>
      </c>
      <c r="B245" s="175" t="s">
        <v>2440</v>
      </c>
      <c r="C245" s="1" t="s">
        <v>2441</v>
      </c>
      <c r="D245" s="159">
        <v>20339</v>
      </c>
      <c r="E245" s="181">
        <v>2800</v>
      </c>
      <c r="F245" s="1170" t="s">
        <v>1265</v>
      </c>
      <c r="G245" s="194" t="s">
        <v>45</v>
      </c>
      <c r="H245" s="158"/>
      <c r="I245" s="158"/>
      <c r="J245" s="158"/>
      <c r="K245" s="158"/>
      <c r="L245" s="158"/>
      <c r="M245" s="211"/>
    </row>
    <row r="246" spans="1:13" ht="19.5">
      <c r="A246" s="155">
        <v>32</v>
      </c>
      <c r="B246" s="175" t="s">
        <v>2467</v>
      </c>
      <c r="C246" s="1" t="s">
        <v>2468</v>
      </c>
      <c r="D246" s="159">
        <v>20339</v>
      </c>
      <c r="E246" s="1122">
        <v>2800</v>
      </c>
      <c r="F246" s="1199" t="s">
        <v>1583</v>
      </c>
      <c r="G246" s="194" t="s">
        <v>45</v>
      </c>
      <c r="H246" s="158"/>
      <c r="I246" s="158"/>
      <c r="J246" s="158"/>
      <c r="K246" s="158"/>
      <c r="L246" s="158"/>
      <c r="M246" s="211" t="s">
        <v>2957</v>
      </c>
    </row>
    <row r="247" spans="1:13" ht="19.5">
      <c r="A247" s="155">
        <v>33</v>
      </c>
      <c r="B247" s="175" t="s">
        <v>2631</v>
      </c>
      <c r="C247" s="1" t="s">
        <v>2630</v>
      </c>
      <c r="D247" s="159">
        <v>20395</v>
      </c>
      <c r="E247" s="181">
        <v>3800</v>
      </c>
      <c r="F247" s="1127" t="s">
        <v>2433</v>
      </c>
      <c r="G247" s="194" t="s">
        <v>45</v>
      </c>
      <c r="H247" s="158"/>
      <c r="I247" s="158"/>
      <c r="J247" s="158"/>
      <c r="K247" s="158"/>
      <c r="L247" s="158"/>
      <c r="M247" s="211"/>
    </row>
    <row r="248" spans="1:13" ht="19.5">
      <c r="A248" s="155">
        <v>34</v>
      </c>
      <c r="B248" s="2" t="s">
        <v>1261</v>
      </c>
      <c r="C248" s="1" t="s">
        <v>2443</v>
      </c>
      <c r="D248" s="197" t="s">
        <v>1981</v>
      </c>
      <c r="E248" s="1094">
        <v>3200</v>
      </c>
      <c r="F248" s="939" t="s">
        <v>2117</v>
      </c>
      <c r="G248" s="194"/>
      <c r="H248" s="158" t="s">
        <v>45</v>
      </c>
      <c r="I248" s="158"/>
      <c r="J248" s="158"/>
      <c r="K248" s="158"/>
      <c r="L248" s="158"/>
      <c r="M248" s="211"/>
    </row>
    <row r="249" spans="1:13" ht="19.5">
      <c r="A249" s="155">
        <v>35</v>
      </c>
      <c r="B249" s="198" t="s">
        <v>1205</v>
      </c>
      <c r="C249" s="199" t="s">
        <v>2444</v>
      </c>
      <c r="D249" s="159">
        <v>20134</v>
      </c>
      <c r="E249" s="56">
        <v>2700</v>
      </c>
      <c r="F249" s="1166" t="s">
        <v>999</v>
      </c>
      <c r="G249" s="194" t="s">
        <v>45</v>
      </c>
      <c r="H249" s="158"/>
      <c r="I249" s="158"/>
      <c r="J249" s="158"/>
      <c r="K249" s="158"/>
      <c r="L249" s="158"/>
      <c r="M249" s="211"/>
    </row>
    <row r="250" spans="1:13" ht="19.5">
      <c r="A250" s="155">
        <v>36</v>
      </c>
      <c r="B250" s="198" t="s">
        <v>2456</v>
      </c>
      <c r="C250" s="1" t="s">
        <v>2494</v>
      </c>
      <c r="D250" s="159">
        <v>20500</v>
      </c>
      <c r="E250" s="56">
        <v>3100</v>
      </c>
      <c r="F250" s="1166" t="s">
        <v>1508</v>
      </c>
      <c r="G250" s="194" t="s">
        <v>45</v>
      </c>
      <c r="H250" s="158"/>
      <c r="I250" s="158"/>
      <c r="J250" s="158"/>
      <c r="K250" s="158"/>
      <c r="L250" s="158"/>
      <c r="M250" s="211"/>
    </row>
    <row r="251" spans="1:13" ht="19.5">
      <c r="A251" s="155">
        <v>37</v>
      </c>
      <c r="B251" s="198" t="s">
        <v>2457</v>
      </c>
      <c r="C251" s="1" t="s">
        <v>2495</v>
      </c>
      <c r="D251" s="159">
        <v>20626</v>
      </c>
      <c r="E251" s="56">
        <v>1890</v>
      </c>
      <c r="F251" s="1166" t="s">
        <v>1508</v>
      </c>
      <c r="G251" s="194" t="s">
        <v>45</v>
      </c>
      <c r="H251" s="158"/>
      <c r="I251" s="158"/>
      <c r="J251" s="158"/>
      <c r="K251" s="158"/>
      <c r="L251" s="158"/>
      <c r="M251" s="211"/>
    </row>
    <row r="252" spans="1:13" ht="19.5">
      <c r="A252" s="857">
        <v>38</v>
      </c>
      <c r="B252" s="846" t="s">
        <v>2654</v>
      </c>
      <c r="C252" s="847" t="s">
        <v>3969</v>
      </c>
      <c r="D252" s="858" t="s">
        <v>4021</v>
      </c>
      <c r="E252" s="848">
        <v>6900</v>
      </c>
      <c r="F252" s="1171" t="s">
        <v>3861</v>
      </c>
      <c r="G252" s="857" t="s">
        <v>45</v>
      </c>
      <c r="H252" s="859"/>
      <c r="I252" s="859"/>
      <c r="J252" s="859"/>
      <c r="K252" s="859"/>
      <c r="L252" s="859"/>
      <c r="M252" s="860"/>
    </row>
    <row r="253" spans="1:13" ht="19.5">
      <c r="A253" s="857">
        <v>39</v>
      </c>
      <c r="B253" s="846" t="s">
        <v>2654</v>
      </c>
      <c r="C253" s="847" t="s">
        <v>3971</v>
      </c>
      <c r="D253" s="858" t="s">
        <v>4021</v>
      </c>
      <c r="E253" s="848">
        <v>6900</v>
      </c>
      <c r="F253" s="1171" t="s">
        <v>3861</v>
      </c>
      <c r="G253" s="857" t="s">
        <v>45</v>
      </c>
      <c r="H253" s="859"/>
      <c r="I253" s="859"/>
      <c r="J253" s="859"/>
      <c r="K253" s="859"/>
      <c r="L253" s="859"/>
      <c r="M253" s="860"/>
    </row>
    <row r="254" spans="1:13" ht="19.5">
      <c r="A254" s="857">
        <v>40</v>
      </c>
      <c r="B254" s="850" t="s">
        <v>2654</v>
      </c>
      <c r="C254" s="851" t="s">
        <v>3973</v>
      </c>
      <c r="D254" s="858" t="s">
        <v>4021</v>
      </c>
      <c r="E254" s="852">
        <v>6900</v>
      </c>
      <c r="F254" s="1172" t="s">
        <v>3861</v>
      </c>
      <c r="G254" s="857" t="s">
        <v>45</v>
      </c>
      <c r="H254" s="859"/>
      <c r="I254" s="859"/>
      <c r="J254" s="859"/>
      <c r="K254" s="859"/>
      <c r="L254" s="859"/>
      <c r="M254" s="860"/>
    </row>
    <row r="255" spans="1:13" ht="28.5">
      <c r="A255" s="857">
        <v>41</v>
      </c>
      <c r="B255" s="846" t="s">
        <v>3976</v>
      </c>
      <c r="C255" s="847" t="s">
        <v>3975</v>
      </c>
      <c r="D255" s="858" t="s">
        <v>4021</v>
      </c>
      <c r="E255" s="848">
        <v>6900</v>
      </c>
      <c r="F255" s="1171" t="s">
        <v>3977</v>
      </c>
      <c r="G255" s="857" t="s">
        <v>45</v>
      </c>
      <c r="H255" s="859"/>
      <c r="I255" s="859"/>
      <c r="J255" s="859"/>
      <c r="K255" s="859"/>
      <c r="L255" s="859"/>
      <c r="M255" s="860"/>
    </row>
    <row r="256" spans="1:13" ht="19.5">
      <c r="A256" s="857">
        <v>42</v>
      </c>
      <c r="B256" s="854" t="s">
        <v>3981</v>
      </c>
      <c r="C256" s="855" t="s">
        <v>3980</v>
      </c>
      <c r="D256" s="858" t="s">
        <v>4021</v>
      </c>
      <c r="E256" s="856">
        <v>1790</v>
      </c>
      <c r="F256" s="1172" t="s">
        <v>3861</v>
      </c>
      <c r="G256" s="857" t="s">
        <v>45</v>
      </c>
      <c r="H256" s="859"/>
      <c r="I256" s="859"/>
      <c r="J256" s="859"/>
      <c r="K256" s="859"/>
      <c r="L256" s="859"/>
      <c r="M256" s="860"/>
    </row>
    <row r="257" spans="1:13" ht="19.5">
      <c r="A257" s="857">
        <v>43</v>
      </c>
      <c r="B257" s="846" t="s">
        <v>3981</v>
      </c>
      <c r="C257" s="847" t="s">
        <v>3983</v>
      </c>
      <c r="D257" s="858" t="s">
        <v>4021</v>
      </c>
      <c r="E257" s="848">
        <v>1790</v>
      </c>
      <c r="F257" s="1172" t="s">
        <v>3861</v>
      </c>
      <c r="G257" s="857" t="s">
        <v>45</v>
      </c>
      <c r="H257" s="859"/>
      <c r="I257" s="859"/>
      <c r="J257" s="859"/>
      <c r="K257" s="859"/>
      <c r="L257" s="859"/>
      <c r="M257" s="860"/>
    </row>
    <row r="258" spans="1:13" ht="19.5">
      <c r="A258" s="857">
        <v>44</v>
      </c>
      <c r="B258" s="846" t="s">
        <v>3986</v>
      </c>
      <c r="C258" s="847" t="s">
        <v>3985</v>
      </c>
      <c r="D258" s="858" t="s">
        <v>4021</v>
      </c>
      <c r="E258" s="848">
        <v>1790</v>
      </c>
      <c r="F258" s="1172" t="s">
        <v>3861</v>
      </c>
      <c r="G258" s="857" t="s">
        <v>45</v>
      </c>
      <c r="H258" s="859"/>
      <c r="I258" s="859"/>
      <c r="J258" s="859"/>
      <c r="K258" s="859"/>
      <c r="L258" s="859"/>
      <c r="M258" s="860"/>
    </row>
    <row r="259" spans="1:13" ht="19.5">
      <c r="A259" s="857">
        <v>45</v>
      </c>
      <c r="B259" s="846" t="s">
        <v>3986</v>
      </c>
      <c r="C259" s="847" t="s">
        <v>3988</v>
      </c>
      <c r="D259" s="858" t="s">
        <v>4021</v>
      </c>
      <c r="E259" s="848">
        <v>1790</v>
      </c>
      <c r="F259" s="1172" t="s">
        <v>3861</v>
      </c>
      <c r="G259" s="857" t="s">
        <v>45</v>
      </c>
      <c r="H259" s="859"/>
      <c r="I259" s="859"/>
      <c r="J259" s="859"/>
      <c r="K259" s="859"/>
      <c r="L259" s="859"/>
      <c r="M259" s="860"/>
    </row>
    <row r="260" spans="1:13" ht="19.5">
      <c r="A260" s="857">
        <v>46</v>
      </c>
      <c r="B260" s="846" t="s">
        <v>3986</v>
      </c>
      <c r="C260" s="847" t="s">
        <v>3990</v>
      </c>
      <c r="D260" s="858" t="s">
        <v>4021</v>
      </c>
      <c r="E260" s="848">
        <v>1790</v>
      </c>
      <c r="F260" s="1172" t="s">
        <v>3861</v>
      </c>
      <c r="G260" s="857" t="s">
        <v>45</v>
      </c>
      <c r="H260" s="859"/>
      <c r="I260" s="859"/>
      <c r="J260" s="859"/>
      <c r="K260" s="859"/>
      <c r="L260" s="859"/>
      <c r="M260" s="860"/>
    </row>
    <row r="261" spans="1:13" ht="28.5">
      <c r="A261" s="857">
        <v>47</v>
      </c>
      <c r="B261" s="846" t="s">
        <v>3993</v>
      </c>
      <c r="C261" s="847" t="s">
        <v>3992</v>
      </c>
      <c r="D261" s="858" t="s">
        <v>4021</v>
      </c>
      <c r="E261" s="861">
        <v>8200</v>
      </c>
      <c r="F261" s="1172" t="s">
        <v>3861</v>
      </c>
      <c r="G261" s="857" t="s">
        <v>45</v>
      </c>
      <c r="H261" s="859"/>
      <c r="I261" s="859"/>
      <c r="J261" s="859"/>
      <c r="K261" s="859"/>
      <c r="L261" s="859"/>
      <c r="M261" s="860"/>
    </row>
    <row r="262" spans="1:13" ht="19.5">
      <c r="A262" s="857"/>
      <c r="B262" s="846"/>
      <c r="C262" s="847"/>
      <c r="D262" s="858"/>
      <c r="E262" s="861"/>
      <c r="F262" s="853"/>
      <c r="G262" s="857"/>
      <c r="H262" s="859"/>
      <c r="I262" s="859"/>
      <c r="J262" s="859"/>
      <c r="K262" s="859"/>
      <c r="L262" s="859"/>
      <c r="M262" s="860"/>
    </row>
    <row r="263" spans="1:13" s="1067" customFormat="1" ht="20.25" thickBot="1">
      <c r="A263" s="909">
        <v>47</v>
      </c>
      <c r="B263" s="1056"/>
      <c r="C263" s="907"/>
      <c r="D263" s="1065" t="s">
        <v>64</v>
      </c>
      <c r="E263" s="1066">
        <f>SUM(E215:E261)</f>
        <v>157980</v>
      </c>
      <c r="F263" s="909"/>
      <c r="G263" s="908"/>
      <c r="H263" s="908"/>
      <c r="I263" s="908"/>
      <c r="J263" s="908"/>
      <c r="K263" s="908"/>
      <c r="L263" s="908"/>
      <c r="M263" s="913"/>
    </row>
    <row r="264" spans="1:13" ht="20.25" thickTop="1">
      <c r="A264" s="194"/>
      <c r="B264" s="193"/>
      <c r="C264" s="1"/>
      <c r="D264" s="173"/>
      <c r="E264" s="200"/>
      <c r="F264" s="194"/>
      <c r="G264" s="194"/>
      <c r="H264" s="194"/>
      <c r="I264" s="194"/>
      <c r="J264" s="194"/>
      <c r="K264" s="194"/>
      <c r="L264" s="194"/>
      <c r="M264" s="210"/>
    </row>
    <row r="265" spans="1:13" s="1064" customFormat="1" ht="20.25" thickBot="1">
      <c r="A265" s="1059">
        <f>A263+A210+A204+A197+A193+A187+A154+A146+A24</f>
        <v>217</v>
      </c>
      <c r="B265" s="1060"/>
      <c r="C265" s="997"/>
      <c r="D265" s="1061" t="s">
        <v>1723</v>
      </c>
      <c r="E265" s="1062">
        <f>E263+E210+E204+E197+E193+E187+E154+E146+E24</f>
        <v>551132</v>
      </c>
      <c r="F265" s="1059"/>
      <c r="G265" s="1059"/>
      <c r="H265" s="1059"/>
      <c r="I265" s="1059"/>
      <c r="J265" s="1059"/>
      <c r="K265" s="1059"/>
      <c r="L265" s="1059"/>
      <c r="M265" s="1063"/>
    </row>
    <row r="266" spans="1:13" ht="15" thickTop="1"/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43307086614173229" right="0.15748031496062992" top="0.27" bottom="0.36" header="0.18" footer="0.17"/>
  <pageSetup paperSize="9" scale="95" orientation="landscape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21</vt:i4>
      </vt:variant>
      <vt:variant>
        <vt:lpstr>ช่วงที่มีชื่อ</vt:lpstr>
      </vt:variant>
      <vt:variant>
        <vt:i4>28</vt:i4>
      </vt:variant>
    </vt:vector>
  </HeadingPairs>
  <TitlesOfParts>
    <vt:vector size="49" baseType="lpstr">
      <vt:lpstr>ครุภัณฑ์ใหม่2567</vt:lpstr>
      <vt:lpstr>ตัดจำหน่าย2567</vt:lpstr>
      <vt:lpstr>โอน2567</vt:lpstr>
      <vt:lpstr>ครุภัณฑ์ใหม่2567 ต่ำกว่าเกณฑ์</vt:lpstr>
      <vt:lpstr>โอนอาคาร2567</vt:lpstr>
      <vt:lpstr>แบบกข.</vt:lpstr>
      <vt:lpstr>อาคาร</vt:lpstr>
      <vt:lpstr>สิ่งปลูกสร้าง</vt:lpstr>
      <vt:lpstr>สำนักงาน</vt:lpstr>
      <vt:lpstr>ยานพาหนะฯ</vt:lpstr>
      <vt:lpstr>การเกษตร</vt:lpstr>
      <vt:lpstr>ไฟฟ้าและวิทยุ</vt:lpstr>
      <vt:lpstr>โฆษณา</vt:lpstr>
      <vt:lpstr>วิทยาศาสตร์</vt:lpstr>
      <vt:lpstr>งานบ้านงานครัว</vt:lpstr>
      <vt:lpstr>โรงงาน</vt:lpstr>
      <vt:lpstr>อื่นๆ</vt:lpstr>
      <vt:lpstr>กีฬา</vt:lpstr>
      <vt:lpstr>ศึกษา</vt:lpstr>
      <vt:lpstr>คอมพิวเตอร์</vt:lpstr>
      <vt:lpstr>ส่งคลัง (ต)</vt:lpstr>
      <vt:lpstr>คอมพิวเตอร์!Print_Area</vt:lpstr>
      <vt:lpstr>โฆษณา!Print_Area</vt:lpstr>
      <vt:lpstr>งานบ้านงานครัว!Print_Area</vt:lpstr>
      <vt:lpstr>ไฟฟ้าและวิทยุ!Print_Area</vt:lpstr>
      <vt:lpstr>ยานพาหนะฯ!Print_Area</vt:lpstr>
      <vt:lpstr>วิทยาศาสตร์!Print_Area</vt:lpstr>
      <vt:lpstr>ศึกษา!Print_Area</vt:lpstr>
      <vt:lpstr>'ส่งคลัง (ต)'!Print_Area</vt:lpstr>
      <vt:lpstr>สำนักงาน!Print_Area</vt:lpstr>
      <vt:lpstr>อาคาร!Print_Area</vt:lpstr>
      <vt:lpstr>อื่นๆ!Print_Area</vt:lpstr>
      <vt:lpstr>การเกษตร!Print_Titles</vt:lpstr>
      <vt:lpstr>กีฬา!Print_Titles</vt:lpstr>
      <vt:lpstr>คอมพิวเตอร์!Print_Titles</vt:lpstr>
      <vt:lpstr>โฆษณา!Print_Titles</vt:lpstr>
      <vt:lpstr>งานบ้านงานครัว!Print_Titles</vt:lpstr>
      <vt:lpstr>ตัดจำหน่าย2567!Print_Titles</vt:lpstr>
      <vt:lpstr>แบบกข.!Print_Titles</vt:lpstr>
      <vt:lpstr>ไฟฟ้าและวิทยุ!Print_Titles</vt:lpstr>
      <vt:lpstr>ยานพาหนะฯ!Print_Titles</vt:lpstr>
      <vt:lpstr>โรงงาน!Print_Titles</vt:lpstr>
      <vt:lpstr>วิทยาศาสตร์!Print_Titles</vt:lpstr>
      <vt:lpstr>ศึกษา!Print_Titles</vt:lpstr>
      <vt:lpstr>'ส่งคลัง (ต)'!Print_Titles</vt:lpstr>
      <vt:lpstr>สำนักงาน!Print_Titles</vt:lpstr>
      <vt:lpstr>สิ่งปลูกสร้าง!Print_Titles</vt:lpstr>
      <vt:lpstr>อาคาร!Print_Titles</vt:lpstr>
      <vt:lpstr>อื่นๆ!Print_Titles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Lampangcity006</cp:lastModifiedBy>
  <cp:lastPrinted>2025-01-29T09:24:01Z</cp:lastPrinted>
  <dcterms:created xsi:type="dcterms:W3CDTF">2017-12-14T04:41:01Z</dcterms:created>
  <dcterms:modified xsi:type="dcterms:W3CDTF">2025-01-29T09:56:42Z</dcterms:modified>
</cp:coreProperties>
</file>